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ce sheet" sheetId="1" r:id="rId4"/>
    <sheet state="visible" name="Penyusutan" sheetId="2" r:id="rId5"/>
    <sheet state="visible" name="Jurnal Umum" sheetId="3" r:id="rId6"/>
    <sheet state="hidden" name="Buku Besar" sheetId="4" r:id="rId7"/>
    <sheet state="hidden" name="Jurnal Penyesuai" sheetId="5" r:id="rId8"/>
    <sheet state="visible" name="NERACA penyesuai" sheetId="6" r:id="rId9"/>
    <sheet state="visible" name="Lajur" sheetId="7" r:id="rId10"/>
    <sheet state="visible" name="LAPORAN KEUANGAN" sheetId="8" r:id="rId11"/>
    <sheet state="visible" name="Closing Entries" sheetId="9" r:id="rId12"/>
  </sheets>
  <definedNames/>
  <calcPr/>
  <extLst>
    <ext uri="GoogleSheetsCustomDataVersion2">
      <go:sheetsCustomData xmlns:go="http://customooxmlschemas.google.com/" r:id="rId13" roundtripDataChecksum="z7DeO6CAu4QW3MkPMhDCJRCACxM9SP75bqYgfZSGlWo="/>
    </ext>
  </extLst>
</workbook>
</file>

<file path=xl/sharedStrings.xml><?xml version="1.0" encoding="utf-8"?>
<sst xmlns="http://schemas.openxmlformats.org/spreadsheetml/2006/main" count="1037" uniqueCount="153">
  <si>
    <t>PT GUNUNG SEMERU</t>
  </si>
  <si>
    <t>PERKIRAAN BUKU BESAR</t>
  </si>
  <si>
    <t>DEBET</t>
  </si>
  <si>
    <t>KREDIT</t>
  </si>
  <si>
    <t>Kas Di Bank</t>
  </si>
  <si>
    <t>Kas Kecil</t>
  </si>
  <si>
    <t>Piutang Dagang</t>
  </si>
  <si>
    <t>Persediaan Barang Dagang</t>
  </si>
  <si>
    <t>Perlengkapan</t>
  </si>
  <si>
    <t>Sewa Gudang Dibayar Dimuka</t>
  </si>
  <si>
    <t>Iklan Dibayar Dimuka</t>
  </si>
  <si>
    <t>Asuransi Dibayar Dimuka</t>
  </si>
  <si>
    <t>Aktiva Tetap</t>
  </si>
  <si>
    <t>Akumulasi Penyusutan Aktiva Tetap</t>
  </si>
  <si>
    <t>Utang Dagang</t>
  </si>
  <si>
    <t>Utang PPH 21</t>
  </si>
  <si>
    <t>Utang Gaji</t>
  </si>
  <si>
    <t>Utang Air, Listrik, dan Telepon</t>
  </si>
  <si>
    <t>Modal Saham</t>
  </si>
  <si>
    <t>Agio Saham</t>
  </si>
  <si>
    <t>Laba Ditahan</t>
  </si>
  <si>
    <t>Ikhtisar Laba Rugi</t>
  </si>
  <si>
    <t>Penjualan</t>
  </si>
  <si>
    <t>Retur Penjualan</t>
  </si>
  <si>
    <t>Pembelian</t>
  </si>
  <si>
    <t>Retur Pembelian</t>
  </si>
  <si>
    <t>Beban Perlengkapan Kantor</t>
  </si>
  <si>
    <t>Beban Perlengkapan Toko</t>
  </si>
  <si>
    <t>Beban Sewa</t>
  </si>
  <si>
    <t>Beban Iklan</t>
  </si>
  <si>
    <t>Beban Asuransi</t>
  </si>
  <si>
    <t>Beban Penyusutan Aktiva Tetap</t>
  </si>
  <si>
    <t>Beban Gaji Kantor</t>
  </si>
  <si>
    <t>Beban Air, Listrik dan Telepon</t>
  </si>
  <si>
    <t>Beban Administrasi Bank</t>
  </si>
  <si>
    <t>Beban PPH 21</t>
  </si>
  <si>
    <t>Pendapatan Bunga</t>
  </si>
  <si>
    <t>TOTAL</t>
  </si>
  <si>
    <t>TAHUN</t>
  </si>
  <si>
    <t>TANGGAL</t>
  </si>
  <si>
    <t>BULAN</t>
  </si>
  <si>
    <t>BULAN DALAM
SETAHUN</t>
  </si>
  <si>
    <t>GEDUNG</t>
  </si>
  <si>
    <t>AKUMULASI
PENUYUSUTAN</t>
  </si>
  <si>
    <t>NILAI BUKU</t>
  </si>
  <si>
    <t>PERALATAN</t>
  </si>
  <si>
    <t>NILAI PEROLEHAN</t>
  </si>
  <si>
    <t>UMUR</t>
  </si>
  <si>
    <t>PENYUSUTAN PER TAHUN</t>
  </si>
  <si>
    <t>KENDARAAN</t>
  </si>
  <si>
    <t>PT. GUNUNG SEMERU</t>
  </si>
  <si>
    <t>No: 01/BKK/GS/IV/2019</t>
  </si>
  <si>
    <t>No: 02/BKK/GS/IV/2019</t>
  </si>
  <si>
    <t>Tanggal :</t>
  </si>
  <si>
    <t>Transaksi :</t>
  </si>
  <si>
    <t>PEMBAYARAN SEWA</t>
  </si>
  <si>
    <t>PEMBAYARAN ASURANSI 1 TAHUN</t>
  </si>
  <si>
    <t>No. Akun</t>
  </si>
  <si>
    <t>Nama Akun</t>
  </si>
  <si>
    <t>Debet</t>
  </si>
  <si>
    <t>Kredit</t>
  </si>
  <si>
    <t>SEWA DIBAYAR DI MUKA</t>
  </si>
  <si>
    <t>ASURANSI DIBAYAR DI MUKA</t>
  </si>
  <si>
    <t>KAS KECIL</t>
  </si>
  <si>
    <t>Diperiksa oleh :</t>
  </si>
  <si>
    <t>Diposting oleh :</t>
  </si>
  <si>
    <t>Dibuat oleh :</t>
  </si>
  <si>
    <t>Jl. Pulo Gundul No.12</t>
  </si>
  <si>
    <t>Jakarta Pusat</t>
  </si>
  <si>
    <t>BUKU JURNAL</t>
  </si>
  <si>
    <t>No: 03/BKK/GS/IV/2019</t>
  </si>
  <si>
    <t>No: 04/BKK/GS/IV/2019</t>
  </si>
  <si>
    <t>PEMBAYARAN IKLAN</t>
  </si>
  <si>
    <t>PEMBAYARAN BEBAN LISTRIK AIR DAN TELEPON</t>
  </si>
  <si>
    <t>IKLAN DIBAYAR DIMUKA</t>
  </si>
  <si>
    <t>BEBAN AIR LISTRIK DAN TELEPHONE</t>
  </si>
  <si>
    <t>No: 05/JU/GS/IV/2019</t>
  </si>
  <si>
    <t>PEMBAYARAN PPH 21</t>
  </si>
  <si>
    <t>UTANG PPH 21</t>
  </si>
  <si>
    <t>No: 01/BKBT/GS/IV/2019</t>
  </si>
  <si>
    <t>No: 01/BKBK/GS/IV/2019</t>
  </si>
  <si>
    <t>01/BKBT/GS/IV/2019</t>
  </si>
  <si>
    <t>01/BKBK/GS/IV/2019</t>
  </si>
  <si>
    <t>KAS</t>
  </si>
  <si>
    <t>UTANG DAGANG</t>
  </si>
  <si>
    <t>PIUTANG</t>
  </si>
  <si>
    <t>No: 6/F/T/IV/2019</t>
  </si>
  <si>
    <t>No:01/F/GS/IV/2019</t>
  </si>
  <si>
    <t>6/F/T/IV/2019</t>
  </si>
  <si>
    <t>PEMBELIAN</t>
  </si>
  <si>
    <t>UTANG</t>
  </si>
  <si>
    <t>PENJUALAN</t>
  </si>
  <si>
    <t>No: 10/JU/GS/IV/2019</t>
  </si>
  <si>
    <t>Recapitulation</t>
  </si>
  <si>
    <t>Account:</t>
  </si>
  <si>
    <t>GENERAL LEDGER</t>
  </si>
  <si>
    <t>Account Number:</t>
  </si>
  <si>
    <t>Date</t>
  </si>
  <si>
    <t>Description</t>
  </si>
  <si>
    <t>Ref.</t>
  </si>
  <si>
    <t>Credit</t>
  </si>
  <si>
    <t>Balance</t>
  </si>
  <si>
    <t>Dec</t>
  </si>
  <si>
    <t>Opening Balance</t>
  </si>
  <si>
    <t>JU</t>
  </si>
  <si>
    <t>JP</t>
  </si>
  <si>
    <t>`</t>
  </si>
  <si>
    <t>No: 01/BAP/GS/IV/2019</t>
  </si>
  <si>
    <t>No: 05/BAP/GS/IV/2019</t>
  </si>
  <si>
    <t>SISA PERLENGKAPAN</t>
  </si>
  <si>
    <t>Pembayaran Iklan</t>
  </si>
  <si>
    <t>No: 02/BAP/GS/IV/2019</t>
  </si>
  <si>
    <t>No: 06/BAP/GS/IV/2019</t>
  </si>
  <si>
    <t>SISA PERSEDIAAN</t>
  </si>
  <si>
    <t>No: 03/BAP/GS/IV/2019</t>
  </si>
  <si>
    <t>No: 07/BAP/GS/IV/2019</t>
  </si>
  <si>
    <t>Sewa Gudang</t>
  </si>
  <si>
    <t>PPH 21</t>
  </si>
  <si>
    <t>No: 04/BAP/GS/IV/2019</t>
  </si>
  <si>
    <t>No: 08/BAP/GS/IV/2019</t>
  </si>
  <si>
    <t>Asuransi</t>
  </si>
  <si>
    <t>Penyusutan Aktiva Tetap</t>
  </si>
  <si>
    <t>WORKSHEET</t>
  </si>
  <si>
    <t>December 31, 2011</t>
  </si>
  <si>
    <t>Acc. No.</t>
  </si>
  <si>
    <t>Trial Balance</t>
  </si>
  <si>
    <t>Journal</t>
  </si>
  <si>
    <t>Balance Sheet</t>
  </si>
  <si>
    <t>Adjusting Journal Entries</t>
  </si>
  <si>
    <t>Adjusted Trial Balance</t>
  </si>
  <si>
    <t>Income Summary</t>
  </si>
  <si>
    <t>EQUITY CHANGE</t>
  </si>
  <si>
    <t>CREDIT</t>
  </si>
  <si>
    <t>Total</t>
  </si>
  <si>
    <t>PT Gunung Semeru</t>
  </si>
  <si>
    <t>Jl. Pulo Gundul No. 12</t>
  </si>
  <si>
    <t>Modal Awal</t>
  </si>
  <si>
    <t/>
  </si>
  <si>
    <t>Perubahan</t>
  </si>
  <si>
    <t>HPP</t>
  </si>
  <si>
    <t>Persediaan</t>
  </si>
  <si>
    <t>Total Modal</t>
  </si>
  <si>
    <t>Beban</t>
  </si>
  <si>
    <t>Beban PPh 21</t>
  </si>
  <si>
    <t>Jakarta Selatan</t>
  </si>
  <si>
    <t>DATE</t>
  </si>
  <si>
    <t>ACC. NO</t>
  </si>
  <si>
    <t>DESCRIPTION</t>
  </si>
  <si>
    <t>Entertainment Expense</t>
  </si>
  <si>
    <t>Office Supplies</t>
  </si>
  <si>
    <t>Other Expense</t>
  </si>
  <si>
    <t>RECAPITULATION</t>
  </si>
  <si>
    <t>ACC NO.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</si>
</sst>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Rp&quot;#,##0"/>
    <numFmt numFmtId="165" formatCode="_-[$Rp-421]* #,##0_-;_-[$Rp-421]* \-#,##0_-;_-[$Rp-421]* &quot;-&quot;??_-;_-@"/>
    <numFmt numFmtId="166" formatCode="_-[$Rp-421]* #,##0.00_-;_-[$Rp-421]* \-#,##0.00_-;_-[$Rp-421]* &quot;-&quot;??_-;_-@"/>
    <numFmt numFmtId="167" formatCode="dd/mm/yyyy"/>
    <numFmt numFmtId="168" formatCode="_(* #,##0.00_);_(* \(#,##0.00\);_(* &quot;-&quot;??_);_(@_)"/>
    <numFmt numFmtId="169" formatCode="_-[$Rp-421]* #,##0.00_-;_-[$Rp-421]* \-#,##0.00_-;_-[$Rp-421]* &quot;-&quot;??.00_-;_-@"/>
    <numFmt numFmtId="170" formatCode="dd&quot;-&quot;mmm"/>
    <numFmt numFmtId="171" formatCode="[&lt;=999]000;[&lt;=9999]000\-00;000\-0000"/>
  </numFmts>
  <fonts count="17">
    <font>
      <sz val="10.0"/>
      <color rgb="FF000000"/>
      <name val="Arial"/>
      <scheme val="minor"/>
    </font>
    <font>
      <sz val="18.0"/>
      <color rgb="FF000000"/>
      <name val="Calibri"/>
    </font>
    <font>
      <sz val="11.0"/>
      <color rgb="FF000000"/>
      <name val="Calibri"/>
    </font>
    <font/>
    <font>
      <b/>
      <color theme="1"/>
      <name val="Arial"/>
    </font>
    <font>
      <color theme="1"/>
      <name val="Arial"/>
    </font>
    <font>
      <b/>
      <sz val="11.0"/>
      <color rgb="FF000000"/>
      <name val="Calibri"/>
    </font>
    <font>
      <color theme="1"/>
      <name val="Tahoma"/>
    </font>
    <font>
      <b/>
      <sz val="11.0"/>
      <color theme="1"/>
      <name val="Tahoma"/>
    </font>
    <font>
      <b/>
      <color theme="1"/>
      <name val="Tahoma"/>
    </font>
    <font>
      <sz val="11.0"/>
      <color theme="1"/>
      <name val="Calibri"/>
    </font>
    <font>
      <b/>
      <sz val="11.0"/>
      <color theme="1"/>
      <name val="Calibri"/>
    </font>
    <font>
      <b/>
      <sz val="16.0"/>
      <color theme="1"/>
      <name val="Tahoma"/>
    </font>
    <font>
      <b/>
      <sz val="12.0"/>
      <color theme="1"/>
      <name val="Arial"/>
    </font>
    <font>
      <b/>
      <sz val="12.0"/>
      <color theme="1"/>
      <name val="Tahoma"/>
    </font>
    <font>
      <b/>
      <sz val="14.0"/>
      <color theme="1"/>
      <name val="Tahoma"/>
    </font>
    <font>
      <b/>
      <i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</fills>
  <borders count="7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</border>
    <border>
      <bottom style="medium">
        <color rgb="FF000000"/>
      </bottom>
    </border>
    <border>
      <right style="double">
        <color rgb="FF000000"/>
      </right>
      <bottom style="medium">
        <color rgb="FF000000"/>
      </bottom>
    </border>
    <border>
      <left style="double">
        <color rgb="FF000000"/>
      </left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double">
        <color rgb="FF000000"/>
      </left>
      <right style="thin">
        <color rgb="FFC0C0C0"/>
      </right>
      <bottom style="thin">
        <color rgb="FFC0C0C0"/>
      </bottom>
    </border>
    <border>
      <right style="double">
        <color rgb="FF000000"/>
      </right>
      <bottom style="thin">
        <color rgb="FFC0C0C0"/>
      </bottom>
    </border>
    <border>
      <left style="double">
        <color rgb="FF000000"/>
      </left>
      <right style="thin">
        <color rgb="FFC0C0C0"/>
      </righ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bottom style="double">
        <color rgb="FF000000"/>
      </bottom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ck">
        <color rgb="FF000000"/>
      </right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right style="thin">
        <color rgb="FF000000"/>
      </right>
      <top style="double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right style="thick">
        <color rgb="FF000000"/>
      </right>
      <bottom style="thick">
        <color rgb="FF000000"/>
      </bottom>
    </border>
    <border>
      <left style="double">
        <color rgb="FF000000"/>
      </left>
      <right style="thin">
        <color rgb="FF000000"/>
      </right>
    </border>
    <border>
      <right style="double">
        <color rgb="FF000000"/>
      </right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ck">
        <color rgb="FF000000"/>
      </bottom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right style="thin">
        <color rgb="FF000000"/>
      </right>
      <bottom style="thin">
        <color rgb="FF434343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2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0"/>
    </xf>
    <xf borderId="1" fillId="0" fontId="2" numFmtId="0" xfId="0" applyAlignment="1" applyBorder="1" applyFont="1">
      <alignment horizontal="center" shrinkToFit="0" vertical="bottom" wrapText="0"/>
    </xf>
    <xf borderId="2" fillId="0" fontId="3" numFmtId="0" xfId="0" applyBorder="1" applyFont="1"/>
    <xf borderId="3" fillId="0" fontId="2" numFmtId="0" xfId="0" applyAlignment="1" applyBorder="1" applyFont="1">
      <alignment horizontal="center" shrinkToFit="0" vertical="bottom" wrapText="0"/>
    </xf>
    <xf borderId="3" fillId="0" fontId="2" numFmtId="0" xfId="0" applyAlignment="1" applyBorder="1" applyFont="1">
      <alignment horizontal="center" shrinkToFit="0" wrapText="0"/>
    </xf>
    <xf borderId="1" fillId="0" fontId="2" numFmtId="0" xfId="0" applyAlignment="1" applyBorder="1" applyFont="1">
      <alignment horizontal="left" shrinkToFit="0" wrapText="0"/>
    </xf>
    <xf borderId="3" fillId="0" fontId="2" numFmtId="164" xfId="0" applyAlignment="1" applyBorder="1" applyFont="1" applyNumberFormat="1">
      <alignment horizontal="right" shrinkToFit="0" vertical="bottom" wrapText="0"/>
    </xf>
    <xf borderId="3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4" fillId="0" fontId="3" numFmtId="0" xfId="0" applyBorder="1" applyFont="1"/>
    <xf borderId="5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" fillId="0" fontId="5" numFmtId="0" xfId="0" applyBorder="1" applyFont="1"/>
    <xf borderId="3" fillId="0" fontId="5" numFmtId="165" xfId="0" applyBorder="1" applyFont="1" applyNumberFormat="1"/>
    <xf borderId="3" fillId="0" fontId="5" numFmtId="0" xfId="0" applyBorder="1" applyFont="1"/>
    <xf borderId="3" fillId="0" fontId="5" numFmtId="166" xfId="0" applyBorder="1" applyFont="1" applyNumberFormat="1"/>
    <xf borderId="3" fillId="0" fontId="5" numFmtId="167" xfId="0" applyBorder="1" applyFont="1" applyNumberFormat="1"/>
    <xf borderId="0" fillId="0" fontId="5" numFmtId="166" xfId="0" applyFont="1" applyNumberFormat="1"/>
    <xf borderId="0" fillId="0" fontId="2" numFmtId="0" xfId="0" applyAlignment="1" applyFont="1">
      <alignment shrinkToFit="0" vertical="bottom" wrapText="0"/>
    </xf>
    <xf borderId="6" fillId="0" fontId="2" numFmtId="0" xfId="0" applyAlignment="1" applyBorder="1" applyFont="1">
      <alignment shrinkToFit="0" vertical="bottom" wrapText="0"/>
    </xf>
    <xf borderId="11" fillId="0" fontId="6" numFmtId="0" xfId="0" applyAlignment="1" applyBorder="1" applyFont="1">
      <alignment horizontal="center" shrinkToFit="0" vertical="bottom" wrapText="0"/>
    </xf>
    <xf borderId="11" fillId="0" fontId="3" numFmtId="0" xfId="0" applyBorder="1" applyFont="1"/>
    <xf borderId="7" fillId="0" fontId="2" numFmtId="0" xfId="0" applyAlignment="1" applyBorder="1" applyFont="1">
      <alignment shrinkToFit="0" vertical="bottom" wrapText="0"/>
    </xf>
    <xf borderId="12" fillId="0" fontId="2" numFmtId="0" xfId="0" applyAlignment="1" applyBorder="1" applyFont="1">
      <alignment shrinkToFit="0" vertical="bottom" wrapText="0"/>
    </xf>
    <xf borderId="13" fillId="0" fontId="2" numFmtId="0" xfId="0" applyAlignment="1" applyBorder="1" applyFont="1">
      <alignment shrinkToFit="0" vertical="bottom" wrapText="0"/>
    </xf>
    <xf borderId="14" fillId="0" fontId="6" numFmtId="0" xfId="0" applyAlignment="1" applyBorder="1" applyFont="1">
      <alignment horizontal="left" shrinkToFit="0" vertical="bottom" wrapText="0"/>
    </xf>
    <xf borderId="14" fillId="0" fontId="3" numFmtId="0" xfId="0" applyBorder="1" applyFont="1"/>
    <xf borderId="14" fillId="0" fontId="2" numFmtId="167" xfId="0" applyAlignment="1" applyBorder="1" applyFont="1" applyNumberFormat="1">
      <alignment horizontal="left" shrinkToFit="0" vertical="bottom" wrapText="0"/>
    </xf>
    <xf borderId="14" fillId="0" fontId="2" numFmtId="0" xfId="0" applyAlignment="1" applyBorder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2" fillId="0" fontId="6" numFmtId="0" xfId="0" applyAlignment="1" applyBorder="1" applyFont="1">
      <alignment horizontal="center" shrinkToFit="0" vertical="bottom" wrapText="0"/>
    </xf>
    <xf borderId="9" fillId="0" fontId="2" numFmtId="0" xfId="0" applyAlignment="1" applyBorder="1" applyFont="1">
      <alignment horizontal="center" shrinkToFit="0" vertical="bottom" wrapText="0"/>
    </xf>
    <xf borderId="9" fillId="2" fontId="2" numFmtId="0" xfId="0" applyAlignment="1" applyBorder="1" applyFill="1" applyFont="1">
      <alignment shrinkToFit="0" vertical="bottom" wrapText="0"/>
    </xf>
    <xf borderId="10" fillId="0" fontId="2" numFmtId="0" xfId="0" applyAlignment="1" applyBorder="1" applyFont="1">
      <alignment shrinkToFit="0" vertical="bottom" wrapText="0"/>
    </xf>
    <xf borderId="10" fillId="0" fontId="2" numFmtId="4" xfId="0" applyAlignment="1" applyBorder="1" applyFont="1" applyNumberFormat="1">
      <alignment shrinkToFit="0" vertical="bottom" wrapText="0"/>
    </xf>
    <xf borderId="9" fillId="0" fontId="2" numFmtId="0" xfId="0" applyAlignment="1" applyBorder="1" applyFont="1">
      <alignment shrinkToFit="0" vertical="bottom" wrapText="0"/>
    </xf>
    <xf borderId="14" fillId="0" fontId="2" numFmtId="0" xfId="0" applyAlignment="1" applyBorder="1" applyFont="1">
      <alignment shrinkToFit="0" vertical="bottom" wrapText="0"/>
    </xf>
    <xf borderId="0" fillId="0" fontId="6" numFmtId="0" xfId="0" applyAlignment="1" applyFont="1">
      <alignment horizontal="center" shrinkToFit="0" vertical="bottom" wrapText="0"/>
    </xf>
    <xf borderId="14" fillId="0" fontId="6" numFmtId="0" xfId="0" applyAlignment="1" applyBorder="1" applyFont="1">
      <alignment horizontal="center" shrinkToFit="0" vertical="bottom" wrapText="0"/>
    </xf>
    <xf borderId="4" fillId="0" fontId="6" numFmtId="0" xfId="0" applyAlignment="1" applyBorder="1" applyFont="1">
      <alignment horizontal="center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2" fontId="2" numFmtId="0" xfId="0" applyAlignment="1" applyFon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0" fillId="0" fontId="5" numFmtId="165" xfId="0" applyFont="1" applyNumberFormat="1"/>
    <xf borderId="0" fillId="0" fontId="7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0" fillId="0" fontId="5" numFmtId="165" xfId="0" applyAlignment="1" applyFont="1" applyNumberFormat="1">
      <alignment vertical="bottom"/>
    </xf>
    <xf borderId="0" fillId="0" fontId="7" numFmtId="165" xfId="0" applyAlignment="1" applyFont="1" applyNumberFormat="1">
      <alignment vertical="bottom"/>
    </xf>
    <xf borderId="15" fillId="0" fontId="7" numFmtId="0" xfId="0" applyAlignment="1" applyBorder="1" applyFont="1">
      <alignment vertical="bottom"/>
    </xf>
    <xf borderId="16" fillId="0" fontId="3" numFmtId="0" xfId="0" applyBorder="1" applyFont="1"/>
    <xf borderId="17" fillId="0" fontId="5" numFmtId="0" xfId="0" applyAlignment="1" applyBorder="1" applyFont="1">
      <alignment vertical="bottom"/>
    </xf>
    <xf borderId="18" fillId="0" fontId="8" numFmtId="0" xfId="0" applyAlignment="1" applyBorder="1" applyFont="1">
      <alignment horizontal="center" vertical="bottom"/>
    </xf>
    <xf borderId="18" fillId="0" fontId="3" numFmtId="0" xfId="0" applyBorder="1" applyFont="1"/>
    <xf borderId="17" fillId="0" fontId="3" numFmtId="0" xfId="0" applyBorder="1" applyFont="1"/>
    <xf borderId="18" fillId="0" fontId="5" numFmtId="165" xfId="0" applyAlignment="1" applyBorder="1" applyFont="1" applyNumberFormat="1">
      <alignment vertical="bottom"/>
    </xf>
    <xf borderId="19" fillId="0" fontId="7" numFmtId="165" xfId="0" applyAlignment="1" applyBorder="1" applyFont="1" applyNumberFormat="1">
      <alignment vertical="bottom"/>
    </xf>
    <xf borderId="20" fillId="0" fontId="5" numFmtId="0" xfId="0" applyAlignment="1" applyBorder="1" applyFont="1">
      <alignment vertical="bottom"/>
    </xf>
    <xf borderId="14" fillId="0" fontId="5" numFmtId="0" xfId="0" applyAlignment="1" applyBorder="1" applyFont="1">
      <alignment vertical="bottom"/>
    </xf>
    <xf borderId="10" fillId="0" fontId="9" numFmtId="0" xfId="0" applyAlignment="1" applyBorder="1" applyFont="1">
      <alignment horizontal="right" vertical="bottom"/>
    </xf>
    <xf borderId="14" fillId="0" fontId="5" numFmtId="165" xfId="0" applyAlignment="1" applyBorder="1" applyFont="1" applyNumberFormat="1">
      <alignment vertical="bottom"/>
    </xf>
    <xf borderId="21" fillId="0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right" vertical="bottom"/>
    </xf>
    <xf borderId="22" fillId="0" fontId="7" numFmtId="0" xfId="0" applyAlignment="1" applyBorder="1" applyFont="1">
      <alignment horizontal="center" vertical="bottom"/>
    </xf>
    <xf borderId="13" fillId="0" fontId="3" numFmtId="0" xfId="0" applyBorder="1" applyFont="1"/>
    <xf borderId="13" fillId="0" fontId="7" numFmtId="0" xfId="0" applyAlignment="1" applyBorder="1" applyFont="1">
      <alignment horizontal="center" vertical="bottom"/>
    </xf>
    <xf borderId="23" fillId="0" fontId="7" numFmtId="165" xfId="0" applyAlignment="1" applyBorder="1" applyFont="1" applyNumberFormat="1">
      <alignment horizontal="center" vertical="bottom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10" fillId="0" fontId="7" numFmtId="165" xfId="0" applyAlignment="1" applyBorder="1" applyFont="1" applyNumberFormat="1">
      <alignment horizontal="center" vertical="bottom"/>
    </xf>
    <xf borderId="21" fillId="0" fontId="7" numFmtId="165" xfId="0" applyAlignment="1" applyBorder="1" applyFont="1" applyNumberFormat="1">
      <alignment horizontal="center" vertical="bottom"/>
    </xf>
    <xf borderId="27" fillId="0" fontId="7" numFmtId="0" xfId="0" applyAlignment="1" applyBorder="1" applyFont="1">
      <alignment vertical="bottom"/>
    </xf>
    <xf borderId="26" fillId="0" fontId="7" numFmtId="0" xfId="0" applyAlignment="1" applyBorder="1" applyFont="1">
      <alignment horizontal="right" vertical="bottom"/>
    </xf>
    <xf borderId="26" fillId="0" fontId="5" numFmtId="0" xfId="0" applyAlignment="1" applyBorder="1" applyFont="1">
      <alignment vertical="bottom"/>
    </xf>
    <xf borderId="26" fillId="0" fontId="5" numFmtId="168" xfId="0" applyAlignment="1" applyBorder="1" applyFont="1" applyNumberFormat="1">
      <alignment vertical="bottom"/>
    </xf>
    <xf borderId="26" fillId="0" fontId="7" numFmtId="165" xfId="0" applyAlignment="1" applyBorder="1" applyFont="1" applyNumberFormat="1">
      <alignment horizontal="center" vertical="bottom"/>
    </xf>
    <xf borderId="28" fillId="0" fontId="5" numFmtId="165" xfId="0" applyAlignment="1" applyBorder="1" applyFont="1" applyNumberFormat="1">
      <alignment vertical="bottom"/>
    </xf>
    <xf borderId="27" fillId="0" fontId="5" numFmtId="0" xfId="0" applyAlignment="1" applyBorder="1" applyFont="1">
      <alignment vertical="bottom"/>
    </xf>
    <xf borderId="26" fillId="0" fontId="7" numFmtId="0" xfId="0" applyAlignment="1" applyBorder="1" applyFont="1">
      <alignment horizontal="center" vertical="bottom"/>
    </xf>
    <xf borderId="26" fillId="0" fontId="5" numFmtId="168" xfId="0" applyAlignment="1" applyBorder="1" applyFont="1" applyNumberFormat="1">
      <alignment horizontal="right" vertical="bottom"/>
    </xf>
    <xf borderId="26" fillId="0" fontId="5" numFmtId="165" xfId="0" applyAlignment="1" applyBorder="1" applyFont="1" applyNumberFormat="1">
      <alignment horizontal="right" vertical="bottom"/>
    </xf>
    <xf borderId="29" fillId="0" fontId="5" numFmtId="0" xfId="0" applyAlignment="1" applyBorder="1" applyFont="1">
      <alignment vertical="bottom"/>
    </xf>
    <xf borderId="30" fillId="0" fontId="5" numFmtId="0" xfId="0" applyAlignment="1" applyBorder="1" applyFont="1">
      <alignment vertical="bottom"/>
    </xf>
    <xf borderId="30" fillId="0" fontId="5" numFmtId="168" xfId="0" applyAlignment="1" applyBorder="1" applyFont="1" applyNumberFormat="1">
      <alignment vertical="bottom"/>
    </xf>
    <xf borderId="30" fillId="0" fontId="5" numFmtId="165" xfId="0" applyAlignment="1" applyBorder="1" applyFont="1" applyNumberFormat="1">
      <alignment vertical="bottom"/>
    </xf>
    <xf borderId="31" fillId="0" fontId="5" numFmtId="165" xfId="0" applyAlignment="1" applyBorder="1" applyFont="1" applyNumberFormat="1">
      <alignment vertical="bottom"/>
    </xf>
    <xf borderId="23" fillId="0" fontId="7" numFmtId="0" xfId="0" applyAlignment="1" applyBorder="1" applyFont="1">
      <alignment horizontal="center" vertical="bottom"/>
    </xf>
    <xf borderId="0" fillId="0" fontId="5" numFmtId="0" xfId="0" applyFont="1"/>
    <xf borderId="10" fillId="0" fontId="2" numFmtId="166" xfId="0" applyAlignment="1" applyBorder="1" applyFont="1" applyNumberFormat="1">
      <alignment shrinkToFit="0" vertical="bottom" wrapText="0"/>
    </xf>
    <xf borderId="3" fillId="0" fontId="10" numFmtId="0" xfId="0" applyAlignment="1" applyBorder="1" applyFont="1">
      <alignment horizontal="center" vertical="bottom"/>
    </xf>
    <xf borderId="3" fillId="0" fontId="5" numFmtId="166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vertical="bottom"/>
    </xf>
    <xf borderId="11" fillId="0" fontId="11" numFmtId="0" xfId="0" applyAlignment="1" applyBorder="1" applyFont="1">
      <alignment horizontal="center" vertical="bottom"/>
    </xf>
    <xf borderId="7" fillId="0" fontId="5" numFmtId="0" xfId="0" applyAlignment="1" applyBorder="1" applyFont="1">
      <alignment vertical="bottom"/>
    </xf>
    <xf borderId="12" fillId="0" fontId="5" numFmtId="0" xfId="0" applyAlignment="1" applyBorder="1" applyFont="1">
      <alignment vertical="bottom"/>
    </xf>
    <xf borderId="13" fillId="0" fontId="5" numFmtId="0" xfId="0" applyAlignment="1" applyBorder="1" applyFont="1">
      <alignment vertical="bottom"/>
    </xf>
    <xf borderId="14" fillId="0" fontId="11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14" fillId="0" fontId="10" numFmtId="167" xfId="0" applyAlignment="1" applyBorder="1" applyFont="1" applyNumberFormat="1">
      <alignment vertical="bottom"/>
    </xf>
    <xf borderId="14" fillId="0" fontId="10" numFmtId="0" xfId="0" applyAlignment="1" applyBorder="1" applyFont="1">
      <alignment vertical="bottom"/>
    </xf>
    <xf borderId="1" fillId="0" fontId="11" numFmtId="0" xfId="0" applyAlignment="1" applyBorder="1" applyFont="1">
      <alignment horizontal="center" vertical="bottom"/>
    </xf>
    <xf borderId="2" fillId="0" fontId="11" numFmtId="0" xfId="0" applyAlignment="1" applyBorder="1" applyFont="1">
      <alignment horizontal="center" vertical="bottom"/>
    </xf>
    <xf borderId="9" fillId="0" fontId="10" numFmtId="0" xfId="0" applyAlignment="1" applyBorder="1" applyFont="1">
      <alignment horizontal="center" vertical="bottom"/>
    </xf>
    <xf borderId="9" fillId="2" fontId="10" numFmtId="0" xfId="0" applyAlignment="1" applyBorder="1" applyFont="1">
      <alignment vertical="bottom"/>
    </xf>
    <xf borderId="10" fillId="0" fontId="5" numFmtId="0" xfId="0" applyAlignment="1" applyBorder="1" applyFont="1">
      <alignment vertical="bottom"/>
    </xf>
    <xf borderId="10" fillId="0" fontId="10" numFmtId="166" xfId="0" applyAlignment="1" applyBorder="1" applyFont="1" applyNumberFormat="1">
      <alignment horizontal="right" vertical="bottom"/>
    </xf>
    <xf borderId="10" fillId="0" fontId="5" numFmtId="166" xfId="0" applyAlignment="1" applyBorder="1" applyFont="1" applyNumberFormat="1">
      <alignment vertical="bottom"/>
    </xf>
    <xf borderId="9" fillId="0" fontId="5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0" fillId="0" fontId="1" numFmtId="0" xfId="0" applyAlignment="1" applyFont="1">
      <alignment horizontal="center" shrinkToFit="0" vertical="center" wrapText="0"/>
    </xf>
    <xf borderId="3" fillId="0" fontId="2" numFmtId="165" xfId="0" applyAlignment="1" applyBorder="1" applyFont="1" applyNumberFormat="1">
      <alignment horizontal="right" shrinkToFit="0" vertical="bottom" wrapText="0"/>
    </xf>
    <xf borderId="3" fillId="0" fontId="2" numFmtId="165" xfId="0" applyAlignment="1" applyBorder="1" applyFont="1" applyNumberFormat="1">
      <alignment shrinkToFit="0" vertical="bottom" wrapText="0"/>
    </xf>
    <xf borderId="0" fillId="0" fontId="2" numFmtId="164" xfId="0" applyAlignment="1" applyFont="1" applyNumberFormat="1">
      <alignment horizontal="right" shrinkToFit="0" vertical="bottom" wrapText="0"/>
    </xf>
    <xf borderId="0" fillId="0" fontId="2" numFmtId="0" xfId="0" applyAlignment="1" applyFont="1">
      <alignment horizontal="center" shrinkToFit="0" wrapText="0"/>
    </xf>
    <xf borderId="0" fillId="0" fontId="2" numFmtId="165" xfId="0" applyAlignment="1" applyFont="1" applyNumberFormat="1">
      <alignment shrinkToFit="0" vertical="bottom" wrapText="0"/>
    </xf>
    <xf borderId="0" fillId="0" fontId="12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32" fillId="0" fontId="5" numFmtId="0" xfId="0" applyAlignment="1" applyBorder="1" applyFont="1">
      <alignment vertical="bottom"/>
    </xf>
    <xf borderId="33" fillId="3" fontId="9" numFmtId="0" xfId="0" applyAlignment="1" applyBorder="1" applyFill="1" applyFont="1">
      <alignment horizontal="center" shrinkToFit="0" wrapText="1"/>
    </xf>
    <xf borderId="0" fillId="3" fontId="9" numFmtId="0" xfId="0" applyAlignment="1" applyFont="1">
      <alignment horizontal="center"/>
    </xf>
    <xf borderId="34" fillId="3" fontId="9" numFmtId="168" xfId="0" applyAlignment="1" applyBorder="1" applyFont="1" applyNumberFormat="1">
      <alignment horizontal="center"/>
    </xf>
    <xf borderId="35" fillId="0" fontId="3" numFmtId="0" xfId="0" applyBorder="1" applyFont="1"/>
    <xf borderId="36" fillId="3" fontId="9" numFmtId="168" xfId="0" applyAlignment="1" applyBorder="1" applyFont="1" applyNumberFormat="1">
      <alignment horizontal="center"/>
    </xf>
    <xf borderId="37" fillId="3" fontId="9" numFmtId="168" xfId="0" applyAlignment="1" applyBorder="1" applyFont="1" applyNumberFormat="1">
      <alignment horizontal="center"/>
    </xf>
    <xf borderId="38" fillId="3" fontId="9" numFmtId="168" xfId="0" applyAlignment="1" applyBorder="1" applyFont="1" applyNumberFormat="1">
      <alignment horizontal="center" vertical="bottom"/>
    </xf>
    <xf borderId="39" fillId="3" fontId="9" numFmtId="168" xfId="0" applyAlignment="1" applyBorder="1" applyFont="1" applyNumberFormat="1">
      <alignment horizontal="center" vertical="bottom"/>
    </xf>
    <xf borderId="40" fillId="3" fontId="9" numFmtId="168" xfId="0" applyAlignment="1" applyBorder="1" applyFont="1" applyNumberFormat="1">
      <alignment horizontal="center"/>
    </xf>
    <xf borderId="8" fillId="0" fontId="5" numFmtId="49" xfId="0" applyAlignment="1" applyBorder="1" applyFont="1" applyNumberFormat="1">
      <alignment vertical="bottom"/>
    </xf>
    <xf borderId="36" fillId="0" fontId="5" numFmtId="169" xfId="0" applyAlignment="1" applyBorder="1" applyFont="1" applyNumberFormat="1">
      <alignment horizontal="right" vertical="bottom"/>
    </xf>
    <xf borderId="37" fillId="0" fontId="5" numFmtId="169" xfId="0" applyAlignment="1" applyBorder="1" applyFont="1" applyNumberFormat="1">
      <alignment vertical="bottom"/>
    </xf>
    <xf borderId="36" fillId="0" fontId="5" numFmtId="166" xfId="0" applyAlignment="1" applyBorder="1" applyFont="1" applyNumberFormat="1">
      <alignment horizontal="right" vertical="bottom"/>
    </xf>
    <xf borderId="37" fillId="0" fontId="5" numFmtId="166" xfId="0" applyAlignment="1" applyBorder="1" applyFont="1" applyNumberFormat="1">
      <alignment horizontal="right" vertical="bottom"/>
    </xf>
    <xf borderId="37" fillId="0" fontId="5" numFmtId="166" xfId="0" applyAlignment="1" applyBorder="1" applyFont="1" applyNumberFormat="1">
      <alignment vertical="bottom"/>
    </xf>
    <xf borderId="36" fillId="0" fontId="5" numFmtId="166" xfId="0" applyAlignment="1" applyBorder="1" applyFont="1" applyNumberFormat="1">
      <alignment vertical="bottom"/>
    </xf>
    <xf borderId="2" fillId="0" fontId="5" numFmtId="166" xfId="0" applyAlignment="1" applyBorder="1" applyFont="1" applyNumberFormat="1">
      <alignment vertical="bottom"/>
    </xf>
    <xf borderId="3" fillId="0" fontId="5" numFmtId="49" xfId="0" applyAlignment="1" applyBorder="1" applyFont="1" applyNumberFormat="1">
      <alignment vertical="bottom"/>
    </xf>
    <xf borderId="1" fillId="0" fontId="5" numFmtId="0" xfId="0" applyAlignment="1" applyBorder="1" applyFont="1">
      <alignment vertical="bottom"/>
    </xf>
    <xf borderId="41" fillId="0" fontId="5" numFmtId="169" xfId="0" applyAlignment="1" applyBorder="1" applyFont="1" applyNumberFormat="1">
      <alignment vertical="bottom"/>
    </xf>
    <xf borderId="36" fillId="0" fontId="5" numFmtId="169" xfId="0" applyAlignment="1" applyBorder="1" applyFont="1" applyNumberFormat="1">
      <alignment vertical="bottom"/>
    </xf>
    <xf borderId="41" fillId="0" fontId="5" numFmtId="169" xfId="0" applyAlignment="1" applyBorder="1" applyFont="1" applyNumberFormat="1">
      <alignment horizontal="right" vertical="bottom"/>
    </xf>
    <xf borderId="5" fillId="0" fontId="5" numFmtId="49" xfId="0" applyAlignment="1" applyBorder="1" applyFont="1" applyNumberFormat="1">
      <alignment vertical="bottom"/>
    </xf>
    <xf borderId="40" fillId="0" fontId="5" numFmtId="169" xfId="0" applyAlignment="1" applyBorder="1" applyFont="1" applyNumberFormat="1">
      <alignment horizontal="right" vertical="bottom"/>
    </xf>
    <xf borderId="42" fillId="0" fontId="5" numFmtId="169" xfId="0" applyAlignment="1" applyBorder="1" applyFont="1" applyNumberFormat="1">
      <alignment vertical="bottom"/>
    </xf>
    <xf borderId="40" fillId="0" fontId="5" numFmtId="166" xfId="0" applyAlignment="1" applyBorder="1" applyFont="1" applyNumberFormat="1">
      <alignment horizontal="right" vertical="bottom"/>
    </xf>
    <xf borderId="43" fillId="0" fontId="5" numFmtId="166" xfId="0" applyAlignment="1" applyBorder="1" applyFont="1" applyNumberFormat="1">
      <alignment vertical="bottom"/>
    </xf>
    <xf borderId="40" fillId="0" fontId="5" numFmtId="166" xfId="0" applyAlignment="1" applyBorder="1" applyFont="1" applyNumberFormat="1">
      <alignment vertical="bottom"/>
    </xf>
    <xf borderId="43" fillId="0" fontId="5" numFmtId="166" xfId="0" applyAlignment="1" applyBorder="1" applyFont="1" applyNumberFormat="1">
      <alignment horizontal="right" vertical="bottom"/>
    </xf>
    <xf borderId="7" fillId="0" fontId="5" numFmtId="166" xfId="0" applyAlignment="1" applyBorder="1" applyFont="1" applyNumberFormat="1">
      <alignment vertical="bottom"/>
    </xf>
    <xf borderId="44" fillId="0" fontId="5" numFmtId="0" xfId="0" applyAlignment="1" applyBorder="1" applyFont="1">
      <alignment horizontal="center" vertical="bottom"/>
    </xf>
    <xf borderId="44" fillId="0" fontId="5" numFmtId="0" xfId="0" applyAlignment="1" applyBorder="1" applyFont="1">
      <alignment vertical="bottom"/>
    </xf>
    <xf borderId="44" fillId="0" fontId="5" numFmtId="169" xfId="0" applyAlignment="1" applyBorder="1" applyFont="1" applyNumberForma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169" xfId="0" applyAlignment="1" applyFont="1" applyNumberFormat="1">
      <alignment horizontal="right" vertical="bottom"/>
    </xf>
    <xf borderId="18" fillId="0" fontId="5" numFmtId="166" xfId="0" applyAlignment="1" applyBorder="1" applyFont="1" applyNumberFormat="1">
      <alignment horizontal="center" vertical="bottom"/>
    </xf>
    <xf borderId="45" fillId="0" fontId="5" numFmtId="166" xfId="0" applyAlignment="1" applyBorder="1" applyFont="1" applyNumberFormat="1">
      <alignment horizontal="right" vertical="bottom"/>
    </xf>
    <xf borderId="45" fillId="0" fontId="5" numFmtId="166" xfId="0" applyAlignment="1" applyBorder="1" applyFont="1" applyNumberFormat="1">
      <alignment vertical="bottom"/>
    </xf>
    <xf borderId="0" fillId="0" fontId="5" numFmtId="166" xfId="0" applyAlignment="1" applyFont="1" applyNumberFormat="1">
      <alignment vertical="bottom"/>
    </xf>
    <xf borderId="0" fillId="0" fontId="5" numFmtId="166" xfId="0" applyAlignment="1" applyFont="1" applyNumberFormat="1">
      <alignment horizontal="right" vertical="bottom"/>
    </xf>
    <xf borderId="13" fillId="0" fontId="5" numFmtId="166" xfId="0" applyAlignment="1" applyBorder="1" applyFont="1" applyNumberFormat="1">
      <alignment vertical="bottom"/>
    </xf>
    <xf borderId="30" fillId="0" fontId="5" numFmtId="166" xfId="0" applyAlignment="1" applyBorder="1" applyFont="1" applyNumberFormat="1">
      <alignment vertical="bottom"/>
    </xf>
    <xf borderId="46" fillId="0" fontId="5" numFmtId="0" xfId="0" applyAlignment="1" applyBorder="1" applyFont="1">
      <alignment horizontal="center"/>
    </xf>
    <xf borderId="47" fillId="0" fontId="3" numFmtId="0" xfId="0" applyBorder="1" applyFont="1"/>
    <xf borderId="48" fillId="0" fontId="3" numFmtId="0" xfId="0" applyBorder="1" applyFont="1"/>
    <xf borderId="34" fillId="0" fontId="5" numFmtId="0" xfId="0" applyAlignment="1" applyBorder="1" applyFont="1">
      <alignment horizontal="center"/>
    </xf>
    <xf borderId="49" fillId="0" fontId="3" numFmtId="0" xfId="0" applyBorder="1" applyFont="1"/>
    <xf borderId="50" fillId="0" fontId="5" numFmtId="0" xfId="0" applyAlignment="1" applyBorder="1" applyFont="1">
      <alignment horizontal="center"/>
    </xf>
    <xf borderId="39" fillId="0" fontId="3" numFmtId="0" xfId="0" applyBorder="1" applyFont="1"/>
    <xf borderId="38" fillId="0" fontId="5" numFmtId="0" xfId="0" applyBorder="1" applyFont="1"/>
    <xf borderId="41" fillId="0" fontId="5" numFmtId="0" xfId="0" applyBorder="1" applyFont="1"/>
    <xf borderId="41" fillId="0" fontId="5" numFmtId="166" xfId="0" applyBorder="1" applyFont="1" applyNumberFormat="1"/>
    <xf borderId="41" fillId="0" fontId="5" numFmtId="165" xfId="0" applyBorder="1" applyFont="1" applyNumberFormat="1"/>
    <xf borderId="38" fillId="0" fontId="13" numFmtId="0" xfId="0" applyAlignment="1" applyBorder="1" applyFont="1">
      <alignment horizontal="center"/>
    </xf>
    <xf borderId="51" fillId="0" fontId="5" numFmtId="0" xfId="0" applyBorder="1" applyFont="1"/>
    <xf borderId="52" fillId="0" fontId="5" numFmtId="0" xfId="0" applyBorder="1" applyFont="1"/>
    <xf borderId="52" fillId="0" fontId="5" numFmtId="166" xfId="0" applyBorder="1" applyFont="1" applyNumberFormat="1"/>
    <xf borderId="53" fillId="0" fontId="5" numFmtId="166" xfId="0" applyBorder="1" applyFont="1" applyNumberFormat="1"/>
    <xf borderId="1" fillId="0" fontId="2" numFmtId="0" xfId="0" applyAlignment="1" applyBorder="1" applyFont="1">
      <alignment horizontal="center" shrinkToFit="0" vertical="center" wrapText="0"/>
    </xf>
    <xf borderId="54" fillId="0" fontId="5" numFmtId="0" xfId="0" applyBorder="1" applyFont="1"/>
    <xf borderId="55" fillId="0" fontId="5" numFmtId="0" xfId="0" applyBorder="1" applyFont="1"/>
    <xf borderId="56" fillId="0" fontId="5" numFmtId="165" xfId="0" applyBorder="1" applyFont="1" applyNumberFormat="1"/>
    <xf borderId="0" fillId="0" fontId="14" numFmtId="0" xfId="0" applyAlignment="1" applyFont="1">
      <alignment horizontal="center" vertical="bottom"/>
    </xf>
    <xf borderId="0" fillId="0" fontId="15" numFmtId="0" xfId="0" applyAlignment="1" applyFont="1">
      <alignment horizontal="center" vertical="bottom"/>
    </xf>
    <xf borderId="32" fillId="0" fontId="5" numFmtId="168" xfId="0" applyAlignment="1" applyBorder="1" applyFont="1" applyNumberFormat="1">
      <alignment vertical="bottom"/>
    </xf>
    <xf borderId="0" fillId="0" fontId="5" numFmtId="168" xfId="0" applyAlignment="1" applyFont="1" applyNumberFormat="1">
      <alignment vertical="bottom"/>
    </xf>
    <xf borderId="57" fillId="3" fontId="8" numFmtId="0" xfId="0" applyAlignment="1" applyBorder="1" applyFont="1">
      <alignment horizontal="center" vertical="center"/>
    </xf>
    <xf borderId="13" fillId="3" fontId="8" numFmtId="0" xfId="0" applyAlignment="1" applyBorder="1" applyFont="1">
      <alignment horizontal="center" shrinkToFit="0" vertical="center" wrapText="1"/>
    </xf>
    <xf borderId="0" fillId="3" fontId="8" numFmtId="0" xfId="0" applyAlignment="1" applyFont="1">
      <alignment horizontal="center" vertical="center"/>
    </xf>
    <xf borderId="13" fillId="3" fontId="8" numFmtId="168" xfId="0" applyAlignment="1" applyBorder="1" applyFont="1" applyNumberFormat="1">
      <alignment horizontal="center" vertical="center"/>
    </xf>
    <xf borderId="58" fillId="3" fontId="8" numFmtId="168" xfId="0" applyAlignment="1" applyBorder="1" applyFont="1" applyNumberFormat="1">
      <alignment horizontal="center" vertical="center"/>
    </xf>
    <xf borderId="59" fillId="0" fontId="3" numFmtId="0" xfId="0" applyBorder="1" applyFont="1"/>
    <xf borderId="21" fillId="0" fontId="3" numFmtId="0" xfId="0" applyBorder="1" applyFont="1"/>
    <xf borderId="59" fillId="0" fontId="5" numFmtId="170" xfId="0" applyAlignment="1" applyBorder="1" applyFont="1" applyNumberFormat="1">
      <alignment horizontal="right" vertical="bottom"/>
    </xf>
    <xf borderId="8" fillId="0" fontId="5" numFmtId="171" xfId="0" applyAlignment="1" applyBorder="1" applyFont="1" applyNumberFormat="1">
      <alignment vertical="bottom"/>
    </xf>
    <xf borderId="8" fillId="0" fontId="5" numFmtId="0" xfId="0" applyAlignment="1" applyBorder="1" applyFont="1">
      <alignment vertical="bottom"/>
    </xf>
    <xf borderId="8" fillId="0" fontId="5" numFmtId="166" xfId="0" applyAlignment="1" applyBorder="1" applyFont="1" applyNumberFormat="1">
      <alignment horizontal="right" vertical="bottom"/>
    </xf>
    <xf borderId="60" fillId="0" fontId="5" numFmtId="166" xfId="0" applyAlignment="1" applyBorder="1" applyFont="1" applyNumberFormat="1">
      <alignment vertical="bottom"/>
    </xf>
    <xf borderId="61" fillId="0" fontId="5" numFmtId="170" xfId="0" applyAlignment="1" applyBorder="1" applyFont="1" applyNumberFormat="1">
      <alignment vertical="bottom"/>
    </xf>
    <xf borderId="3" fillId="0" fontId="5" numFmtId="0" xfId="0" applyAlignment="1" applyBorder="1" applyFont="1">
      <alignment vertical="bottom"/>
    </xf>
    <xf borderId="62" fillId="0" fontId="5" numFmtId="166" xfId="0" applyAlignment="1" applyBorder="1" applyFont="1" applyNumberFormat="1">
      <alignment horizontal="right" vertical="bottom"/>
    </xf>
    <xf borderId="3" fillId="0" fontId="5" numFmtId="166" xfId="0" applyAlignment="1" applyBorder="1" applyFont="1" applyNumberFormat="1">
      <alignment vertical="bottom"/>
    </xf>
    <xf borderId="63" fillId="0" fontId="5" numFmtId="170" xfId="0" applyAlignment="1" applyBorder="1" applyFont="1" applyNumberFormat="1">
      <alignment vertical="bottom"/>
    </xf>
    <xf borderId="64" fillId="0" fontId="5" numFmtId="171" xfId="0" applyAlignment="1" applyBorder="1" applyFont="1" applyNumberFormat="1">
      <alignment vertical="bottom"/>
    </xf>
    <xf borderId="52" fillId="0" fontId="5" numFmtId="0" xfId="0" applyAlignment="1" applyBorder="1" applyFont="1">
      <alignment vertical="bottom"/>
    </xf>
    <xf borderId="52" fillId="0" fontId="5" numFmtId="166" xfId="0" applyAlignment="1" applyBorder="1" applyFont="1" applyNumberFormat="1">
      <alignment vertical="bottom"/>
    </xf>
    <xf borderId="65" fillId="0" fontId="5" numFmtId="166" xfId="0" applyAlignment="1" applyBorder="1" applyFont="1" applyNumberFormat="1">
      <alignment horizontal="right" vertical="bottom"/>
    </xf>
    <xf borderId="8" fillId="0" fontId="5" numFmtId="170" xfId="0" applyAlignment="1" applyBorder="1" applyFont="1" applyNumberFormat="1">
      <alignment vertical="bottom"/>
    </xf>
    <xf borderId="8" fillId="0" fontId="5" numFmtId="168" xfId="0" applyAlignment="1" applyBorder="1" applyFont="1" applyNumberFormat="1">
      <alignment vertical="bottom"/>
    </xf>
    <xf borderId="8" fillId="0" fontId="5" numFmtId="166" xfId="0" applyAlignment="1" applyBorder="1" applyFont="1" applyNumberFormat="1">
      <alignment vertical="bottom"/>
    </xf>
    <xf borderId="62" fillId="0" fontId="5" numFmtId="166" xfId="0" applyAlignment="1" applyBorder="1" applyFont="1" applyNumberFormat="1">
      <alignment vertical="bottom"/>
    </xf>
    <xf borderId="61" fillId="0" fontId="5" numFmtId="170" xfId="0" applyAlignment="1" applyBorder="1" applyFont="1" applyNumberFormat="1">
      <alignment horizontal="right" vertical="bottom"/>
    </xf>
    <xf borderId="63" fillId="0" fontId="5" numFmtId="170" xfId="0" applyAlignment="1" applyBorder="1" applyFont="1" applyNumberFormat="1">
      <alignment horizontal="right" vertical="bottom"/>
    </xf>
    <xf borderId="52" fillId="0" fontId="5" numFmtId="166" xfId="0" applyAlignment="1" applyBorder="1" applyFont="1" applyNumberFormat="1">
      <alignment horizontal="right" vertical="bottom"/>
    </xf>
    <xf borderId="66" fillId="0" fontId="5" numFmtId="170" xfId="0" applyAlignment="1" applyBorder="1" applyFont="1" applyNumberFormat="1">
      <alignment vertical="bottom"/>
    </xf>
    <xf borderId="30" fillId="0" fontId="5" numFmtId="171" xfId="0" applyAlignment="1" applyBorder="1" applyFont="1" applyNumberFormat="1">
      <alignment vertical="bottom"/>
    </xf>
    <xf borderId="30" fillId="0" fontId="5" numFmtId="166" xfId="0" applyAlignment="1" applyBorder="1" applyFont="1" applyNumberFormat="1">
      <alignment horizontal="right" vertical="bottom"/>
    </xf>
    <xf borderId="31" fillId="0" fontId="5" numFmtId="166" xfId="0" applyAlignment="1" applyBorder="1" applyFont="1" applyNumberFormat="1">
      <alignment horizontal="right" vertical="bottom"/>
    </xf>
    <xf borderId="0" fillId="0" fontId="5" numFmtId="170" xfId="0" applyAlignment="1" applyFont="1" applyNumberFormat="1">
      <alignment vertical="bottom"/>
    </xf>
    <xf borderId="67" fillId="0" fontId="5" numFmtId="171" xfId="0" applyAlignment="1" applyBorder="1" applyFont="1" applyNumberFormat="1">
      <alignment vertical="bottom"/>
    </xf>
    <xf borderId="67" fillId="0" fontId="5" numFmtId="166" xfId="0" applyAlignment="1" applyBorder="1" applyFont="1" applyNumberFormat="1">
      <alignment horizontal="right" vertical="bottom"/>
    </xf>
    <xf borderId="14" fillId="0" fontId="5" numFmtId="168" xfId="0" applyAlignment="1" applyBorder="1" applyFont="1" applyNumberFormat="1">
      <alignment vertical="bottom"/>
    </xf>
    <xf borderId="1" fillId="0" fontId="8" numFmtId="0" xfId="0" applyAlignment="1" applyBorder="1" applyFont="1">
      <alignment horizontal="center" vertical="bottom"/>
    </xf>
    <xf borderId="3" fillId="0" fontId="8" numFmtId="0" xfId="0" applyAlignment="1" applyBorder="1" applyFont="1">
      <alignment horizontal="center" vertical="bottom"/>
    </xf>
    <xf borderId="3" fillId="0" fontId="8" numFmtId="168" xfId="0" applyAlignment="1" applyBorder="1" applyFont="1" applyNumberFormat="1">
      <alignment horizontal="center" vertical="bottom"/>
    </xf>
    <xf borderId="68" fillId="0" fontId="16" numFmtId="168" xfId="0" applyAlignment="1" applyBorder="1" applyFont="1" applyNumberFormat="1">
      <alignment vertical="bottom"/>
    </xf>
    <xf borderId="69" fillId="0" fontId="16" numFmtId="166" xfId="0" applyAlignment="1" applyBorder="1" applyFont="1" applyNumberFormat="1">
      <alignment horizontal="right" shrinkToFit="0" vertical="bottom" wrapText="0"/>
    </xf>
    <xf borderId="70" fillId="0" fontId="16" numFmtId="166" xfId="0" applyAlignment="1" applyBorder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12.63"/>
    <col customWidth="1" min="3" max="3" width="27.25"/>
    <col customWidth="1" min="4" max="5" width="13.63"/>
    <col customWidth="1" min="6" max="6" width="12.63"/>
  </cols>
  <sheetData>
    <row r="1" ht="15.75" customHeight="1"/>
    <row r="2" ht="15.75" customHeight="1">
      <c r="B2" s="1" t="s">
        <v>0</v>
      </c>
    </row>
    <row r="3" ht="15.75" customHeight="1"/>
    <row r="4" ht="15.75" customHeight="1">
      <c r="B4" s="2" t="s">
        <v>1</v>
      </c>
      <c r="C4" s="3"/>
      <c r="D4" s="4" t="s">
        <v>2</v>
      </c>
      <c r="E4" s="4" t="s">
        <v>3</v>
      </c>
    </row>
    <row r="5" ht="15.75" customHeight="1">
      <c r="B5" s="5">
        <v>100.0</v>
      </c>
      <c r="C5" s="6" t="s">
        <v>4</v>
      </c>
      <c r="D5" s="7">
        <v>1.25E8</v>
      </c>
      <c r="E5" s="8"/>
    </row>
    <row r="6" ht="15.75" customHeight="1">
      <c r="B6" s="5">
        <v>101.0</v>
      </c>
      <c r="C6" s="9" t="s">
        <v>5</v>
      </c>
      <c r="D6" s="7">
        <v>5000000.0</v>
      </c>
      <c r="E6" s="8"/>
    </row>
    <row r="7" ht="15.75" customHeight="1">
      <c r="B7" s="5">
        <v>102.0</v>
      </c>
      <c r="C7" s="9" t="s">
        <v>6</v>
      </c>
      <c r="D7" s="7">
        <v>1.155E7</v>
      </c>
      <c r="E7" s="8"/>
    </row>
    <row r="8" ht="15.75" customHeight="1">
      <c r="B8" s="5">
        <v>103.0</v>
      </c>
      <c r="C8" s="9" t="s">
        <v>7</v>
      </c>
      <c r="D8" s="7">
        <v>2.3E7</v>
      </c>
      <c r="E8" s="8"/>
    </row>
    <row r="9" ht="15.75" customHeight="1">
      <c r="B9" s="5">
        <v>104.0</v>
      </c>
      <c r="C9" s="9" t="s">
        <v>8</v>
      </c>
      <c r="D9" s="7">
        <v>2000000.0</v>
      </c>
      <c r="E9" s="8"/>
    </row>
    <row r="10" ht="15.75" customHeight="1">
      <c r="B10" s="5">
        <v>105.0</v>
      </c>
      <c r="C10" s="9" t="s">
        <v>9</v>
      </c>
      <c r="D10" s="8"/>
      <c r="E10" s="8"/>
    </row>
    <row r="11" ht="15.75" customHeight="1">
      <c r="B11" s="5">
        <v>106.0</v>
      </c>
      <c r="C11" s="9" t="s">
        <v>10</v>
      </c>
      <c r="D11" s="8"/>
      <c r="E11" s="8"/>
    </row>
    <row r="12" ht="15.75" customHeight="1">
      <c r="B12" s="5">
        <v>107.0</v>
      </c>
      <c r="C12" s="9" t="s">
        <v>11</v>
      </c>
      <c r="D12" s="8"/>
      <c r="E12" s="8"/>
    </row>
    <row r="13" ht="15.75" customHeight="1">
      <c r="B13" s="5">
        <v>108.0</v>
      </c>
      <c r="C13" s="9" t="s">
        <v>12</v>
      </c>
      <c r="D13" s="7">
        <v>3.424E9</v>
      </c>
      <c r="E13" s="8"/>
    </row>
    <row r="14" ht="15.75" customHeight="1">
      <c r="B14" s="5">
        <v>109.0</v>
      </c>
      <c r="C14" s="9" t="s">
        <v>13</v>
      </c>
      <c r="D14" s="8"/>
      <c r="E14" s="7">
        <v>1.0644E9</v>
      </c>
    </row>
    <row r="15" ht="15.75" customHeight="1">
      <c r="B15" s="5">
        <v>200.0</v>
      </c>
      <c r="C15" s="9" t="s">
        <v>14</v>
      </c>
      <c r="D15" s="8"/>
      <c r="E15" s="7">
        <v>1540000.0</v>
      </c>
    </row>
    <row r="16" ht="15.75" customHeight="1">
      <c r="B16" s="5">
        <v>201.0</v>
      </c>
      <c r="C16" s="9" t="s">
        <v>15</v>
      </c>
      <c r="D16" s="8"/>
      <c r="E16" s="7">
        <v>80000.0</v>
      </c>
    </row>
    <row r="17" ht="15.75" customHeight="1">
      <c r="B17" s="5">
        <v>202.0</v>
      </c>
      <c r="C17" s="9" t="s">
        <v>16</v>
      </c>
      <c r="D17" s="8"/>
      <c r="E17" s="8"/>
    </row>
    <row r="18" ht="15.75" customHeight="1">
      <c r="B18" s="5">
        <v>203.0</v>
      </c>
      <c r="C18" s="9" t="s">
        <v>17</v>
      </c>
      <c r="D18" s="8"/>
      <c r="E18" s="8"/>
    </row>
    <row r="19" ht="15.75" customHeight="1">
      <c r="B19" s="5">
        <v>300.0</v>
      </c>
      <c r="C19" s="9" t="s">
        <v>18</v>
      </c>
      <c r="D19" s="8"/>
      <c r="E19" s="7">
        <v>1.0E9</v>
      </c>
    </row>
    <row r="20" ht="15.75" customHeight="1">
      <c r="B20" s="5">
        <v>301.0</v>
      </c>
      <c r="C20" s="9" t="s">
        <v>19</v>
      </c>
      <c r="D20" s="8"/>
      <c r="E20" s="7">
        <v>1.5683E8</v>
      </c>
    </row>
    <row r="21" ht="15.75" customHeight="1">
      <c r="B21" s="5">
        <v>302.0</v>
      </c>
      <c r="C21" s="9" t="s">
        <v>20</v>
      </c>
      <c r="D21" s="8"/>
      <c r="E21" s="7">
        <v>4.0E8</v>
      </c>
    </row>
    <row r="22" ht="15.75" customHeight="1">
      <c r="B22" s="5">
        <v>303.0</v>
      </c>
      <c r="C22" s="9" t="s">
        <v>21</v>
      </c>
      <c r="D22" s="8"/>
      <c r="E22" s="8"/>
    </row>
    <row r="23" ht="15.75" customHeight="1">
      <c r="B23" s="5">
        <v>400.0</v>
      </c>
      <c r="C23" s="9" t="s">
        <v>22</v>
      </c>
      <c r="D23" s="8"/>
      <c r="E23" s="7">
        <v>4.285E9</v>
      </c>
    </row>
    <row r="24" ht="15.75" customHeight="1">
      <c r="B24" s="5">
        <v>401.0</v>
      </c>
      <c r="C24" s="9" t="s">
        <v>23</v>
      </c>
      <c r="D24" s="7">
        <v>5000000.0</v>
      </c>
      <c r="E24" s="8"/>
    </row>
    <row r="25" ht="15.75" customHeight="1">
      <c r="B25" s="5">
        <v>500.0</v>
      </c>
      <c r="C25" s="9" t="s">
        <v>24</v>
      </c>
      <c r="D25" s="7">
        <v>2.857E9</v>
      </c>
      <c r="E25" s="8"/>
    </row>
    <row r="26" ht="15.75" customHeight="1">
      <c r="B26" s="5">
        <v>501.0</v>
      </c>
      <c r="C26" s="9" t="s">
        <v>25</v>
      </c>
      <c r="D26" s="8"/>
      <c r="E26" s="7">
        <v>7000000.0</v>
      </c>
    </row>
    <row r="27" ht="15.75" customHeight="1">
      <c r="B27" s="5">
        <v>600.0</v>
      </c>
      <c r="C27" s="9" t="s">
        <v>26</v>
      </c>
      <c r="D27" s="8"/>
      <c r="E27" s="8"/>
    </row>
    <row r="28" ht="15.75" customHeight="1">
      <c r="B28" s="5">
        <v>601.0</v>
      </c>
      <c r="C28" s="9" t="s">
        <v>27</v>
      </c>
      <c r="D28" s="8"/>
      <c r="E28" s="8"/>
    </row>
    <row r="29" ht="15.75" customHeight="1">
      <c r="B29" s="5">
        <v>602.0</v>
      </c>
      <c r="C29" s="9" t="s">
        <v>28</v>
      </c>
      <c r="D29" s="8"/>
      <c r="E29" s="8"/>
    </row>
    <row r="30" ht="15.75" customHeight="1">
      <c r="B30" s="5">
        <v>603.0</v>
      </c>
      <c r="C30" s="9" t="s">
        <v>29</v>
      </c>
      <c r="D30" s="8"/>
      <c r="E30" s="8"/>
    </row>
    <row r="31" ht="15.75" customHeight="1">
      <c r="B31" s="5">
        <v>604.0</v>
      </c>
      <c r="C31" s="9" t="s">
        <v>30</v>
      </c>
      <c r="D31" s="8"/>
      <c r="E31" s="8"/>
    </row>
    <row r="32" ht="15.75" customHeight="1">
      <c r="B32" s="5">
        <v>605.0</v>
      </c>
      <c r="C32" s="9" t="s">
        <v>31</v>
      </c>
      <c r="D32" s="8"/>
      <c r="E32" s="8"/>
    </row>
    <row r="33" ht="15.75" customHeight="1">
      <c r="B33" s="5">
        <v>606.0</v>
      </c>
      <c r="C33" s="9" t="s">
        <v>32</v>
      </c>
      <c r="D33" s="7">
        <v>2.805E8</v>
      </c>
      <c r="E33" s="8"/>
    </row>
    <row r="34" ht="15.75" customHeight="1">
      <c r="B34" s="5">
        <v>607.0</v>
      </c>
      <c r="C34" s="9" t="s">
        <v>30</v>
      </c>
      <c r="D34" s="7">
        <v>1.87E8</v>
      </c>
      <c r="E34" s="8"/>
    </row>
    <row r="35" ht="15.75" customHeight="1">
      <c r="B35" s="5">
        <v>608.0</v>
      </c>
      <c r="C35" s="9" t="s">
        <v>33</v>
      </c>
      <c r="D35" s="7">
        <v>9800000.0</v>
      </c>
      <c r="E35" s="8"/>
    </row>
    <row r="36" ht="15.75" customHeight="1">
      <c r="B36" s="5">
        <v>609.0</v>
      </c>
      <c r="C36" s="9" t="s">
        <v>34</v>
      </c>
      <c r="D36" s="7"/>
      <c r="E36" s="8"/>
    </row>
    <row r="37" ht="15.75" customHeight="1">
      <c r="B37" s="5">
        <v>610.0</v>
      </c>
      <c r="C37" s="9" t="s">
        <v>35</v>
      </c>
      <c r="D37" s="7"/>
      <c r="E37" s="8"/>
    </row>
    <row r="38" ht="15.75" customHeight="1">
      <c r="B38" s="5">
        <v>700.0</v>
      </c>
      <c r="C38" s="9" t="s">
        <v>36</v>
      </c>
      <c r="D38" s="8"/>
      <c r="E38" s="7">
        <v>1.5E7</v>
      </c>
    </row>
    <row r="39" ht="15.75" customHeight="1">
      <c r="B39" s="2" t="s">
        <v>37</v>
      </c>
      <c r="C39" s="10"/>
      <c r="D39" s="7">
        <v>6.92985E9</v>
      </c>
      <c r="E39" s="7">
        <v>6.92985E9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3"/>
    <mergeCell ref="B4:C4"/>
    <mergeCell ref="B39:C3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25"/>
    <col customWidth="1" min="2" max="5" width="12.63"/>
    <col customWidth="1" min="6" max="6" width="14.88"/>
    <col customWidth="1" min="7" max="7" width="13.5"/>
    <col customWidth="1" min="8" max="8" width="14.88"/>
  </cols>
  <sheetData>
    <row r="1" ht="15.75" customHeight="1">
      <c r="A1" s="11" t="s">
        <v>38</v>
      </c>
      <c r="B1" s="12" t="s">
        <v>39</v>
      </c>
      <c r="C1" s="13"/>
      <c r="D1" s="11" t="s">
        <v>40</v>
      </c>
      <c r="E1" s="11" t="s">
        <v>41</v>
      </c>
      <c r="F1" s="11" t="s">
        <v>42</v>
      </c>
      <c r="G1" s="11" t="s">
        <v>43</v>
      </c>
      <c r="H1" s="11" t="s">
        <v>44</v>
      </c>
      <c r="J1" s="11" t="s">
        <v>38</v>
      </c>
      <c r="K1" s="12" t="s">
        <v>39</v>
      </c>
      <c r="L1" s="13"/>
      <c r="M1" s="11" t="s">
        <v>40</v>
      </c>
      <c r="N1" s="11" t="s">
        <v>41</v>
      </c>
      <c r="O1" s="11" t="s">
        <v>45</v>
      </c>
      <c r="P1" s="11" t="s">
        <v>43</v>
      </c>
      <c r="Q1" s="11" t="s">
        <v>44</v>
      </c>
    </row>
    <row r="2" ht="15.75" customHeight="1">
      <c r="A2" s="14"/>
      <c r="B2" s="15"/>
      <c r="C2" s="16"/>
      <c r="D2" s="14"/>
      <c r="E2" s="14"/>
      <c r="F2" s="14"/>
      <c r="G2" s="14"/>
      <c r="H2" s="14"/>
      <c r="J2" s="14"/>
      <c r="K2" s="15"/>
      <c r="L2" s="16"/>
      <c r="M2" s="14"/>
      <c r="N2" s="14"/>
      <c r="O2" s="14"/>
      <c r="P2" s="14"/>
      <c r="Q2" s="14"/>
    </row>
    <row r="3" ht="15.75" customHeight="1">
      <c r="A3" s="17" t="s">
        <v>46</v>
      </c>
      <c r="B3" s="10"/>
      <c r="C3" s="10"/>
      <c r="D3" s="10"/>
      <c r="E3" s="3"/>
      <c r="F3" s="18">
        <v>1.584E9</v>
      </c>
      <c r="G3" s="19"/>
      <c r="H3" s="19"/>
      <c r="J3" s="17" t="s">
        <v>46</v>
      </c>
      <c r="K3" s="10"/>
      <c r="L3" s="10"/>
      <c r="M3" s="10"/>
      <c r="N3" s="3"/>
      <c r="O3" s="18">
        <v>3.6E8</v>
      </c>
      <c r="P3" s="19"/>
      <c r="Q3" s="19"/>
    </row>
    <row r="4" ht="15.75" customHeight="1">
      <c r="A4" s="17" t="s">
        <v>47</v>
      </c>
      <c r="B4" s="10"/>
      <c r="C4" s="10"/>
      <c r="D4" s="10"/>
      <c r="E4" s="3"/>
      <c r="F4" s="19">
        <v>20.0</v>
      </c>
      <c r="G4" s="19"/>
      <c r="H4" s="19"/>
      <c r="J4" s="17" t="s">
        <v>47</v>
      </c>
      <c r="K4" s="10"/>
      <c r="L4" s="10"/>
      <c r="M4" s="10"/>
      <c r="N4" s="3"/>
      <c r="O4" s="19">
        <v>5.0</v>
      </c>
      <c r="P4" s="19"/>
      <c r="Q4" s="19"/>
    </row>
    <row r="5" ht="15.75" customHeight="1">
      <c r="A5" s="17" t="s">
        <v>48</v>
      </c>
      <c r="B5" s="10"/>
      <c r="C5" s="10"/>
      <c r="D5" s="10"/>
      <c r="E5" s="3"/>
      <c r="F5" s="20">
        <f>F3/F4</f>
        <v>79200000</v>
      </c>
      <c r="G5" s="19"/>
      <c r="H5" s="19"/>
      <c r="J5" s="17" t="s">
        <v>48</v>
      </c>
      <c r="K5" s="10"/>
      <c r="L5" s="10"/>
      <c r="M5" s="10"/>
      <c r="N5" s="3"/>
      <c r="O5" s="20">
        <v>7.2E7</v>
      </c>
      <c r="P5" s="19"/>
      <c r="Q5" s="19"/>
    </row>
    <row r="6" ht="15.75" customHeight="1">
      <c r="A6" s="19">
        <v>1.0</v>
      </c>
      <c r="B6" s="21">
        <v>42036.0</v>
      </c>
      <c r="C6" s="21">
        <v>42124.0</v>
      </c>
      <c r="D6" s="19">
        <v>3.0</v>
      </c>
      <c r="E6" s="19">
        <v>12.0</v>
      </c>
      <c r="F6" s="20">
        <f t="shared" ref="F6:F10" si="1">D6/E6*$F$5</f>
        <v>19800000</v>
      </c>
      <c r="G6" s="20">
        <f>F6</f>
        <v>19800000</v>
      </c>
      <c r="H6" s="18">
        <f>F3-G6</f>
        <v>1564200000</v>
      </c>
      <c r="J6" s="19">
        <v>1.0</v>
      </c>
      <c r="K6" s="21">
        <v>41490.0</v>
      </c>
      <c r="L6" s="21">
        <v>41759.0</v>
      </c>
      <c r="M6" s="19">
        <f t="shared" ref="M6:M10" si="2">month(L6-K6)</f>
        <v>9</v>
      </c>
      <c r="N6" s="19">
        <v>12.0</v>
      </c>
      <c r="O6" s="20">
        <f t="shared" ref="O6:O10" si="3">M6/N6*$O$5</f>
        <v>54000000</v>
      </c>
      <c r="P6" s="20">
        <f>O6</f>
        <v>54000000</v>
      </c>
      <c r="Q6" s="18">
        <f>O3</f>
        <v>360000000</v>
      </c>
    </row>
    <row r="7" ht="15.75" customHeight="1">
      <c r="A7" s="19">
        <v>2.0</v>
      </c>
      <c r="B7" s="21">
        <v>42125.0</v>
      </c>
      <c r="C7" s="21">
        <v>42490.0</v>
      </c>
      <c r="D7" s="19">
        <v>12.0</v>
      </c>
      <c r="E7" s="19">
        <v>12.0</v>
      </c>
      <c r="F7" s="20">
        <f t="shared" si="1"/>
        <v>79200000</v>
      </c>
      <c r="G7" s="20">
        <f t="shared" ref="G7:G10" si="4">G6+F7</f>
        <v>99000000</v>
      </c>
      <c r="H7" s="18">
        <f t="shared" ref="H7:H10" si="5">H6-G7</f>
        <v>1465200000</v>
      </c>
      <c r="J7" s="19">
        <v>2.0</v>
      </c>
      <c r="K7" s="21">
        <v>41760.0</v>
      </c>
      <c r="L7" s="21">
        <v>42124.0</v>
      </c>
      <c r="M7" s="19">
        <f t="shared" si="2"/>
        <v>12</v>
      </c>
      <c r="N7" s="19">
        <v>12.0</v>
      </c>
      <c r="O7" s="20">
        <f t="shared" si="3"/>
        <v>72000000</v>
      </c>
      <c r="P7" s="20">
        <f t="shared" ref="P7:P10" si="6">P6+O7</f>
        <v>126000000</v>
      </c>
      <c r="Q7" s="18">
        <f t="shared" ref="Q7:Q10" si="7">Q6-P7</f>
        <v>234000000</v>
      </c>
    </row>
    <row r="8" ht="15.75" customHeight="1">
      <c r="A8" s="19">
        <v>3.0</v>
      </c>
      <c r="B8" s="21">
        <v>42491.0</v>
      </c>
      <c r="C8" s="21">
        <v>42855.0</v>
      </c>
      <c r="D8" s="19">
        <v>12.0</v>
      </c>
      <c r="E8" s="19">
        <v>12.0</v>
      </c>
      <c r="F8" s="20">
        <f t="shared" si="1"/>
        <v>79200000</v>
      </c>
      <c r="G8" s="20">
        <f t="shared" si="4"/>
        <v>178200000</v>
      </c>
      <c r="H8" s="18">
        <f t="shared" si="5"/>
        <v>1287000000</v>
      </c>
      <c r="J8" s="19">
        <v>3.0</v>
      </c>
      <c r="K8" s="21">
        <v>42491.0</v>
      </c>
      <c r="L8" s="21">
        <v>42855.0</v>
      </c>
      <c r="M8" s="19">
        <f t="shared" si="2"/>
        <v>12</v>
      </c>
      <c r="N8" s="19">
        <v>12.0</v>
      </c>
      <c r="O8" s="20">
        <f t="shared" si="3"/>
        <v>72000000</v>
      </c>
      <c r="P8" s="20">
        <f t="shared" si="6"/>
        <v>198000000</v>
      </c>
      <c r="Q8" s="18">
        <f t="shared" si="7"/>
        <v>36000000</v>
      </c>
    </row>
    <row r="9" ht="15.75" customHeight="1">
      <c r="A9" s="19">
        <v>4.0</v>
      </c>
      <c r="B9" s="21">
        <f t="shared" ref="B9:B10" si="8">C8+1</f>
        <v>42856</v>
      </c>
      <c r="C9" s="21">
        <f t="shared" ref="C9:C10" si="9">B9+364</f>
        <v>43220</v>
      </c>
      <c r="D9" s="19">
        <f t="shared" ref="D9:D10" si="10">month(C9-B9)</f>
        <v>12</v>
      </c>
      <c r="E9" s="19">
        <v>12.0</v>
      </c>
      <c r="F9" s="20">
        <f t="shared" si="1"/>
        <v>79200000</v>
      </c>
      <c r="G9" s="20">
        <f t="shared" si="4"/>
        <v>257400000</v>
      </c>
      <c r="H9" s="18">
        <f t="shared" si="5"/>
        <v>1029600000</v>
      </c>
      <c r="J9" s="19">
        <v>4.0</v>
      </c>
      <c r="K9" s="21">
        <f t="shared" ref="K9:K10" si="11">L8+1</f>
        <v>42856</v>
      </c>
      <c r="L9" s="21">
        <f t="shared" ref="L9:L10" si="12">K9+364</f>
        <v>43220</v>
      </c>
      <c r="M9" s="19">
        <f t="shared" si="2"/>
        <v>12</v>
      </c>
      <c r="N9" s="19">
        <v>12.0</v>
      </c>
      <c r="O9" s="20">
        <f t="shared" si="3"/>
        <v>72000000</v>
      </c>
      <c r="P9" s="20">
        <f t="shared" si="6"/>
        <v>270000000</v>
      </c>
      <c r="Q9" s="18">
        <f t="shared" si="7"/>
        <v>-234000000</v>
      </c>
    </row>
    <row r="10" ht="15.75" customHeight="1">
      <c r="A10" s="19">
        <v>5.0</v>
      </c>
      <c r="B10" s="21">
        <f t="shared" si="8"/>
        <v>43221</v>
      </c>
      <c r="C10" s="21">
        <f t="shared" si="9"/>
        <v>43585</v>
      </c>
      <c r="D10" s="19">
        <f t="shared" si="10"/>
        <v>12</v>
      </c>
      <c r="E10" s="19">
        <v>12.0</v>
      </c>
      <c r="F10" s="20">
        <f t="shared" si="1"/>
        <v>79200000</v>
      </c>
      <c r="G10" s="20">
        <f t="shared" si="4"/>
        <v>336600000</v>
      </c>
      <c r="H10" s="18">
        <f t="shared" si="5"/>
        <v>693000000</v>
      </c>
      <c r="J10" s="19">
        <v>5.0</v>
      </c>
      <c r="K10" s="21">
        <f t="shared" si="11"/>
        <v>43221</v>
      </c>
      <c r="L10" s="21">
        <f t="shared" si="12"/>
        <v>43585</v>
      </c>
      <c r="M10" s="19">
        <f t="shared" si="2"/>
        <v>12</v>
      </c>
      <c r="N10" s="19">
        <v>12.0</v>
      </c>
      <c r="O10" s="20">
        <f t="shared" si="3"/>
        <v>72000000</v>
      </c>
      <c r="P10" s="20">
        <f t="shared" si="6"/>
        <v>342000000</v>
      </c>
      <c r="Q10" s="18">
        <f t="shared" si="7"/>
        <v>-576000000</v>
      </c>
    </row>
    <row r="11" ht="15.75" customHeight="1">
      <c r="F11" s="22"/>
    </row>
    <row r="12" ht="15.75" customHeight="1">
      <c r="A12" s="11" t="s">
        <v>38</v>
      </c>
      <c r="B12" s="12" t="s">
        <v>39</v>
      </c>
      <c r="C12" s="13"/>
      <c r="D12" s="11" t="s">
        <v>40</v>
      </c>
      <c r="E12" s="11" t="s">
        <v>41</v>
      </c>
      <c r="F12" s="11" t="s">
        <v>49</v>
      </c>
      <c r="G12" s="11" t="s">
        <v>43</v>
      </c>
      <c r="H12" s="11" t="s">
        <v>44</v>
      </c>
    </row>
    <row r="13" ht="15.75" customHeight="1">
      <c r="A13" s="14"/>
      <c r="B13" s="15"/>
      <c r="C13" s="16"/>
      <c r="D13" s="14"/>
      <c r="E13" s="14"/>
      <c r="F13" s="14"/>
      <c r="G13" s="14"/>
      <c r="H13" s="14"/>
    </row>
    <row r="14" ht="15.75" customHeight="1">
      <c r="A14" s="17" t="s">
        <v>46</v>
      </c>
      <c r="B14" s="10"/>
      <c r="C14" s="10"/>
      <c r="D14" s="10"/>
      <c r="E14" s="3"/>
      <c r="F14" s="18">
        <v>4.8E8</v>
      </c>
      <c r="G14" s="19"/>
      <c r="H14" s="19"/>
    </row>
    <row r="15" ht="15.75" customHeight="1">
      <c r="A15" s="17" t="s">
        <v>47</v>
      </c>
      <c r="B15" s="10"/>
      <c r="C15" s="10"/>
      <c r="D15" s="10"/>
      <c r="E15" s="3"/>
      <c r="F15" s="19">
        <v>8.0</v>
      </c>
      <c r="G15" s="19"/>
      <c r="H15" s="19"/>
    </row>
    <row r="16" ht="15.75" customHeight="1">
      <c r="A16" s="17" t="s">
        <v>48</v>
      </c>
      <c r="B16" s="10"/>
      <c r="C16" s="10"/>
      <c r="D16" s="10"/>
      <c r="E16" s="3"/>
      <c r="F16" s="20">
        <v>6.0E7</v>
      </c>
      <c r="G16" s="19"/>
      <c r="H16" s="19"/>
    </row>
    <row r="17" ht="15.75" customHeight="1">
      <c r="A17" s="19">
        <v>1.0</v>
      </c>
      <c r="B17" s="21">
        <v>40391.0</v>
      </c>
      <c r="C17" s="21">
        <v>40663.0</v>
      </c>
      <c r="D17" s="19">
        <f t="shared" ref="D17:D21" si="13">month(C17-B17)</f>
        <v>9</v>
      </c>
      <c r="E17" s="19">
        <v>12.0</v>
      </c>
      <c r="F17" s="20">
        <f t="shared" ref="F17:F21" si="14">D17/E17*F$16</f>
        <v>45000000</v>
      </c>
      <c r="G17" s="20">
        <f>F17</f>
        <v>45000000</v>
      </c>
      <c r="H17" s="18">
        <f>F14</f>
        <v>480000000</v>
      </c>
    </row>
    <row r="18" ht="15.75" customHeight="1">
      <c r="A18" s="19">
        <v>2.0</v>
      </c>
      <c r="B18" s="21">
        <f t="shared" ref="B18:B21" si="15">C17+1</f>
        <v>40664</v>
      </c>
      <c r="C18" s="21">
        <f>B18+365</f>
        <v>41029</v>
      </c>
      <c r="D18" s="19">
        <f t="shared" si="13"/>
        <v>12</v>
      </c>
      <c r="E18" s="19">
        <v>12.0</v>
      </c>
      <c r="F18" s="20">
        <f t="shared" si="14"/>
        <v>60000000</v>
      </c>
      <c r="G18" s="20">
        <f t="shared" ref="G18:G21" si="16">G17+F18</f>
        <v>105000000</v>
      </c>
      <c r="H18" s="18">
        <f t="shared" ref="H18:H21" si="17">H17-G18</f>
        <v>375000000</v>
      </c>
    </row>
    <row r="19" ht="15.75" customHeight="1">
      <c r="A19" s="19">
        <v>3.0</v>
      </c>
      <c r="B19" s="21">
        <f t="shared" si="15"/>
        <v>41030</v>
      </c>
      <c r="C19" s="21">
        <f t="shared" ref="C19:C21" si="18">B19+364</f>
        <v>41394</v>
      </c>
      <c r="D19" s="19">
        <f t="shared" si="13"/>
        <v>12</v>
      </c>
      <c r="E19" s="19">
        <v>12.0</v>
      </c>
      <c r="F19" s="20">
        <f t="shared" si="14"/>
        <v>60000000</v>
      </c>
      <c r="G19" s="20">
        <f t="shared" si="16"/>
        <v>165000000</v>
      </c>
      <c r="H19" s="18">
        <f t="shared" si="17"/>
        <v>210000000</v>
      </c>
    </row>
    <row r="20" ht="15.75" customHeight="1">
      <c r="A20" s="19">
        <v>4.0</v>
      </c>
      <c r="B20" s="21">
        <f t="shared" si="15"/>
        <v>41395</v>
      </c>
      <c r="C20" s="21">
        <f t="shared" si="18"/>
        <v>41759</v>
      </c>
      <c r="D20" s="19">
        <f t="shared" si="13"/>
        <v>12</v>
      </c>
      <c r="E20" s="19">
        <v>12.0</v>
      </c>
      <c r="F20" s="20">
        <f t="shared" si="14"/>
        <v>60000000</v>
      </c>
      <c r="G20" s="20">
        <f t="shared" si="16"/>
        <v>225000000</v>
      </c>
      <c r="H20" s="18">
        <f t="shared" si="17"/>
        <v>-15000000</v>
      </c>
    </row>
    <row r="21" ht="15.75" customHeight="1">
      <c r="A21" s="19">
        <v>5.0</v>
      </c>
      <c r="B21" s="21">
        <f t="shared" si="15"/>
        <v>41760</v>
      </c>
      <c r="C21" s="21">
        <f t="shared" si="18"/>
        <v>42124</v>
      </c>
      <c r="D21" s="19">
        <f t="shared" si="13"/>
        <v>12</v>
      </c>
      <c r="E21" s="19">
        <v>12.0</v>
      </c>
      <c r="F21" s="20">
        <f t="shared" si="14"/>
        <v>60000000</v>
      </c>
      <c r="G21" s="20">
        <f t="shared" si="16"/>
        <v>285000000</v>
      </c>
      <c r="H21" s="18">
        <f t="shared" si="17"/>
        <v>-300000000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A2"/>
    <mergeCell ref="B1:C2"/>
    <mergeCell ref="D1:D2"/>
    <mergeCell ref="E1:E2"/>
    <mergeCell ref="F1:F2"/>
    <mergeCell ref="G1:G2"/>
    <mergeCell ref="H1:H2"/>
    <mergeCell ref="J3:N3"/>
    <mergeCell ref="J4:N4"/>
    <mergeCell ref="J5:N5"/>
    <mergeCell ref="J1:J2"/>
    <mergeCell ref="K1:L2"/>
    <mergeCell ref="M1:M2"/>
    <mergeCell ref="N1:N2"/>
    <mergeCell ref="O1:O2"/>
    <mergeCell ref="P1:P2"/>
    <mergeCell ref="Q1:Q2"/>
    <mergeCell ref="F12:F13"/>
    <mergeCell ref="G12:G13"/>
    <mergeCell ref="H12:H13"/>
    <mergeCell ref="A14:E14"/>
    <mergeCell ref="A15:E15"/>
    <mergeCell ref="A16:E16"/>
    <mergeCell ref="A3:E3"/>
    <mergeCell ref="A4:E4"/>
    <mergeCell ref="A5:E5"/>
    <mergeCell ref="A12:A13"/>
    <mergeCell ref="B12:C13"/>
    <mergeCell ref="D12:D13"/>
    <mergeCell ref="E12:E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.63"/>
    <col customWidth="1" min="3" max="6" width="12.63"/>
    <col customWidth="1" min="10" max="10" width="4.13"/>
  </cols>
  <sheetData>
    <row r="1" ht="15.75" customHeight="1"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ht="15.75" customHeight="1">
      <c r="B2" s="24"/>
      <c r="C2" s="25" t="s">
        <v>50</v>
      </c>
      <c r="D2" s="26"/>
      <c r="E2" s="26"/>
      <c r="F2" s="26"/>
      <c r="G2" s="26"/>
      <c r="H2" s="27"/>
      <c r="I2" s="23"/>
      <c r="J2" s="24"/>
      <c r="K2" s="25" t="s">
        <v>50</v>
      </c>
      <c r="L2" s="26"/>
      <c r="M2" s="26"/>
      <c r="N2" s="26"/>
      <c r="O2" s="26"/>
      <c r="P2" s="27"/>
    </row>
    <row r="3" ht="15.75" customHeight="1">
      <c r="B3" s="28"/>
      <c r="C3" s="23"/>
      <c r="D3" s="23"/>
      <c r="E3" s="23"/>
      <c r="F3" s="23"/>
      <c r="G3" s="23"/>
      <c r="H3" s="29"/>
      <c r="I3" s="23"/>
      <c r="J3" s="28"/>
      <c r="K3" s="23"/>
      <c r="L3" s="23"/>
      <c r="M3" s="23"/>
      <c r="N3" s="23"/>
      <c r="O3" s="23"/>
      <c r="P3" s="29"/>
    </row>
    <row r="4" ht="15.75" customHeight="1">
      <c r="B4" s="28"/>
      <c r="C4" s="23"/>
      <c r="D4" s="23"/>
      <c r="E4" s="23"/>
      <c r="F4" s="30" t="s">
        <v>51</v>
      </c>
      <c r="G4" s="31"/>
      <c r="H4" s="29"/>
      <c r="I4" s="23"/>
      <c r="J4" s="28"/>
      <c r="K4" s="23"/>
      <c r="L4" s="23"/>
      <c r="M4" s="23"/>
      <c r="N4" s="30" t="s">
        <v>52</v>
      </c>
      <c r="O4" s="31"/>
      <c r="P4" s="29"/>
    </row>
    <row r="5" ht="15.75" customHeight="1">
      <c r="B5" s="28"/>
      <c r="C5" s="23" t="s">
        <v>53</v>
      </c>
      <c r="D5" s="32">
        <v>43556.0</v>
      </c>
      <c r="E5" s="31"/>
      <c r="F5" s="31"/>
      <c r="G5" s="31"/>
      <c r="H5" s="29"/>
      <c r="I5" s="23"/>
      <c r="J5" s="28"/>
      <c r="K5" s="23" t="s">
        <v>53</v>
      </c>
      <c r="L5" s="32">
        <v>43557.0</v>
      </c>
      <c r="M5" s="31"/>
      <c r="N5" s="31"/>
      <c r="O5" s="31"/>
      <c r="P5" s="29"/>
    </row>
    <row r="6" ht="15.75" customHeight="1">
      <c r="B6" s="28"/>
      <c r="C6" s="23" t="s">
        <v>54</v>
      </c>
      <c r="D6" s="33" t="s">
        <v>55</v>
      </c>
      <c r="E6" s="31"/>
      <c r="F6" s="31"/>
      <c r="G6" s="31"/>
      <c r="H6" s="29"/>
      <c r="I6" s="23"/>
      <c r="J6" s="28"/>
      <c r="K6" s="23" t="s">
        <v>54</v>
      </c>
      <c r="L6" s="33" t="s">
        <v>56</v>
      </c>
      <c r="M6" s="31"/>
      <c r="N6" s="31"/>
      <c r="O6" s="31"/>
      <c r="P6" s="29"/>
    </row>
    <row r="7" ht="15.75" customHeight="1">
      <c r="B7" s="28"/>
      <c r="C7" s="23"/>
      <c r="D7" s="33"/>
      <c r="E7" s="31"/>
      <c r="F7" s="31"/>
      <c r="G7" s="31"/>
      <c r="H7" s="29"/>
      <c r="I7" s="23"/>
      <c r="J7" s="28"/>
      <c r="K7" s="23"/>
      <c r="L7" s="33"/>
      <c r="M7" s="31"/>
      <c r="N7" s="31"/>
      <c r="O7" s="31"/>
      <c r="P7" s="29"/>
    </row>
    <row r="8" ht="15.75" customHeight="1">
      <c r="B8" s="28"/>
      <c r="C8" s="23"/>
      <c r="D8" s="34"/>
      <c r="E8" s="34"/>
      <c r="F8" s="34"/>
      <c r="G8" s="34"/>
      <c r="H8" s="29"/>
      <c r="I8" s="23"/>
      <c r="J8" s="28"/>
      <c r="K8" s="23"/>
      <c r="L8" s="34"/>
      <c r="M8" s="34"/>
      <c r="N8" s="34"/>
      <c r="O8" s="34"/>
      <c r="P8" s="29"/>
    </row>
    <row r="9" ht="15.75" customHeight="1">
      <c r="B9" s="28"/>
      <c r="C9" s="35" t="s">
        <v>57</v>
      </c>
      <c r="D9" s="35" t="s">
        <v>58</v>
      </c>
      <c r="E9" s="3"/>
      <c r="F9" s="36" t="s">
        <v>59</v>
      </c>
      <c r="G9" s="36" t="s">
        <v>60</v>
      </c>
      <c r="H9" s="29"/>
      <c r="I9" s="23"/>
      <c r="J9" s="28"/>
      <c r="K9" s="35" t="s">
        <v>57</v>
      </c>
      <c r="L9" s="35" t="s">
        <v>58</v>
      </c>
      <c r="M9" s="3"/>
      <c r="N9" s="36" t="s">
        <v>59</v>
      </c>
      <c r="O9" s="36" t="s">
        <v>60</v>
      </c>
      <c r="P9" s="29"/>
    </row>
    <row r="10" ht="15.75" customHeight="1">
      <c r="B10" s="28"/>
      <c r="C10" s="37">
        <v>105.0</v>
      </c>
      <c r="D10" s="38" t="s">
        <v>61</v>
      </c>
      <c r="E10" s="39"/>
      <c r="F10" s="40">
        <v>500000.0</v>
      </c>
      <c r="G10" s="39"/>
      <c r="H10" s="29"/>
      <c r="I10" s="23"/>
      <c r="J10" s="28"/>
      <c r="K10" s="37">
        <v>107.0</v>
      </c>
      <c r="L10" s="38" t="s">
        <v>62</v>
      </c>
      <c r="M10" s="39"/>
      <c r="N10" s="40">
        <v>300000.0</v>
      </c>
      <c r="O10" s="39"/>
      <c r="P10" s="29"/>
    </row>
    <row r="11" ht="15.75" customHeight="1">
      <c r="B11" s="28"/>
      <c r="C11" s="37">
        <v>101.0</v>
      </c>
      <c r="D11" s="41"/>
      <c r="E11" s="39" t="s">
        <v>63</v>
      </c>
      <c r="F11" s="39"/>
      <c r="G11" s="40">
        <v>500000.0</v>
      </c>
      <c r="H11" s="29"/>
      <c r="I11" s="23"/>
      <c r="J11" s="28"/>
      <c r="K11" s="37">
        <v>101.0</v>
      </c>
      <c r="L11" s="41"/>
      <c r="M11" s="39" t="s">
        <v>63</v>
      </c>
      <c r="N11" s="39"/>
      <c r="O11" s="40">
        <v>300000.0</v>
      </c>
      <c r="P11" s="29"/>
    </row>
    <row r="12" ht="15.75" customHeight="1">
      <c r="B12" s="28"/>
      <c r="C12" s="23"/>
      <c r="D12" s="23"/>
      <c r="E12" s="23"/>
      <c r="F12" s="23"/>
      <c r="G12" s="23"/>
      <c r="H12" s="29"/>
      <c r="I12" s="23"/>
      <c r="J12" s="28"/>
      <c r="K12" s="23"/>
      <c r="L12" s="23"/>
      <c r="M12" s="23"/>
      <c r="N12" s="23"/>
      <c r="O12" s="23"/>
      <c r="P12" s="29"/>
    </row>
    <row r="13" ht="15.75" customHeight="1">
      <c r="B13" s="28"/>
      <c r="C13" s="23" t="s">
        <v>64</v>
      </c>
      <c r="E13" s="23" t="s">
        <v>65</v>
      </c>
      <c r="F13" s="23"/>
      <c r="G13" s="23" t="s">
        <v>66</v>
      </c>
      <c r="H13" s="29"/>
      <c r="I13" s="23"/>
      <c r="J13" s="28"/>
      <c r="K13" s="23" t="s">
        <v>64</v>
      </c>
      <c r="L13" s="23"/>
      <c r="M13" s="23" t="s">
        <v>65</v>
      </c>
      <c r="N13" s="23"/>
      <c r="O13" s="23" t="s">
        <v>66</v>
      </c>
      <c r="P13" s="29"/>
    </row>
    <row r="14" ht="15.75" customHeight="1">
      <c r="B14" s="28"/>
      <c r="C14" s="23"/>
      <c r="D14" s="23"/>
      <c r="E14" s="23"/>
      <c r="F14" s="23"/>
      <c r="G14" s="23"/>
      <c r="H14" s="29"/>
      <c r="I14" s="23"/>
      <c r="J14" s="28"/>
      <c r="K14" s="23"/>
      <c r="L14" s="23"/>
      <c r="M14" s="23"/>
      <c r="N14" s="23"/>
      <c r="O14" s="23"/>
      <c r="P14" s="29"/>
    </row>
    <row r="15" ht="15.75" customHeight="1">
      <c r="B15" s="28"/>
      <c r="C15" s="42"/>
      <c r="D15" s="23"/>
      <c r="E15" s="42"/>
      <c r="F15" s="23"/>
      <c r="G15" s="42"/>
      <c r="H15" s="29"/>
      <c r="I15" s="23"/>
      <c r="J15" s="28"/>
      <c r="K15" s="42"/>
      <c r="L15" s="23"/>
      <c r="M15" s="42"/>
      <c r="N15" s="23"/>
      <c r="O15" s="42"/>
      <c r="P15" s="29"/>
    </row>
    <row r="16" ht="15.75" customHeight="1">
      <c r="B16" s="41"/>
      <c r="C16" s="42"/>
      <c r="D16" s="42"/>
      <c r="E16" s="42"/>
      <c r="F16" s="42"/>
      <c r="G16" s="42"/>
      <c r="H16" s="39"/>
      <c r="I16" s="23"/>
      <c r="J16" s="41"/>
      <c r="K16" s="42"/>
      <c r="L16" s="42"/>
      <c r="M16" s="42"/>
      <c r="N16" s="42"/>
      <c r="O16" s="42"/>
      <c r="P16" s="39"/>
    </row>
    <row r="17" ht="15.75" customHeight="1"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</row>
    <row r="18" ht="15.75" customHeight="1">
      <c r="B18" s="24"/>
      <c r="C18" s="25" t="s">
        <v>50</v>
      </c>
      <c r="D18" s="26"/>
      <c r="E18" s="26"/>
      <c r="F18" s="26"/>
      <c r="G18" s="26"/>
      <c r="H18" s="27"/>
      <c r="I18" s="23"/>
      <c r="J18" s="24"/>
      <c r="K18" s="25" t="s">
        <v>50</v>
      </c>
      <c r="L18" s="26"/>
      <c r="M18" s="26"/>
      <c r="N18" s="26"/>
      <c r="O18" s="26"/>
      <c r="P18" s="27"/>
    </row>
    <row r="19" ht="15.75" customHeight="1">
      <c r="B19" s="28"/>
      <c r="C19" s="43" t="s">
        <v>67</v>
      </c>
      <c r="H19" s="29"/>
      <c r="I19" s="23"/>
      <c r="J19" s="28"/>
      <c r="K19" s="43" t="s">
        <v>67</v>
      </c>
      <c r="P19" s="29"/>
    </row>
    <row r="20" ht="15.75" customHeight="1">
      <c r="B20" s="41"/>
      <c r="C20" s="44" t="s">
        <v>68</v>
      </c>
      <c r="D20" s="31"/>
      <c r="E20" s="31"/>
      <c r="F20" s="31"/>
      <c r="G20" s="31"/>
      <c r="H20" s="39"/>
      <c r="I20" s="23"/>
      <c r="J20" s="41"/>
      <c r="K20" s="44" t="s">
        <v>68</v>
      </c>
      <c r="L20" s="31"/>
      <c r="M20" s="31"/>
      <c r="N20" s="31"/>
      <c r="O20" s="31"/>
      <c r="P20" s="39"/>
    </row>
    <row r="21" ht="15.75" customHeight="1">
      <c r="B21" s="41"/>
      <c r="C21" s="45" t="s">
        <v>69</v>
      </c>
      <c r="D21" s="10"/>
      <c r="E21" s="10"/>
      <c r="F21" s="10"/>
      <c r="G21" s="10"/>
      <c r="H21" s="39"/>
      <c r="I21" s="23"/>
      <c r="J21" s="41"/>
      <c r="K21" s="45" t="s">
        <v>69</v>
      </c>
      <c r="L21" s="10"/>
      <c r="M21" s="10"/>
      <c r="N21" s="10"/>
      <c r="O21" s="10"/>
      <c r="P21" s="39"/>
    </row>
    <row r="22" ht="15.75" customHeight="1">
      <c r="B22" s="28"/>
      <c r="C22" s="23"/>
      <c r="D22" s="23"/>
      <c r="E22" s="23"/>
      <c r="F22" s="23"/>
      <c r="G22" s="23"/>
      <c r="H22" s="29"/>
      <c r="I22" s="23"/>
      <c r="J22" s="28"/>
      <c r="K22" s="23"/>
      <c r="L22" s="23"/>
      <c r="M22" s="23"/>
      <c r="N22" s="23"/>
      <c r="O22" s="23"/>
      <c r="P22" s="29"/>
    </row>
    <row r="23" ht="15.75" customHeight="1">
      <c r="B23" s="28"/>
      <c r="C23" s="23"/>
      <c r="D23" s="23"/>
      <c r="E23" s="23"/>
      <c r="F23" s="30" t="s">
        <v>70</v>
      </c>
      <c r="G23" s="31"/>
      <c r="H23" s="29"/>
      <c r="I23" s="23"/>
      <c r="J23" s="28"/>
      <c r="K23" s="23"/>
      <c r="L23" s="23"/>
      <c r="M23" s="23"/>
      <c r="N23" s="30" t="s">
        <v>71</v>
      </c>
      <c r="O23" s="31"/>
      <c r="P23" s="29"/>
    </row>
    <row r="24" ht="15.75" customHeight="1">
      <c r="B24" s="28"/>
      <c r="C24" s="23" t="s">
        <v>53</v>
      </c>
      <c r="D24" s="32">
        <v>43557.0</v>
      </c>
      <c r="E24" s="31"/>
      <c r="F24" s="31"/>
      <c r="G24" s="31"/>
      <c r="H24" s="29"/>
      <c r="I24" s="23"/>
      <c r="J24" s="28"/>
      <c r="K24" s="23" t="s">
        <v>53</v>
      </c>
      <c r="L24" s="32">
        <v>43564.0</v>
      </c>
      <c r="M24" s="31"/>
      <c r="N24" s="31"/>
      <c r="O24" s="31"/>
      <c r="P24" s="29"/>
    </row>
    <row r="25" ht="15.75" customHeight="1">
      <c r="B25" s="28"/>
      <c r="C25" s="23" t="s">
        <v>54</v>
      </c>
      <c r="D25" s="33" t="s">
        <v>72</v>
      </c>
      <c r="E25" s="31"/>
      <c r="F25" s="31"/>
      <c r="G25" s="31"/>
      <c r="H25" s="29"/>
      <c r="I25" s="23"/>
      <c r="J25" s="28"/>
      <c r="K25" s="23" t="s">
        <v>54</v>
      </c>
      <c r="L25" s="33" t="s">
        <v>73</v>
      </c>
      <c r="M25" s="31"/>
      <c r="N25" s="31"/>
      <c r="O25" s="31"/>
      <c r="P25" s="29"/>
    </row>
    <row r="26" ht="15.75" customHeight="1">
      <c r="B26" s="28"/>
      <c r="C26" s="23"/>
      <c r="D26" s="33"/>
      <c r="E26" s="31"/>
      <c r="F26" s="31"/>
      <c r="G26" s="31"/>
      <c r="H26" s="29"/>
      <c r="I26" s="23"/>
      <c r="J26" s="28"/>
      <c r="K26" s="23"/>
      <c r="L26" s="33"/>
      <c r="M26" s="31"/>
      <c r="N26" s="31"/>
      <c r="O26" s="31"/>
      <c r="P26" s="29"/>
    </row>
    <row r="27" ht="15.75" customHeight="1">
      <c r="B27" s="28"/>
      <c r="C27" s="23"/>
      <c r="D27" s="34"/>
      <c r="E27" s="34"/>
      <c r="F27" s="34"/>
      <c r="G27" s="34"/>
      <c r="H27" s="29"/>
      <c r="I27" s="23"/>
      <c r="J27" s="28"/>
      <c r="K27" s="23"/>
      <c r="L27" s="34"/>
      <c r="M27" s="34"/>
      <c r="N27" s="34"/>
      <c r="O27" s="34"/>
      <c r="P27" s="29"/>
    </row>
    <row r="28" ht="15.75" customHeight="1">
      <c r="B28" s="28"/>
      <c r="C28" s="35" t="s">
        <v>57</v>
      </c>
      <c r="D28" s="35" t="s">
        <v>58</v>
      </c>
      <c r="E28" s="3"/>
      <c r="F28" s="36" t="s">
        <v>59</v>
      </c>
      <c r="G28" s="36" t="s">
        <v>60</v>
      </c>
      <c r="H28" s="29"/>
      <c r="I28" s="23"/>
      <c r="J28" s="28"/>
      <c r="K28" s="35" t="s">
        <v>57</v>
      </c>
      <c r="L28" s="35" t="s">
        <v>58</v>
      </c>
      <c r="M28" s="3"/>
      <c r="N28" s="36" t="s">
        <v>59</v>
      </c>
      <c r="O28" s="36" t="s">
        <v>60</v>
      </c>
      <c r="P28" s="29"/>
    </row>
    <row r="29" ht="15.75" customHeight="1">
      <c r="B29" s="28"/>
      <c r="C29" s="37">
        <v>106.0</v>
      </c>
      <c r="D29" s="38" t="s">
        <v>74</v>
      </c>
      <c r="E29" s="39"/>
      <c r="F29" s="40">
        <v>500000.0</v>
      </c>
      <c r="G29" s="39"/>
      <c r="H29" s="29"/>
      <c r="I29" s="23"/>
      <c r="J29" s="28"/>
      <c r="K29" s="37">
        <v>608.0</v>
      </c>
      <c r="L29" s="38" t="s">
        <v>75</v>
      </c>
      <c r="M29" s="39"/>
      <c r="N29" s="40">
        <v>450000.0</v>
      </c>
      <c r="O29" s="39"/>
      <c r="P29" s="29"/>
    </row>
    <row r="30" ht="15.75" customHeight="1">
      <c r="B30" s="28"/>
      <c r="C30" s="37">
        <v>101.0</v>
      </c>
      <c r="D30" s="41"/>
      <c r="E30" s="39" t="s">
        <v>63</v>
      </c>
      <c r="F30" s="39"/>
      <c r="G30" s="40">
        <v>500000.0</v>
      </c>
      <c r="H30" s="29"/>
      <c r="I30" s="23"/>
      <c r="J30" s="28"/>
      <c r="K30" s="37">
        <v>101.0</v>
      </c>
      <c r="L30" s="41"/>
      <c r="M30" s="39" t="s">
        <v>63</v>
      </c>
      <c r="N30" s="39"/>
      <c r="O30" s="40">
        <v>450000.0</v>
      </c>
      <c r="P30" s="29"/>
    </row>
    <row r="31" ht="15.75" customHeight="1">
      <c r="B31" s="28"/>
      <c r="C31" s="23"/>
      <c r="D31" s="23"/>
      <c r="E31" s="23"/>
      <c r="F31" s="23"/>
      <c r="G31" s="23"/>
      <c r="H31" s="29"/>
      <c r="I31" s="23"/>
      <c r="J31" s="28"/>
      <c r="K31" s="23"/>
      <c r="L31" s="23"/>
      <c r="M31" s="23"/>
      <c r="N31" s="23"/>
      <c r="O31" s="23"/>
      <c r="P31" s="29"/>
    </row>
    <row r="32" ht="15.75" customHeight="1">
      <c r="B32" s="28"/>
      <c r="C32" s="23" t="s">
        <v>64</v>
      </c>
      <c r="E32" s="23" t="s">
        <v>65</v>
      </c>
      <c r="F32" s="23"/>
      <c r="G32" s="23" t="s">
        <v>66</v>
      </c>
      <c r="H32" s="29"/>
      <c r="I32" s="23"/>
      <c r="J32" s="28"/>
      <c r="K32" s="23" t="s">
        <v>64</v>
      </c>
      <c r="L32" s="23"/>
      <c r="M32" s="23" t="s">
        <v>65</v>
      </c>
      <c r="N32" s="23"/>
      <c r="O32" s="23" t="s">
        <v>66</v>
      </c>
      <c r="P32" s="29"/>
    </row>
    <row r="33" ht="15.75" customHeight="1">
      <c r="B33" s="28"/>
      <c r="C33" s="23"/>
      <c r="D33" s="23"/>
      <c r="E33" s="23"/>
      <c r="F33" s="23"/>
      <c r="G33" s="23"/>
      <c r="H33" s="29"/>
      <c r="I33" s="23"/>
      <c r="J33" s="28"/>
      <c r="K33" s="23"/>
      <c r="L33" s="23"/>
      <c r="M33" s="23"/>
      <c r="N33" s="23"/>
      <c r="O33" s="23"/>
      <c r="P33" s="29"/>
    </row>
    <row r="34" ht="15.75" customHeight="1">
      <c r="B34" s="28"/>
      <c r="C34" s="42"/>
      <c r="D34" s="23"/>
      <c r="E34" s="42"/>
      <c r="F34" s="23"/>
      <c r="G34" s="42"/>
      <c r="H34" s="29"/>
      <c r="I34" s="23"/>
      <c r="J34" s="28"/>
      <c r="K34" s="42"/>
      <c r="L34" s="23"/>
      <c r="M34" s="42"/>
      <c r="N34" s="23"/>
      <c r="O34" s="42"/>
      <c r="P34" s="29"/>
    </row>
    <row r="35" ht="15.75" customHeight="1">
      <c r="B35" s="41"/>
      <c r="C35" s="42"/>
      <c r="D35" s="42"/>
      <c r="E35" s="42"/>
      <c r="F35" s="42"/>
      <c r="G35" s="42"/>
      <c r="H35" s="39"/>
      <c r="I35" s="23"/>
      <c r="J35" s="41"/>
      <c r="K35" s="42"/>
      <c r="L35" s="42"/>
      <c r="M35" s="42"/>
      <c r="N35" s="42"/>
      <c r="O35" s="42"/>
      <c r="P35" s="39"/>
    </row>
    <row r="36" ht="15.75" customHeight="1"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</row>
    <row r="37" ht="15.75" customHeight="1"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</row>
    <row r="38" ht="15.75" customHeight="1">
      <c r="B38" s="24"/>
      <c r="C38" s="25" t="s">
        <v>50</v>
      </c>
      <c r="D38" s="26"/>
      <c r="E38" s="26"/>
      <c r="F38" s="26"/>
      <c r="G38" s="26"/>
      <c r="H38" s="27"/>
      <c r="I38" s="23"/>
      <c r="J38" s="23"/>
      <c r="K38" s="43"/>
      <c r="P38" s="23"/>
    </row>
    <row r="39" ht="15.75" customHeight="1">
      <c r="B39" s="28"/>
      <c r="C39" s="43" t="s">
        <v>67</v>
      </c>
      <c r="H39" s="29"/>
      <c r="I39" s="23"/>
      <c r="J39" s="23"/>
      <c r="K39" s="43"/>
      <c r="P39" s="23"/>
    </row>
    <row r="40" ht="15.75" customHeight="1">
      <c r="B40" s="41"/>
      <c r="C40" s="44" t="s">
        <v>68</v>
      </c>
      <c r="D40" s="31"/>
      <c r="E40" s="31"/>
      <c r="F40" s="31"/>
      <c r="G40" s="31"/>
      <c r="H40" s="39"/>
      <c r="I40" s="23"/>
      <c r="J40" s="23"/>
      <c r="K40" s="43"/>
      <c r="P40" s="23"/>
    </row>
    <row r="41" ht="15.75" customHeight="1">
      <c r="B41" s="41"/>
      <c r="C41" s="45" t="s">
        <v>69</v>
      </c>
      <c r="D41" s="10"/>
      <c r="E41" s="10"/>
      <c r="F41" s="10"/>
      <c r="G41" s="10"/>
      <c r="H41" s="39"/>
      <c r="I41" s="23"/>
      <c r="J41" s="23"/>
      <c r="K41" s="43"/>
      <c r="P41" s="23"/>
    </row>
    <row r="42" ht="15.75" customHeight="1">
      <c r="B42" s="28"/>
      <c r="C42" s="23"/>
      <c r="D42" s="23"/>
      <c r="E42" s="23"/>
      <c r="F42" s="23"/>
      <c r="G42" s="23"/>
      <c r="H42" s="29"/>
      <c r="I42" s="23"/>
      <c r="J42" s="23"/>
      <c r="K42" s="23"/>
      <c r="L42" s="23"/>
      <c r="M42" s="23"/>
      <c r="N42" s="23"/>
      <c r="O42" s="23"/>
      <c r="P42" s="23"/>
    </row>
    <row r="43" ht="15.75" customHeight="1">
      <c r="B43" s="28"/>
      <c r="C43" s="23"/>
      <c r="D43" s="23"/>
      <c r="E43" s="23"/>
      <c r="F43" s="30" t="s">
        <v>76</v>
      </c>
      <c r="G43" s="31"/>
      <c r="H43" s="29"/>
      <c r="I43" s="23"/>
      <c r="J43" s="23"/>
      <c r="K43" s="23"/>
      <c r="L43" s="23"/>
      <c r="M43" s="23"/>
      <c r="N43" s="46"/>
      <c r="P43" s="23"/>
    </row>
    <row r="44" ht="15.75" customHeight="1">
      <c r="B44" s="28"/>
      <c r="C44" s="23" t="s">
        <v>53</v>
      </c>
      <c r="D44" s="32">
        <v>43565.0</v>
      </c>
      <c r="E44" s="31"/>
      <c r="F44" s="31"/>
      <c r="G44" s="31"/>
      <c r="H44" s="29"/>
      <c r="I44" s="23"/>
      <c r="J44" s="23"/>
      <c r="K44" s="23"/>
      <c r="L44" s="34"/>
      <c r="P44" s="23"/>
    </row>
    <row r="45" ht="15.75" customHeight="1">
      <c r="B45" s="28"/>
      <c r="C45" s="23" t="s">
        <v>54</v>
      </c>
      <c r="D45" s="33" t="s">
        <v>77</v>
      </c>
      <c r="E45" s="31"/>
      <c r="F45" s="31"/>
      <c r="G45" s="31"/>
      <c r="H45" s="29"/>
      <c r="I45" s="23"/>
      <c r="J45" s="23"/>
      <c r="K45" s="23"/>
      <c r="L45" s="34"/>
      <c r="P45" s="23"/>
    </row>
    <row r="46" ht="15.75" customHeight="1">
      <c r="B46" s="28"/>
      <c r="C46" s="23"/>
      <c r="D46" s="33"/>
      <c r="E46" s="31"/>
      <c r="F46" s="31"/>
      <c r="G46" s="31"/>
      <c r="H46" s="29"/>
      <c r="I46" s="23"/>
      <c r="J46" s="23"/>
      <c r="K46" s="23"/>
      <c r="L46" s="34"/>
      <c r="P46" s="23"/>
    </row>
    <row r="47" ht="15.75" customHeight="1">
      <c r="B47" s="28"/>
      <c r="C47" s="23"/>
      <c r="D47" s="34"/>
      <c r="E47" s="34"/>
      <c r="F47" s="34"/>
      <c r="G47" s="34"/>
      <c r="H47" s="29"/>
      <c r="I47" s="23"/>
      <c r="J47" s="23"/>
      <c r="K47" s="23"/>
      <c r="L47" s="34"/>
      <c r="M47" s="34"/>
      <c r="N47" s="34"/>
      <c r="O47" s="34"/>
      <c r="P47" s="23"/>
    </row>
    <row r="48" ht="15.75" customHeight="1">
      <c r="B48" s="28"/>
      <c r="C48" s="35" t="s">
        <v>57</v>
      </c>
      <c r="D48" s="35" t="s">
        <v>58</v>
      </c>
      <c r="E48" s="3"/>
      <c r="F48" s="36" t="s">
        <v>59</v>
      </c>
      <c r="G48" s="36" t="s">
        <v>60</v>
      </c>
      <c r="H48" s="29"/>
      <c r="I48" s="23"/>
      <c r="J48" s="23"/>
      <c r="K48" s="43"/>
      <c r="L48" s="43"/>
      <c r="N48" s="43"/>
      <c r="O48" s="43"/>
      <c r="P48" s="23"/>
    </row>
    <row r="49" ht="15.75" customHeight="1">
      <c r="B49" s="28"/>
      <c r="C49" s="37">
        <v>201.0</v>
      </c>
      <c r="D49" s="38" t="s">
        <v>78</v>
      </c>
      <c r="E49" s="39"/>
      <c r="F49" s="40">
        <v>80000.0</v>
      </c>
      <c r="G49" s="39"/>
      <c r="H49" s="29"/>
      <c r="I49" s="23"/>
      <c r="J49" s="23"/>
      <c r="K49" s="47"/>
      <c r="L49" s="48"/>
      <c r="M49" s="23"/>
      <c r="N49" s="23"/>
      <c r="O49" s="23"/>
      <c r="P49" s="23"/>
    </row>
    <row r="50" ht="15.75" customHeight="1">
      <c r="B50" s="28"/>
      <c r="C50" s="37">
        <v>101.0</v>
      </c>
      <c r="D50" s="41"/>
      <c r="E50" s="39" t="s">
        <v>63</v>
      </c>
      <c r="F50" s="39"/>
      <c r="G50" s="40">
        <v>80000.0</v>
      </c>
      <c r="H50" s="29"/>
      <c r="I50" s="23"/>
      <c r="J50" s="23"/>
      <c r="K50" s="47"/>
      <c r="L50" s="23"/>
      <c r="M50" s="23"/>
      <c r="N50" s="23"/>
      <c r="O50" s="23"/>
      <c r="P50" s="23"/>
    </row>
    <row r="51" ht="15.75" customHeight="1">
      <c r="B51" s="28"/>
      <c r="C51" s="23"/>
      <c r="D51" s="23"/>
      <c r="E51" s="23"/>
      <c r="F51" s="23"/>
      <c r="G51" s="23"/>
      <c r="H51" s="29"/>
      <c r="I51" s="23"/>
      <c r="J51" s="23"/>
      <c r="K51" s="23"/>
      <c r="L51" s="23"/>
      <c r="M51" s="23"/>
      <c r="N51" s="23"/>
      <c r="O51" s="23"/>
      <c r="P51" s="23"/>
    </row>
    <row r="52" ht="15.75" customHeight="1">
      <c r="B52" s="28"/>
      <c r="C52" s="23" t="s">
        <v>64</v>
      </c>
      <c r="E52" s="23" t="s">
        <v>65</v>
      </c>
      <c r="F52" s="23"/>
      <c r="G52" s="23" t="s">
        <v>66</v>
      </c>
      <c r="H52" s="29"/>
      <c r="I52" s="23"/>
      <c r="J52" s="23"/>
      <c r="K52" s="23"/>
      <c r="L52" s="23"/>
      <c r="M52" s="23"/>
      <c r="N52" s="23"/>
      <c r="O52" s="23"/>
      <c r="P52" s="23"/>
    </row>
    <row r="53" ht="15.75" customHeight="1">
      <c r="B53" s="28"/>
      <c r="C53" s="23"/>
      <c r="D53" s="23"/>
      <c r="E53" s="23"/>
      <c r="F53" s="23"/>
      <c r="G53" s="23"/>
      <c r="H53" s="29"/>
      <c r="I53" s="23"/>
      <c r="J53" s="23"/>
      <c r="K53" s="23"/>
      <c r="L53" s="23"/>
      <c r="M53" s="23"/>
      <c r="N53" s="23"/>
      <c r="O53" s="23"/>
      <c r="P53" s="23"/>
    </row>
    <row r="54" ht="15.75" customHeight="1">
      <c r="B54" s="28"/>
      <c r="C54" s="42"/>
      <c r="D54" s="23"/>
      <c r="E54" s="42"/>
      <c r="F54" s="23"/>
      <c r="G54" s="42"/>
      <c r="H54" s="29"/>
      <c r="I54" s="23"/>
      <c r="J54" s="23"/>
      <c r="K54" s="23"/>
      <c r="L54" s="23"/>
      <c r="M54" s="23"/>
      <c r="N54" s="23"/>
      <c r="O54" s="23"/>
      <c r="P54" s="23"/>
    </row>
    <row r="55" ht="15.75" customHeight="1">
      <c r="B55" s="41"/>
      <c r="C55" s="42"/>
      <c r="D55" s="42"/>
      <c r="E55" s="42"/>
      <c r="F55" s="42"/>
      <c r="G55" s="42"/>
      <c r="H55" s="39"/>
      <c r="I55" s="23"/>
      <c r="J55" s="23"/>
      <c r="K55" s="23"/>
      <c r="L55" s="23"/>
      <c r="M55" s="23"/>
      <c r="N55" s="23"/>
      <c r="O55" s="23"/>
      <c r="P55" s="23"/>
    </row>
    <row r="56" ht="15.75" customHeight="1"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</row>
    <row r="57" ht="15.75" customHeight="1">
      <c r="B57" s="24"/>
      <c r="C57" s="25" t="s">
        <v>50</v>
      </c>
      <c r="D57" s="26"/>
      <c r="E57" s="26"/>
      <c r="F57" s="26"/>
      <c r="G57" s="26"/>
      <c r="H57" s="27"/>
      <c r="I57" s="23"/>
      <c r="J57" s="24"/>
      <c r="K57" s="25" t="s">
        <v>50</v>
      </c>
      <c r="L57" s="26"/>
      <c r="M57" s="26"/>
      <c r="N57" s="26"/>
      <c r="O57" s="26"/>
      <c r="P57" s="27"/>
    </row>
    <row r="58" ht="15.75" customHeight="1">
      <c r="B58" s="28"/>
      <c r="C58" s="43" t="s">
        <v>67</v>
      </c>
      <c r="H58" s="29"/>
      <c r="I58" s="23"/>
      <c r="J58" s="28"/>
      <c r="K58" s="43" t="s">
        <v>67</v>
      </c>
      <c r="P58" s="29"/>
    </row>
    <row r="59" ht="15.75" customHeight="1">
      <c r="B59" s="41"/>
      <c r="C59" s="44" t="s">
        <v>68</v>
      </c>
      <c r="D59" s="31"/>
      <c r="E59" s="31"/>
      <c r="F59" s="31"/>
      <c r="G59" s="31"/>
      <c r="H59" s="39"/>
      <c r="I59" s="23"/>
      <c r="J59" s="41"/>
      <c r="K59" s="44" t="s">
        <v>68</v>
      </c>
      <c r="L59" s="31"/>
      <c r="M59" s="31"/>
      <c r="N59" s="31"/>
      <c r="O59" s="31"/>
      <c r="P59" s="39"/>
    </row>
    <row r="60" ht="15.75" customHeight="1">
      <c r="B60" s="41"/>
      <c r="C60" s="45" t="s">
        <v>69</v>
      </c>
      <c r="D60" s="10"/>
      <c r="E60" s="10"/>
      <c r="F60" s="10"/>
      <c r="G60" s="10"/>
      <c r="H60" s="39"/>
      <c r="I60" s="23"/>
      <c r="J60" s="41"/>
      <c r="K60" s="45" t="s">
        <v>69</v>
      </c>
      <c r="L60" s="10"/>
      <c r="M60" s="10"/>
      <c r="N60" s="10"/>
      <c r="O60" s="10"/>
      <c r="P60" s="39"/>
    </row>
    <row r="61" ht="15.75" customHeight="1">
      <c r="B61" s="28"/>
      <c r="C61" s="23"/>
      <c r="D61" s="23"/>
      <c r="E61" s="23"/>
      <c r="F61" s="23"/>
      <c r="G61" s="23"/>
      <c r="H61" s="29"/>
      <c r="I61" s="23"/>
      <c r="J61" s="28"/>
      <c r="K61" s="23"/>
      <c r="L61" s="23"/>
      <c r="M61" s="23"/>
      <c r="N61" s="23"/>
      <c r="O61" s="23"/>
      <c r="P61" s="29"/>
    </row>
    <row r="62" ht="15.75" customHeight="1">
      <c r="B62" s="28"/>
      <c r="C62" s="23"/>
      <c r="D62" s="23"/>
      <c r="E62" s="23"/>
      <c r="F62" s="30" t="s">
        <v>79</v>
      </c>
      <c r="G62" s="31"/>
      <c r="H62" s="29"/>
      <c r="I62" s="23"/>
      <c r="J62" s="28"/>
      <c r="K62" s="23"/>
      <c r="L62" s="23"/>
      <c r="M62" s="23"/>
      <c r="N62" s="30" t="s">
        <v>80</v>
      </c>
      <c r="O62" s="31"/>
      <c r="P62" s="29"/>
    </row>
    <row r="63" ht="15.75" customHeight="1">
      <c r="B63" s="28"/>
      <c r="C63" s="23" t="s">
        <v>53</v>
      </c>
      <c r="D63" s="32">
        <v>43560.0</v>
      </c>
      <c r="E63" s="31"/>
      <c r="F63" s="31"/>
      <c r="G63" s="31"/>
      <c r="H63" s="29"/>
      <c r="I63" s="23"/>
      <c r="J63" s="28"/>
      <c r="K63" s="23" t="s">
        <v>53</v>
      </c>
      <c r="L63" s="32">
        <v>43564.0</v>
      </c>
      <c r="M63" s="31"/>
      <c r="N63" s="31"/>
      <c r="O63" s="31"/>
      <c r="P63" s="29"/>
    </row>
    <row r="64" ht="15.75" customHeight="1">
      <c r="B64" s="28"/>
      <c r="C64" s="23" t="s">
        <v>54</v>
      </c>
      <c r="D64" s="33" t="s">
        <v>81</v>
      </c>
      <c r="E64" s="31"/>
      <c r="F64" s="31"/>
      <c r="G64" s="31"/>
      <c r="H64" s="29"/>
      <c r="I64" s="23"/>
      <c r="J64" s="28"/>
      <c r="K64" s="23" t="s">
        <v>54</v>
      </c>
      <c r="L64" s="33" t="s">
        <v>82</v>
      </c>
      <c r="M64" s="31"/>
      <c r="N64" s="31"/>
      <c r="O64" s="31"/>
      <c r="P64" s="29"/>
    </row>
    <row r="65" ht="15.75" customHeight="1">
      <c r="B65" s="28"/>
      <c r="C65" s="23"/>
      <c r="D65" s="33"/>
      <c r="E65" s="31"/>
      <c r="F65" s="31"/>
      <c r="G65" s="31"/>
      <c r="H65" s="29"/>
      <c r="I65" s="23"/>
      <c r="J65" s="28"/>
      <c r="K65" s="23"/>
      <c r="L65" s="33"/>
      <c r="M65" s="31"/>
      <c r="N65" s="31"/>
      <c r="O65" s="31"/>
      <c r="P65" s="29"/>
    </row>
    <row r="66" ht="15.75" customHeight="1">
      <c r="B66" s="28"/>
      <c r="C66" s="23"/>
      <c r="D66" s="34"/>
      <c r="E66" s="34"/>
      <c r="F66" s="34"/>
      <c r="G66" s="34"/>
      <c r="H66" s="29"/>
      <c r="I66" s="23"/>
      <c r="J66" s="28"/>
      <c r="K66" s="23"/>
      <c r="L66" s="34"/>
      <c r="M66" s="34"/>
      <c r="N66" s="34"/>
      <c r="O66" s="34"/>
      <c r="P66" s="29"/>
    </row>
    <row r="67" ht="15.75" customHeight="1">
      <c r="B67" s="28"/>
      <c r="C67" s="35" t="s">
        <v>57</v>
      </c>
      <c r="D67" s="35" t="s">
        <v>58</v>
      </c>
      <c r="E67" s="3"/>
      <c r="F67" s="36" t="s">
        <v>59</v>
      </c>
      <c r="G67" s="36" t="s">
        <v>60</v>
      </c>
      <c r="H67" s="29"/>
      <c r="I67" s="23"/>
      <c r="J67" s="28"/>
      <c r="K67" s="35" t="s">
        <v>57</v>
      </c>
      <c r="L67" s="35" t="s">
        <v>58</v>
      </c>
      <c r="M67" s="3"/>
      <c r="N67" s="36" t="s">
        <v>59</v>
      </c>
      <c r="O67" s="36" t="s">
        <v>60</v>
      </c>
      <c r="P67" s="29"/>
    </row>
    <row r="68" ht="15.75" customHeight="1">
      <c r="B68" s="28"/>
      <c r="C68" s="37">
        <v>100.0</v>
      </c>
      <c r="D68" s="38" t="s">
        <v>83</v>
      </c>
      <c r="E68" s="39"/>
      <c r="F68" s="40">
        <v>1.155E7</v>
      </c>
      <c r="G68" s="39"/>
      <c r="H68" s="29"/>
      <c r="I68" s="23"/>
      <c r="J68" s="28"/>
      <c r="K68" s="37">
        <v>200.0</v>
      </c>
      <c r="L68" s="38" t="s">
        <v>84</v>
      </c>
      <c r="M68" s="39"/>
      <c r="N68" s="40">
        <v>1540000.0</v>
      </c>
      <c r="O68" s="39"/>
      <c r="P68" s="29"/>
    </row>
    <row r="69" ht="15.75" customHeight="1">
      <c r="B69" s="28"/>
      <c r="C69" s="37">
        <v>102.0</v>
      </c>
      <c r="D69" s="41"/>
      <c r="E69" s="39" t="s">
        <v>85</v>
      </c>
      <c r="F69" s="39"/>
      <c r="G69" s="40">
        <v>1.155E7</v>
      </c>
      <c r="H69" s="29"/>
      <c r="I69" s="23"/>
      <c r="J69" s="28"/>
      <c r="K69" s="37">
        <v>100.0</v>
      </c>
      <c r="L69" s="41"/>
      <c r="M69" s="39" t="s">
        <v>83</v>
      </c>
      <c r="N69" s="39"/>
      <c r="O69" s="40">
        <v>1540000.0</v>
      </c>
      <c r="P69" s="29"/>
    </row>
    <row r="70" ht="15.75" customHeight="1">
      <c r="B70" s="28"/>
      <c r="C70" s="23"/>
      <c r="D70" s="23"/>
      <c r="E70" s="23"/>
      <c r="F70" s="23"/>
      <c r="G70" s="23"/>
      <c r="H70" s="29"/>
      <c r="I70" s="23"/>
      <c r="J70" s="28"/>
      <c r="K70" s="23"/>
      <c r="L70" s="23"/>
      <c r="M70" s="23"/>
      <c r="N70" s="23"/>
      <c r="O70" s="23"/>
      <c r="P70" s="29"/>
    </row>
    <row r="71" ht="15.75" customHeight="1">
      <c r="B71" s="28"/>
      <c r="C71" s="23" t="s">
        <v>64</v>
      </c>
      <c r="E71" s="23" t="s">
        <v>65</v>
      </c>
      <c r="F71" s="23"/>
      <c r="G71" s="23" t="s">
        <v>66</v>
      </c>
      <c r="H71" s="29"/>
      <c r="I71" s="23"/>
      <c r="J71" s="28"/>
      <c r="K71" s="23" t="s">
        <v>64</v>
      </c>
      <c r="L71" s="23"/>
      <c r="M71" s="23" t="s">
        <v>65</v>
      </c>
      <c r="N71" s="23"/>
      <c r="O71" s="23" t="s">
        <v>66</v>
      </c>
      <c r="P71" s="29"/>
    </row>
    <row r="72" ht="15.75" customHeight="1">
      <c r="B72" s="28"/>
      <c r="C72" s="23"/>
      <c r="D72" s="23"/>
      <c r="E72" s="23"/>
      <c r="F72" s="23"/>
      <c r="G72" s="23"/>
      <c r="H72" s="29"/>
      <c r="I72" s="23"/>
      <c r="J72" s="28"/>
      <c r="K72" s="23"/>
      <c r="L72" s="23"/>
      <c r="M72" s="23"/>
      <c r="N72" s="23"/>
      <c r="O72" s="23"/>
      <c r="P72" s="29"/>
    </row>
    <row r="73" ht="15.75" customHeight="1">
      <c r="B73" s="28"/>
      <c r="C73" s="42"/>
      <c r="D73" s="23"/>
      <c r="E73" s="42"/>
      <c r="F73" s="23"/>
      <c r="G73" s="42"/>
      <c r="H73" s="29"/>
      <c r="I73" s="23"/>
      <c r="J73" s="28"/>
      <c r="K73" s="42"/>
      <c r="L73" s="23"/>
      <c r="M73" s="42"/>
      <c r="N73" s="23"/>
      <c r="O73" s="42"/>
      <c r="P73" s="29"/>
    </row>
    <row r="74" ht="15.75" customHeight="1">
      <c r="B74" s="41"/>
      <c r="C74" s="42"/>
      <c r="D74" s="42"/>
      <c r="E74" s="42"/>
      <c r="F74" s="42"/>
      <c r="G74" s="42"/>
      <c r="H74" s="39"/>
      <c r="I74" s="23"/>
      <c r="J74" s="41"/>
      <c r="K74" s="42"/>
      <c r="L74" s="42"/>
      <c r="M74" s="42"/>
      <c r="N74" s="42"/>
      <c r="O74" s="42"/>
      <c r="P74" s="39"/>
    </row>
    <row r="75" ht="15.75" customHeight="1"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</row>
    <row r="76" ht="15.75" customHeight="1">
      <c r="B76" s="24"/>
      <c r="C76" s="25" t="s">
        <v>50</v>
      </c>
      <c r="D76" s="26"/>
      <c r="E76" s="26"/>
      <c r="F76" s="26"/>
      <c r="G76" s="26"/>
      <c r="H76" s="27"/>
      <c r="I76" s="23"/>
      <c r="J76" s="24"/>
      <c r="K76" s="25" t="s">
        <v>50</v>
      </c>
      <c r="L76" s="26"/>
      <c r="M76" s="26"/>
      <c r="N76" s="26"/>
      <c r="O76" s="26"/>
      <c r="P76" s="27"/>
    </row>
    <row r="77" ht="15.75" customHeight="1">
      <c r="B77" s="28"/>
      <c r="C77" s="43" t="s">
        <v>67</v>
      </c>
      <c r="H77" s="29"/>
      <c r="I77" s="23"/>
      <c r="J77" s="28"/>
      <c r="K77" s="43" t="s">
        <v>67</v>
      </c>
      <c r="P77" s="29"/>
    </row>
    <row r="78" ht="15.75" customHeight="1">
      <c r="B78" s="41"/>
      <c r="C78" s="44" t="s">
        <v>68</v>
      </c>
      <c r="D78" s="31"/>
      <c r="E78" s="31"/>
      <c r="F78" s="31"/>
      <c r="G78" s="31"/>
      <c r="H78" s="39"/>
      <c r="I78" s="23"/>
      <c r="J78" s="28"/>
      <c r="K78" s="43" t="s">
        <v>68</v>
      </c>
      <c r="P78" s="29"/>
    </row>
    <row r="79" ht="15.75" customHeight="1">
      <c r="B79" s="41"/>
      <c r="C79" s="45" t="s">
        <v>69</v>
      </c>
      <c r="D79" s="10"/>
      <c r="E79" s="10"/>
      <c r="F79" s="10"/>
      <c r="G79" s="10"/>
      <c r="H79" s="39"/>
      <c r="I79" s="23"/>
      <c r="J79" s="9"/>
      <c r="K79" s="45" t="s">
        <v>69</v>
      </c>
      <c r="L79" s="10"/>
      <c r="M79" s="10"/>
      <c r="N79" s="10"/>
      <c r="O79" s="10"/>
      <c r="P79" s="49"/>
    </row>
    <row r="80" ht="15.75" customHeight="1">
      <c r="B80" s="28"/>
      <c r="C80" s="23"/>
      <c r="D80" s="23"/>
      <c r="E80" s="23"/>
      <c r="F80" s="23"/>
      <c r="G80" s="23"/>
      <c r="H80" s="29"/>
      <c r="I80" s="23"/>
      <c r="J80" s="28"/>
      <c r="K80" s="23"/>
      <c r="L80" s="23"/>
      <c r="M80" s="23"/>
      <c r="N80" s="23"/>
      <c r="O80" s="23"/>
      <c r="P80" s="29"/>
    </row>
    <row r="81" ht="15.75" customHeight="1">
      <c r="B81" s="28"/>
      <c r="C81" s="23"/>
      <c r="D81" s="23"/>
      <c r="E81" s="23"/>
      <c r="F81" s="30" t="s">
        <v>86</v>
      </c>
      <c r="G81" s="31"/>
      <c r="H81" s="29"/>
      <c r="I81" s="23"/>
      <c r="J81" s="28"/>
      <c r="K81" s="23"/>
      <c r="L81" s="23"/>
      <c r="M81" s="23"/>
      <c r="N81" s="30" t="s">
        <v>87</v>
      </c>
      <c r="O81" s="31"/>
      <c r="P81" s="29"/>
    </row>
    <row r="82" ht="15.75" customHeight="1">
      <c r="B82" s="28"/>
      <c r="C82" s="23" t="s">
        <v>53</v>
      </c>
      <c r="D82" s="32">
        <v>43567.0</v>
      </c>
      <c r="E82" s="31"/>
      <c r="F82" s="31"/>
      <c r="G82" s="31"/>
      <c r="H82" s="29"/>
      <c r="I82" s="23"/>
      <c r="J82" s="28"/>
      <c r="K82" s="23" t="s">
        <v>53</v>
      </c>
      <c r="L82" s="32">
        <v>43564.0</v>
      </c>
      <c r="M82" s="31"/>
      <c r="N82" s="31"/>
      <c r="O82" s="31"/>
      <c r="P82" s="29"/>
    </row>
    <row r="83" ht="15.75" customHeight="1">
      <c r="B83" s="28"/>
      <c r="C83" s="23" t="s">
        <v>54</v>
      </c>
      <c r="D83" s="33" t="s">
        <v>88</v>
      </c>
      <c r="E83" s="31"/>
      <c r="F83" s="31"/>
      <c r="G83" s="31"/>
      <c r="H83" s="29"/>
      <c r="I83" s="23"/>
      <c r="J83" s="28"/>
      <c r="K83" s="23" t="s">
        <v>54</v>
      </c>
      <c r="L83" s="33"/>
      <c r="M83" s="31"/>
      <c r="N83" s="31"/>
      <c r="O83" s="31"/>
      <c r="P83" s="29"/>
    </row>
    <row r="84" ht="15.75" customHeight="1">
      <c r="B84" s="28"/>
      <c r="C84" s="23"/>
      <c r="D84" s="33"/>
      <c r="E84" s="31"/>
      <c r="F84" s="31"/>
      <c r="G84" s="31"/>
      <c r="H84" s="29"/>
      <c r="I84" s="23"/>
      <c r="J84" s="28"/>
      <c r="K84" s="23"/>
      <c r="L84" s="33"/>
      <c r="M84" s="31"/>
      <c r="N84" s="31"/>
      <c r="O84" s="31"/>
      <c r="P84" s="29"/>
    </row>
    <row r="85" ht="15.75" customHeight="1">
      <c r="B85" s="28"/>
      <c r="C85" s="23"/>
      <c r="D85" s="34"/>
      <c r="E85" s="34"/>
      <c r="F85" s="34"/>
      <c r="G85" s="34"/>
      <c r="H85" s="29"/>
      <c r="I85" s="23"/>
      <c r="J85" s="28"/>
      <c r="K85" s="23"/>
      <c r="L85" s="34"/>
      <c r="M85" s="34"/>
      <c r="N85" s="34"/>
      <c r="O85" s="34"/>
      <c r="P85" s="29"/>
    </row>
    <row r="86" ht="15.75" customHeight="1">
      <c r="B86" s="28"/>
      <c r="C86" s="35" t="s">
        <v>57</v>
      </c>
      <c r="D86" s="35" t="s">
        <v>58</v>
      </c>
      <c r="E86" s="3"/>
      <c r="F86" s="36" t="s">
        <v>59</v>
      </c>
      <c r="G86" s="36" t="s">
        <v>60</v>
      </c>
      <c r="H86" s="29"/>
      <c r="I86" s="23"/>
      <c r="J86" s="28"/>
      <c r="K86" s="35" t="s">
        <v>57</v>
      </c>
      <c r="L86" s="35" t="s">
        <v>58</v>
      </c>
      <c r="M86" s="3"/>
      <c r="N86" s="36" t="s">
        <v>59</v>
      </c>
      <c r="O86" s="36" t="s">
        <v>60</v>
      </c>
      <c r="P86" s="29"/>
    </row>
    <row r="87" ht="15.75" customHeight="1">
      <c r="B87" s="28"/>
      <c r="C87" s="37">
        <v>500.0</v>
      </c>
      <c r="D87" s="38" t="s">
        <v>89</v>
      </c>
      <c r="E87" s="39"/>
      <c r="F87" s="40">
        <v>431200.0</v>
      </c>
      <c r="G87" s="39"/>
      <c r="H87" s="29"/>
      <c r="I87" s="23"/>
      <c r="J87" s="28"/>
      <c r="K87" s="37">
        <v>102.0</v>
      </c>
      <c r="L87" s="38" t="s">
        <v>85</v>
      </c>
      <c r="M87" s="39"/>
      <c r="N87" s="40">
        <v>1320000.0</v>
      </c>
      <c r="O87" s="39"/>
      <c r="P87" s="29"/>
    </row>
    <row r="88" ht="15.75" customHeight="1">
      <c r="B88" s="28"/>
      <c r="C88" s="37">
        <v>200.0</v>
      </c>
      <c r="D88" s="41"/>
      <c r="E88" s="39" t="s">
        <v>90</v>
      </c>
      <c r="F88" s="39"/>
      <c r="G88" s="40">
        <v>431200.0</v>
      </c>
      <c r="H88" s="29"/>
      <c r="I88" s="23"/>
      <c r="J88" s="28"/>
      <c r="K88" s="37">
        <v>400.0</v>
      </c>
      <c r="L88" s="41"/>
      <c r="M88" s="39" t="s">
        <v>91</v>
      </c>
      <c r="N88" s="39"/>
      <c r="O88" s="40">
        <v>1320000.0</v>
      </c>
      <c r="P88" s="29"/>
    </row>
    <row r="89" ht="15.75" customHeight="1">
      <c r="B89" s="28"/>
      <c r="C89" s="23"/>
      <c r="D89" s="23"/>
      <c r="E89" s="23"/>
      <c r="F89" s="23"/>
      <c r="G89" s="23"/>
      <c r="H89" s="29"/>
      <c r="I89" s="23"/>
      <c r="J89" s="28"/>
      <c r="K89" s="23"/>
      <c r="L89" s="23"/>
      <c r="M89" s="23"/>
      <c r="N89" s="23"/>
      <c r="O89" s="23"/>
      <c r="P89" s="29"/>
    </row>
    <row r="90" ht="15.75" customHeight="1">
      <c r="B90" s="28"/>
      <c r="C90" s="23" t="s">
        <v>64</v>
      </c>
      <c r="E90" s="23" t="s">
        <v>65</v>
      </c>
      <c r="F90" s="23"/>
      <c r="G90" s="23" t="s">
        <v>66</v>
      </c>
      <c r="H90" s="29"/>
      <c r="I90" s="23"/>
      <c r="J90" s="28"/>
      <c r="K90" s="23" t="s">
        <v>64</v>
      </c>
      <c r="L90" s="23"/>
      <c r="M90" s="23" t="s">
        <v>65</v>
      </c>
      <c r="N90" s="23"/>
      <c r="O90" s="23" t="s">
        <v>66</v>
      </c>
      <c r="P90" s="29"/>
    </row>
    <row r="91" ht="15.75" customHeight="1">
      <c r="B91" s="28"/>
      <c r="C91" s="23"/>
      <c r="D91" s="23"/>
      <c r="E91" s="23"/>
      <c r="F91" s="23"/>
      <c r="G91" s="23"/>
      <c r="H91" s="29"/>
      <c r="I91" s="23"/>
      <c r="J91" s="28"/>
      <c r="K91" s="23"/>
      <c r="L91" s="23"/>
      <c r="M91" s="23"/>
      <c r="N91" s="23"/>
      <c r="O91" s="23"/>
      <c r="P91" s="29"/>
    </row>
    <row r="92" ht="15.75" customHeight="1">
      <c r="B92" s="28"/>
      <c r="C92" s="42"/>
      <c r="D92" s="23"/>
      <c r="E92" s="42"/>
      <c r="F92" s="23"/>
      <c r="G92" s="42"/>
      <c r="H92" s="29"/>
      <c r="I92" s="23"/>
      <c r="J92" s="28"/>
      <c r="K92" s="42"/>
      <c r="L92" s="23"/>
      <c r="M92" s="42"/>
      <c r="N92" s="23"/>
      <c r="O92" s="42"/>
      <c r="P92" s="29"/>
    </row>
    <row r="93" ht="15.75" customHeight="1">
      <c r="B93" s="41"/>
      <c r="C93" s="42"/>
      <c r="D93" s="42"/>
      <c r="E93" s="42"/>
      <c r="F93" s="42"/>
      <c r="G93" s="42"/>
      <c r="H93" s="39"/>
      <c r="I93" s="23"/>
      <c r="J93" s="41"/>
      <c r="K93" s="42"/>
      <c r="L93" s="42"/>
      <c r="M93" s="42"/>
      <c r="N93" s="42"/>
      <c r="O93" s="42"/>
      <c r="P93" s="39"/>
    </row>
    <row r="94" ht="15.75" customHeight="1"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</row>
    <row r="95" ht="15.75" customHeight="1">
      <c r="B95" s="24"/>
      <c r="C95" s="25" t="s">
        <v>50</v>
      </c>
      <c r="D95" s="26"/>
      <c r="E95" s="26"/>
      <c r="F95" s="26"/>
      <c r="G95" s="26"/>
      <c r="H95" s="27"/>
      <c r="I95" s="23"/>
      <c r="J95" s="23"/>
      <c r="K95" s="23"/>
      <c r="L95" s="23"/>
      <c r="M95" s="23"/>
      <c r="N95" s="23"/>
      <c r="O95" s="23"/>
      <c r="P95" s="23"/>
    </row>
    <row r="96" ht="15.75" customHeight="1">
      <c r="B96" s="28"/>
      <c r="C96" s="43" t="s">
        <v>67</v>
      </c>
      <c r="H96" s="29"/>
      <c r="I96" s="23"/>
      <c r="J96" s="23"/>
      <c r="K96" s="23"/>
      <c r="L96" s="23"/>
      <c r="M96" s="23"/>
      <c r="N96" s="23"/>
      <c r="O96" s="23"/>
      <c r="P96" s="23"/>
    </row>
    <row r="97" ht="15.75" customHeight="1">
      <c r="B97" s="41"/>
      <c r="C97" s="44" t="s">
        <v>68</v>
      </c>
      <c r="D97" s="31"/>
      <c r="E97" s="31"/>
      <c r="F97" s="31"/>
      <c r="G97" s="31"/>
      <c r="H97" s="39"/>
      <c r="I97" s="23"/>
      <c r="J97" s="23"/>
      <c r="K97" s="23"/>
      <c r="L97" s="23"/>
      <c r="M97" s="23"/>
      <c r="N97" s="23"/>
      <c r="O97" s="23"/>
      <c r="P97" s="23"/>
    </row>
    <row r="98" ht="15.75" customHeight="1">
      <c r="B98" s="41"/>
      <c r="C98" s="45" t="s">
        <v>69</v>
      </c>
      <c r="D98" s="10"/>
      <c r="E98" s="10"/>
      <c r="F98" s="10"/>
      <c r="G98" s="10"/>
      <c r="H98" s="39"/>
      <c r="I98" s="23"/>
      <c r="J98" s="23"/>
      <c r="K98" s="23"/>
      <c r="L98" s="23"/>
      <c r="M98" s="23"/>
      <c r="N98" s="23"/>
      <c r="O98" s="23"/>
      <c r="P98" s="23"/>
    </row>
    <row r="99" ht="15.75" customHeight="1">
      <c r="B99" s="28"/>
      <c r="C99" s="23"/>
      <c r="D99" s="23"/>
      <c r="E99" s="23"/>
      <c r="F99" s="23"/>
      <c r="G99" s="23"/>
      <c r="H99" s="29"/>
      <c r="I99" s="23"/>
      <c r="J99" s="23"/>
      <c r="K99" s="23"/>
      <c r="L99" s="23"/>
      <c r="M99" s="23"/>
      <c r="N99" s="23"/>
      <c r="O99" s="23"/>
      <c r="P99" s="23"/>
    </row>
    <row r="100" ht="15.75" customHeight="1">
      <c r="B100" s="28"/>
      <c r="C100" s="23"/>
      <c r="D100" s="23"/>
      <c r="E100" s="23"/>
      <c r="F100" s="30" t="s">
        <v>92</v>
      </c>
      <c r="G100" s="31"/>
      <c r="H100" s="29"/>
      <c r="I100" s="23"/>
      <c r="J100" s="23"/>
      <c r="K100" s="23"/>
      <c r="L100" s="23"/>
      <c r="M100" s="23"/>
      <c r="N100" s="23"/>
      <c r="O100" s="23"/>
      <c r="P100" s="23"/>
    </row>
    <row r="101" ht="15.75" customHeight="1">
      <c r="B101" s="28"/>
      <c r="C101" s="23" t="s">
        <v>53</v>
      </c>
      <c r="D101" s="32">
        <v>43585.0</v>
      </c>
      <c r="E101" s="31"/>
      <c r="F101" s="31"/>
      <c r="G101" s="31"/>
      <c r="H101" s="29"/>
      <c r="I101" s="23"/>
      <c r="J101" s="23"/>
      <c r="K101" s="23"/>
      <c r="L101" s="23"/>
      <c r="M101" s="23"/>
      <c r="N101" s="23"/>
      <c r="O101" s="23"/>
      <c r="P101" s="23"/>
    </row>
    <row r="102" ht="15.75" customHeight="1">
      <c r="B102" s="28"/>
      <c r="C102" s="23" t="s">
        <v>54</v>
      </c>
      <c r="D102" s="33"/>
      <c r="E102" s="31"/>
      <c r="F102" s="31"/>
      <c r="G102" s="31"/>
      <c r="H102" s="29"/>
      <c r="I102" s="23"/>
      <c r="J102" s="23"/>
      <c r="K102" s="23"/>
      <c r="L102" s="23"/>
      <c r="M102" s="23"/>
      <c r="N102" s="23"/>
      <c r="O102" s="23"/>
      <c r="P102" s="23"/>
    </row>
    <row r="103" ht="15.75" customHeight="1">
      <c r="B103" s="28"/>
      <c r="C103" s="23"/>
      <c r="D103" s="33"/>
      <c r="E103" s="31"/>
      <c r="F103" s="31"/>
      <c r="G103" s="31"/>
      <c r="H103" s="29"/>
      <c r="I103" s="23"/>
      <c r="J103" s="23"/>
      <c r="K103" s="23"/>
      <c r="L103" s="23"/>
      <c r="M103" s="23"/>
      <c r="N103" s="23"/>
      <c r="O103" s="23"/>
      <c r="P103" s="23"/>
    </row>
    <row r="104" ht="15.75" customHeight="1">
      <c r="B104" s="28"/>
      <c r="C104" s="23"/>
      <c r="D104" s="34"/>
      <c r="E104" s="34"/>
      <c r="F104" s="34"/>
      <c r="G104" s="34"/>
      <c r="H104" s="29"/>
      <c r="I104" s="23"/>
      <c r="J104" s="23"/>
      <c r="K104" s="23"/>
      <c r="L104" s="23"/>
      <c r="M104" s="23"/>
      <c r="N104" s="23"/>
      <c r="O104" s="23"/>
      <c r="P104" s="23"/>
    </row>
    <row r="105" ht="15.75" customHeight="1">
      <c r="B105" s="28"/>
      <c r="C105" s="35" t="s">
        <v>57</v>
      </c>
      <c r="D105" s="35" t="s">
        <v>58</v>
      </c>
      <c r="E105" s="3"/>
      <c r="F105" s="36" t="s">
        <v>59</v>
      </c>
      <c r="G105" s="36" t="s">
        <v>60</v>
      </c>
      <c r="H105" s="29"/>
      <c r="I105" s="23"/>
      <c r="J105" s="23"/>
      <c r="K105" s="23"/>
      <c r="L105" s="23"/>
      <c r="M105" s="23"/>
      <c r="N105" s="23"/>
      <c r="O105" s="23"/>
      <c r="P105" s="23"/>
    </row>
    <row r="106" ht="15.75" customHeight="1">
      <c r="B106" s="28"/>
      <c r="C106" s="37">
        <v>102.0</v>
      </c>
      <c r="D106" s="38" t="s">
        <v>85</v>
      </c>
      <c r="E106" s="39"/>
      <c r="F106" s="40">
        <v>3300000.0</v>
      </c>
      <c r="G106" s="39"/>
      <c r="H106" s="29"/>
      <c r="I106" s="23"/>
      <c r="J106" s="23"/>
      <c r="K106" s="23"/>
      <c r="L106" s="23"/>
      <c r="M106" s="23"/>
      <c r="N106" s="23"/>
      <c r="O106" s="23"/>
      <c r="P106" s="23"/>
    </row>
    <row r="107" ht="15.75" customHeight="1">
      <c r="B107" s="28"/>
      <c r="C107" s="37">
        <v>400.0</v>
      </c>
      <c r="D107" s="41"/>
      <c r="E107" s="39" t="s">
        <v>91</v>
      </c>
      <c r="F107" s="39"/>
      <c r="G107" s="40">
        <v>3300000.0</v>
      </c>
      <c r="H107" s="29"/>
      <c r="I107" s="23"/>
      <c r="J107" s="23"/>
      <c r="K107" s="23"/>
      <c r="L107" s="23"/>
      <c r="M107" s="23"/>
      <c r="N107" s="23"/>
      <c r="O107" s="23"/>
      <c r="P107" s="23"/>
    </row>
    <row r="108" ht="15.75" customHeight="1">
      <c r="B108" s="28"/>
      <c r="C108" s="41"/>
      <c r="D108" s="41"/>
      <c r="E108" s="39"/>
      <c r="F108" s="39"/>
      <c r="G108" s="39"/>
      <c r="H108" s="29"/>
      <c r="I108" s="23"/>
      <c r="J108" s="23"/>
      <c r="K108" s="23"/>
      <c r="L108" s="23"/>
      <c r="M108" s="23"/>
      <c r="N108" s="23"/>
      <c r="O108" s="23"/>
      <c r="P108" s="23"/>
    </row>
    <row r="109" ht="15.75" customHeight="1">
      <c r="B109" s="28"/>
      <c r="C109" s="23"/>
      <c r="D109" s="23"/>
      <c r="E109" s="23"/>
      <c r="F109" s="23"/>
      <c r="G109" s="23"/>
      <c r="H109" s="29"/>
      <c r="I109" s="23"/>
      <c r="J109" s="23"/>
      <c r="K109" s="23"/>
      <c r="L109" s="23"/>
      <c r="M109" s="23"/>
      <c r="N109" s="23"/>
      <c r="O109" s="23"/>
      <c r="P109" s="23"/>
    </row>
    <row r="110" ht="15.75" customHeight="1">
      <c r="B110" s="28"/>
      <c r="C110" s="23" t="s">
        <v>64</v>
      </c>
      <c r="E110" s="23" t="s">
        <v>65</v>
      </c>
      <c r="F110" s="23"/>
      <c r="G110" s="23" t="s">
        <v>66</v>
      </c>
      <c r="H110" s="29"/>
      <c r="I110" s="23"/>
      <c r="J110" s="23"/>
      <c r="K110" s="23"/>
      <c r="L110" s="23"/>
      <c r="M110" s="23"/>
      <c r="N110" s="23"/>
      <c r="O110" s="23"/>
      <c r="P110" s="23"/>
    </row>
    <row r="111" ht="15.75" customHeight="1">
      <c r="B111" s="28"/>
      <c r="C111" s="23"/>
      <c r="D111" s="23"/>
      <c r="E111" s="23"/>
      <c r="F111" s="23"/>
      <c r="G111" s="23"/>
      <c r="H111" s="29"/>
      <c r="I111" s="23"/>
      <c r="J111" s="23"/>
      <c r="K111" s="23"/>
      <c r="L111" s="23"/>
      <c r="M111" s="23"/>
      <c r="N111" s="23"/>
      <c r="O111" s="23"/>
      <c r="P111" s="23"/>
    </row>
    <row r="112" ht="15.75" customHeight="1">
      <c r="B112" s="28"/>
      <c r="C112" s="42"/>
      <c r="D112" s="23"/>
      <c r="E112" s="42"/>
      <c r="F112" s="23"/>
      <c r="G112" s="42"/>
      <c r="H112" s="29"/>
      <c r="I112" s="23"/>
      <c r="J112" s="23"/>
      <c r="K112" s="23"/>
      <c r="L112" s="23"/>
      <c r="M112" s="23"/>
      <c r="N112" s="23"/>
      <c r="O112" s="23"/>
      <c r="P112" s="23"/>
    </row>
    <row r="113" ht="15.75" customHeight="1">
      <c r="B113" s="41"/>
      <c r="C113" s="42"/>
      <c r="D113" s="42"/>
      <c r="E113" s="42"/>
      <c r="F113" s="42"/>
      <c r="G113" s="42"/>
      <c r="H113" s="39"/>
      <c r="I113" s="23"/>
      <c r="J113" s="23"/>
      <c r="K113" s="23"/>
      <c r="L113" s="23"/>
      <c r="M113" s="23"/>
      <c r="N113" s="23"/>
      <c r="O113" s="23"/>
      <c r="P113" s="23"/>
    </row>
    <row r="114" ht="15.75" customHeight="1"/>
    <row r="115" ht="15.75" customHeight="1"/>
    <row r="116" ht="15.75" customHeight="1"/>
    <row r="117" ht="15.75" customHeight="1">
      <c r="C117" s="50" t="s">
        <v>93</v>
      </c>
      <c r="D117" s="10"/>
      <c r="E117" s="3"/>
    </row>
    <row r="118" ht="15.75" customHeight="1">
      <c r="C118" s="51" t="s">
        <v>57</v>
      </c>
      <c r="D118" s="51" t="s">
        <v>59</v>
      </c>
      <c r="E118" s="51" t="s">
        <v>60</v>
      </c>
    </row>
    <row r="119" ht="15.75" customHeight="1">
      <c r="C119" s="5">
        <v>100.0</v>
      </c>
      <c r="D119" s="19">
        <v>1.155E7</v>
      </c>
      <c r="E119" s="19">
        <v>1540000.0</v>
      </c>
    </row>
    <row r="120" ht="15.75" customHeight="1">
      <c r="C120" s="5">
        <v>101.0</v>
      </c>
      <c r="D120" s="19">
        <v>0.0</v>
      </c>
      <c r="E120" s="19">
        <v>1830000.0</v>
      </c>
    </row>
    <row r="121" ht="15.75" customHeight="1">
      <c r="C121" s="5">
        <v>102.0</v>
      </c>
      <c r="D121" s="19">
        <v>2640000.0</v>
      </c>
      <c r="E121" s="19">
        <v>1.155E7</v>
      </c>
    </row>
    <row r="122" ht="15.75" customHeight="1">
      <c r="C122" s="5">
        <v>105.0</v>
      </c>
      <c r="D122" s="19">
        <v>500000.0</v>
      </c>
      <c r="E122" s="19">
        <v>0.0</v>
      </c>
    </row>
    <row r="123" ht="15.75" customHeight="1">
      <c r="C123" s="5">
        <v>106.0</v>
      </c>
      <c r="D123" s="19">
        <v>500000.0</v>
      </c>
      <c r="E123" s="19">
        <v>0.0</v>
      </c>
    </row>
    <row r="124" ht="15.75" customHeight="1">
      <c r="C124" s="5">
        <v>107.0</v>
      </c>
      <c r="D124" s="19">
        <v>300000.0</v>
      </c>
      <c r="E124" s="19">
        <v>0.0</v>
      </c>
    </row>
    <row r="125" ht="15.75" customHeight="1">
      <c r="C125" s="5">
        <v>200.0</v>
      </c>
      <c r="D125" s="19">
        <v>1540000.0</v>
      </c>
      <c r="E125" s="19">
        <v>431200.0</v>
      </c>
    </row>
    <row r="126" ht="15.75" customHeight="1">
      <c r="C126" s="5">
        <v>201.0</v>
      </c>
      <c r="D126" s="19">
        <v>80000.0</v>
      </c>
      <c r="E126" s="19">
        <v>0.0</v>
      </c>
    </row>
    <row r="127" ht="15.75" customHeight="1">
      <c r="C127" s="5">
        <v>400.0</v>
      </c>
      <c r="D127" s="19">
        <v>0.0</v>
      </c>
      <c r="E127" s="19">
        <v>2640000.0</v>
      </c>
    </row>
    <row r="128" ht="15.75" customHeight="1">
      <c r="C128" s="5">
        <v>500.0</v>
      </c>
      <c r="D128" s="19">
        <v>431200.0</v>
      </c>
      <c r="E128" s="19">
        <v>0.0</v>
      </c>
    </row>
    <row r="129" ht="15.75" customHeight="1">
      <c r="C129" s="5">
        <v>608.0</v>
      </c>
      <c r="D129" s="19">
        <v>450000.0</v>
      </c>
      <c r="E129" s="19">
        <v>0.0</v>
      </c>
    </row>
    <row r="130" ht="15.75" customHeight="1">
      <c r="C130" s="5"/>
      <c r="D130" s="19">
        <f t="shared" ref="D130:E130" si="1">SUM(D118:D129)</f>
        <v>17991200</v>
      </c>
      <c r="E130" s="19">
        <f t="shared" si="1"/>
        <v>17991200</v>
      </c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0">
    <mergeCell ref="D45:G45"/>
    <mergeCell ref="D46:G46"/>
    <mergeCell ref="D48:E48"/>
    <mergeCell ref="C52:D52"/>
    <mergeCell ref="C57:G57"/>
    <mergeCell ref="C58:G58"/>
    <mergeCell ref="C59:G59"/>
    <mergeCell ref="C60:G60"/>
    <mergeCell ref="F62:G62"/>
    <mergeCell ref="D63:G63"/>
    <mergeCell ref="D64:G64"/>
    <mergeCell ref="D65:G65"/>
    <mergeCell ref="D67:E67"/>
    <mergeCell ref="C71:D71"/>
    <mergeCell ref="C76:G76"/>
    <mergeCell ref="C77:G77"/>
    <mergeCell ref="C78:G78"/>
    <mergeCell ref="C79:G79"/>
    <mergeCell ref="F81:G81"/>
    <mergeCell ref="D82:G82"/>
    <mergeCell ref="D83:G83"/>
    <mergeCell ref="F100:G100"/>
    <mergeCell ref="D101:G101"/>
    <mergeCell ref="D102:G102"/>
    <mergeCell ref="D103:G103"/>
    <mergeCell ref="D105:E105"/>
    <mergeCell ref="C110:D110"/>
    <mergeCell ref="C117:E117"/>
    <mergeCell ref="D84:G84"/>
    <mergeCell ref="D86:E86"/>
    <mergeCell ref="C90:D90"/>
    <mergeCell ref="C95:G95"/>
    <mergeCell ref="C96:G96"/>
    <mergeCell ref="C97:G97"/>
    <mergeCell ref="C98:G98"/>
    <mergeCell ref="K77:O77"/>
    <mergeCell ref="K78:O78"/>
    <mergeCell ref="K79:O79"/>
    <mergeCell ref="N81:O81"/>
    <mergeCell ref="L82:O82"/>
    <mergeCell ref="L83:O83"/>
    <mergeCell ref="L84:O84"/>
    <mergeCell ref="L86:M86"/>
    <mergeCell ref="K60:O60"/>
    <mergeCell ref="N62:O62"/>
    <mergeCell ref="L63:O63"/>
    <mergeCell ref="L64:O64"/>
    <mergeCell ref="L65:O65"/>
    <mergeCell ref="L67:M67"/>
    <mergeCell ref="K76:O76"/>
    <mergeCell ref="C2:G2"/>
    <mergeCell ref="K2:O2"/>
    <mergeCell ref="F4:G4"/>
    <mergeCell ref="N4:O4"/>
    <mergeCell ref="D5:G5"/>
    <mergeCell ref="L5:O5"/>
    <mergeCell ref="L6:O6"/>
    <mergeCell ref="L7:O7"/>
    <mergeCell ref="D6:G6"/>
    <mergeCell ref="D7:G7"/>
    <mergeCell ref="D9:E9"/>
    <mergeCell ref="L9:M9"/>
    <mergeCell ref="C13:D13"/>
    <mergeCell ref="C18:G18"/>
    <mergeCell ref="C19:G19"/>
    <mergeCell ref="K18:O18"/>
    <mergeCell ref="K19:O19"/>
    <mergeCell ref="K20:O20"/>
    <mergeCell ref="K21:O21"/>
    <mergeCell ref="N23:O23"/>
    <mergeCell ref="L24:O24"/>
    <mergeCell ref="L25:O25"/>
    <mergeCell ref="C20:G20"/>
    <mergeCell ref="C21:G21"/>
    <mergeCell ref="F23:G23"/>
    <mergeCell ref="D24:G24"/>
    <mergeCell ref="D25:G25"/>
    <mergeCell ref="D26:G26"/>
    <mergeCell ref="D28:E28"/>
    <mergeCell ref="L26:O26"/>
    <mergeCell ref="L28:M28"/>
    <mergeCell ref="K38:O38"/>
    <mergeCell ref="K39:O39"/>
    <mergeCell ref="K40:O40"/>
    <mergeCell ref="K41:O41"/>
    <mergeCell ref="N43:O43"/>
    <mergeCell ref="C32:D32"/>
    <mergeCell ref="C38:G38"/>
    <mergeCell ref="C39:G39"/>
    <mergeCell ref="C40:G40"/>
    <mergeCell ref="C41:G41"/>
    <mergeCell ref="F43:G43"/>
    <mergeCell ref="D44:G44"/>
    <mergeCell ref="L44:O44"/>
    <mergeCell ref="L45:O45"/>
    <mergeCell ref="L46:O46"/>
    <mergeCell ref="L48:M48"/>
    <mergeCell ref="K57:O57"/>
    <mergeCell ref="K58:O58"/>
    <mergeCell ref="K59:O5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7.5"/>
    <col customWidth="1" min="3" max="3" width="5.88"/>
    <col customWidth="1" min="4" max="4" width="13.5"/>
    <col customWidth="1" min="5" max="6" width="12.63"/>
    <col customWidth="1" min="9" max="9" width="18.75"/>
    <col customWidth="1" min="11" max="11" width="3.88"/>
    <col customWidth="1" min="12" max="12" width="2.88"/>
    <col customWidth="1" min="20" max="20" width="5.13"/>
    <col customWidth="1" min="21" max="21" width="3.25"/>
  </cols>
  <sheetData>
    <row r="1" ht="15.75" customHeight="1">
      <c r="H1" s="52"/>
      <c r="I1" s="52"/>
      <c r="T1" s="53"/>
      <c r="U1" s="53"/>
      <c r="V1" s="54"/>
      <c r="W1" s="55"/>
      <c r="X1" s="55"/>
      <c r="Y1" s="55"/>
      <c r="Z1" s="56"/>
      <c r="AA1" s="57"/>
    </row>
    <row r="2" ht="15.75" customHeight="1">
      <c r="H2" s="52"/>
      <c r="I2" s="52"/>
      <c r="T2" s="53"/>
      <c r="U2" s="53"/>
      <c r="V2" s="54"/>
      <c r="W2" s="55"/>
      <c r="X2" s="55"/>
      <c r="Y2" s="55"/>
      <c r="Z2" s="56"/>
      <c r="AA2" s="57"/>
    </row>
    <row r="3" ht="15.75" customHeight="1">
      <c r="B3" s="58" t="s">
        <v>94</v>
      </c>
      <c r="C3" s="59"/>
      <c r="D3" s="60"/>
      <c r="E3" s="61" t="s">
        <v>95</v>
      </c>
      <c r="F3" s="62"/>
      <c r="G3" s="63"/>
      <c r="H3" s="64"/>
      <c r="I3" s="65" t="s">
        <v>96</v>
      </c>
      <c r="K3" s="58" t="s">
        <v>94</v>
      </c>
      <c r="L3" s="59"/>
      <c r="M3" s="60"/>
      <c r="N3" s="61" t="s">
        <v>95</v>
      </c>
      <c r="O3" s="62"/>
      <c r="P3" s="63"/>
      <c r="Q3" s="64"/>
      <c r="R3" s="65" t="s">
        <v>96</v>
      </c>
      <c r="T3" s="58" t="s">
        <v>94</v>
      </c>
      <c r="U3" s="59"/>
      <c r="V3" s="60"/>
      <c r="W3" s="61" t="s">
        <v>95</v>
      </c>
      <c r="X3" s="62"/>
      <c r="Y3" s="63"/>
      <c r="Z3" s="64"/>
      <c r="AA3" s="65" t="s">
        <v>96</v>
      </c>
    </row>
    <row r="4" ht="15.75" customHeight="1">
      <c r="B4" s="66"/>
      <c r="C4" s="67"/>
      <c r="D4" s="68" t="s">
        <v>5</v>
      </c>
      <c r="E4" s="31"/>
      <c r="F4" s="31"/>
      <c r="G4" s="16"/>
      <c r="H4" s="69"/>
      <c r="I4" s="70">
        <f t="array" ref="I4">xLOOKUP(D4,'balance sheet'!$C$5:$C$38,'balance sheet'!$B$5:$B$38)</f>
        <v>101</v>
      </c>
      <c r="K4" s="71" t="s">
        <v>14</v>
      </c>
      <c r="L4" s="10"/>
      <c r="M4" s="3"/>
      <c r="N4" s="31"/>
      <c r="O4" s="31"/>
      <c r="P4" s="16"/>
      <c r="Q4" s="69"/>
      <c r="R4" s="70">
        <f t="array" ref="R4">xLOOKUP(K4,'balance sheet'!$C$5:$C$38,'balance sheet'!$B$5:$B$38)</f>
        <v>200</v>
      </c>
      <c r="T4" s="71" t="s">
        <v>26</v>
      </c>
      <c r="U4" s="10"/>
      <c r="V4" s="3"/>
      <c r="W4" s="31"/>
      <c r="X4" s="31"/>
      <c r="Y4" s="16"/>
      <c r="Z4" s="69"/>
      <c r="AA4" s="70">
        <f t="array" ref="AA4">xLOOKUP(T4,'balance sheet'!$C$5:$C$38,'balance sheet'!$B$5:$B$38)</f>
        <v>600</v>
      </c>
    </row>
    <row r="5" ht="15.75" customHeight="1">
      <c r="B5" s="72" t="s">
        <v>97</v>
      </c>
      <c r="C5" s="73"/>
      <c r="D5" s="74" t="s">
        <v>98</v>
      </c>
      <c r="E5" s="74" t="s">
        <v>99</v>
      </c>
      <c r="F5" s="74" t="s">
        <v>59</v>
      </c>
      <c r="G5" s="74" t="s">
        <v>100</v>
      </c>
      <c r="H5" s="75" t="s">
        <v>101</v>
      </c>
      <c r="I5" s="76"/>
      <c r="K5" s="72" t="s">
        <v>97</v>
      </c>
      <c r="L5" s="73"/>
      <c r="M5" s="74" t="s">
        <v>98</v>
      </c>
      <c r="N5" s="74" t="s">
        <v>99</v>
      </c>
      <c r="O5" s="74" t="s">
        <v>59</v>
      </c>
      <c r="P5" s="74" t="s">
        <v>100</v>
      </c>
      <c r="Q5" s="75" t="s">
        <v>101</v>
      </c>
      <c r="R5" s="76"/>
      <c r="T5" s="72" t="s">
        <v>97</v>
      </c>
      <c r="U5" s="73"/>
      <c r="V5" s="74" t="s">
        <v>98</v>
      </c>
      <c r="W5" s="74" t="s">
        <v>99</v>
      </c>
      <c r="X5" s="74" t="s">
        <v>59</v>
      </c>
      <c r="Y5" s="74" t="s">
        <v>100</v>
      </c>
      <c r="Z5" s="75" t="s">
        <v>101</v>
      </c>
      <c r="AA5" s="76"/>
    </row>
    <row r="6" ht="15.75" customHeight="1">
      <c r="B6" s="77"/>
      <c r="C6" s="78"/>
      <c r="D6" s="78"/>
      <c r="E6" s="78"/>
      <c r="F6" s="78"/>
      <c r="G6" s="78"/>
      <c r="H6" s="79" t="s">
        <v>59</v>
      </c>
      <c r="I6" s="80" t="s">
        <v>100</v>
      </c>
      <c r="K6" s="77"/>
      <c r="L6" s="78"/>
      <c r="M6" s="78"/>
      <c r="N6" s="78"/>
      <c r="O6" s="78"/>
      <c r="P6" s="78"/>
      <c r="Q6" s="79" t="s">
        <v>59</v>
      </c>
      <c r="R6" s="80" t="s">
        <v>100</v>
      </c>
      <c r="T6" s="77"/>
      <c r="U6" s="78"/>
      <c r="V6" s="78"/>
      <c r="W6" s="78"/>
      <c r="X6" s="78"/>
      <c r="Y6" s="78"/>
      <c r="Z6" s="79" t="s">
        <v>59</v>
      </c>
      <c r="AA6" s="80" t="s">
        <v>100</v>
      </c>
    </row>
    <row r="7" ht="15.75" customHeight="1">
      <c r="B7" s="81" t="s">
        <v>102</v>
      </c>
      <c r="C7" s="82">
        <v>1.0</v>
      </c>
      <c r="D7" s="82" t="s">
        <v>103</v>
      </c>
      <c r="E7" s="83"/>
      <c r="F7" s="84"/>
      <c r="G7" s="84"/>
      <c r="H7" s="85">
        <f t="array" ref="H7">XLOOKUP(I4,'balance sheet'!B:B,'balance sheet'!D:D)</f>
        <v>5000000</v>
      </c>
      <c r="I7" s="86"/>
      <c r="K7" s="81" t="s">
        <v>102</v>
      </c>
      <c r="L7" s="82">
        <v>1.0</v>
      </c>
      <c r="M7" s="82" t="s">
        <v>103</v>
      </c>
      <c r="N7" s="83"/>
      <c r="O7" s="84"/>
      <c r="P7" s="84"/>
      <c r="Q7" s="85">
        <f t="array" ref="Q7">XLOOKUP(R4,'balance sheet'!$B:$B,'balance sheet'!$E:$E)</f>
        <v>1540000</v>
      </c>
      <c r="R7" s="86"/>
      <c r="T7" s="81" t="s">
        <v>102</v>
      </c>
      <c r="U7" s="82">
        <v>1.0</v>
      </c>
      <c r="V7" s="82" t="s">
        <v>103</v>
      </c>
      <c r="W7" s="83"/>
      <c r="X7" s="84"/>
      <c r="Y7" s="84"/>
      <c r="Z7" s="85" t="str">
        <f t="array" ref="Z7">XLOOKUP(AA4,'balance sheet'!$B:$B,'balance sheet'!$E:$E)</f>
        <v/>
      </c>
      <c r="AA7" s="86"/>
    </row>
    <row r="8" ht="15.75" customHeight="1">
      <c r="B8" s="87"/>
      <c r="C8" s="82">
        <v>31.0</v>
      </c>
      <c r="D8" s="83"/>
      <c r="E8" s="88" t="s">
        <v>104</v>
      </c>
      <c r="F8" s="89">
        <f>SUMIF('Jurnal Umum'!$C$119:$C$130,I4,'Jurnal Umum'!$D$119:$D$130)</f>
        <v>0</v>
      </c>
      <c r="G8" s="89">
        <f>SUMIF('Jurnal Umum'!$C$119:$C$130,I4,'Jurnal Umum'!$E$119:$E$130)</f>
        <v>1830000</v>
      </c>
      <c r="H8" s="90">
        <f t="shared" ref="H8:H9" si="1">H7+F8-G8</f>
        <v>3170000</v>
      </c>
      <c r="I8" s="86" t="str">
        <f t="shared" ref="I8:I9" si="2">IF(H7="",I7+G8-F8,"")</f>
        <v/>
      </c>
      <c r="K8" s="87"/>
      <c r="L8" s="82">
        <v>31.0</v>
      </c>
      <c r="M8" s="83"/>
      <c r="N8" s="88" t="s">
        <v>104</v>
      </c>
      <c r="O8" s="89">
        <f>SUMIF('Jurnal Umum'!$C$119:$C$130,R4,'Jurnal Umum'!$D$119:$D$130)</f>
        <v>1540000</v>
      </c>
      <c r="P8" s="89">
        <f>SUMIF('Jurnal Umum'!$C$119:$C$130,R4,'Jurnal Umum'!$E$119:$E$130)</f>
        <v>431200</v>
      </c>
      <c r="Q8" s="90">
        <f t="shared" ref="Q8:Q9" si="3">Q7+O8-P8</f>
        <v>2648800</v>
      </c>
      <c r="R8" s="86" t="str">
        <f t="shared" ref="R8:R9" si="4">IF(Q7="",R7+P8-O8,"")</f>
        <v/>
      </c>
      <c r="T8" s="87"/>
      <c r="U8" s="82">
        <v>31.0</v>
      </c>
      <c r="V8" s="83"/>
      <c r="W8" s="88" t="s">
        <v>104</v>
      </c>
      <c r="X8" s="89">
        <f>SUMIF('Jurnal Umum'!$C$119:$C$130,AA4,'Jurnal Umum'!$D$119:$D$130)</f>
        <v>0</v>
      </c>
      <c r="Y8" s="89">
        <f>SUMIF('Jurnal Umum'!$C$119:$C$130,AA4,'Jurnal Umum'!$E$119:$E$130)</f>
        <v>0</v>
      </c>
      <c r="Z8" s="90">
        <f t="shared" ref="Z8:Z9" si="5">Z7+X8-Y8</f>
        <v>0</v>
      </c>
      <c r="AA8" s="86">
        <f t="shared" ref="AA8:AA9" si="6">IF(Z7="",AA7+Y8-X8,"")</f>
        <v>0</v>
      </c>
    </row>
    <row r="9" ht="15.75" customHeight="1">
      <c r="B9" s="87"/>
      <c r="C9" s="82">
        <v>31.0</v>
      </c>
      <c r="D9" s="83"/>
      <c r="E9" s="88" t="s">
        <v>105</v>
      </c>
      <c r="F9" s="89">
        <f>SUMIF('Jurnal Penyesuai'!$R$4:$R$21,I4,'Jurnal Penyesuai'!$S$4:$S$21)</f>
        <v>0</v>
      </c>
      <c r="G9" s="89">
        <f>SUMIF('Jurnal Penyesuai'!$R$4:$R$21,I4,'Jurnal Penyesuai'!$T$4:$T$21)</f>
        <v>0</v>
      </c>
      <c r="H9" s="90">
        <f t="shared" si="1"/>
        <v>3170000</v>
      </c>
      <c r="I9" s="86" t="str">
        <f t="shared" si="2"/>
        <v/>
      </c>
      <c r="K9" s="87"/>
      <c r="L9" s="82">
        <v>31.0</v>
      </c>
      <c r="M9" s="83"/>
      <c r="N9" s="88" t="s">
        <v>105</v>
      </c>
      <c r="O9" s="89">
        <f>SUMIF('Jurnal Penyesuai'!$R$4:$R$21,R4,'Jurnal Penyesuai'!$S$4:$S$21)</f>
        <v>0</v>
      </c>
      <c r="P9" s="89">
        <f>SUMIF('Jurnal Penyesuai'!$R$4:$R$21,R4,'Jurnal Penyesuai'!$T$4:$T$21)</f>
        <v>0</v>
      </c>
      <c r="Q9" s="90">
        <f t="shared" si="3"/>
        <v>2648800</v>
      </c>
      <c r="R9" s="86" t="str">
        <f t="shared" si="4"/>
        <v/>
      </c>
      <c r="T9" s="87"/>
      <c r="U9" s="82">
        <v>31.0</v>
      </c>
      <c r="V9" s="83"/>
      <c r="W9" s="88" t="s">
        <v>105</v>
      </c>
      <c r="X9" s="89">
        <f>SUMIF('Jurnal Penyesuai'!$R$4:$R$21,AA4,'Jurnal Penyesuai'!$S$4:$S$21)</f>
        <v>780000</v>
      </c>
      <c r="Y9" s="89">
        <f>SUMIF('Jurnal Penyesuai'!$R$4:$R$21,AA4,'Jurnal Penyesuai'!$T$4:$T$21)</f>
        <v>0</v>
      </c>
      <c r="Z9" s="90">
        <f t="shared" si="5"/>
        <v>780000</v>
      </c>
      <c r="AA9" s="86" t="str">
        <f t="shared" si="6"/>
        <v/>
      </c>
    </row>
    <row r="10" ht="15.75" customHeight="1">
      <c r="B10" s="91"/>
      <c r="C10" s="92"/>
      <c r="D10" s="92"/>
      <c r="E10" s="92"/>
      <c r="F10" s="93"/>
      <c r="G10" s="93"/>
      <c r="H10" s="94"/>
      <c r="I10" s="95"/>
      <c r="K10" s="91"/>
      <c r="L10" s="92"/>
      <c r="M10" s="92"/>
      <c r="N10" s="92"/>
      <c r="O10" s="93"/>
      <c r="P10" s="93"/>
      <c r="Q10" s="94"/>
      <c r="R10" s="95"/>
      <c r="T10" s="91"/>
      <c r="U10" s="92"/>
      <c r="V10" s="92"/>
      <c r="W10" s="92"/>
      <c r="X10" s="93"/>
      <c r="Y10" s="93"/>
      <c r="Z10" s="94"/>
      <c r="AA10" s="95"/>
    </row>
    <row r="11" ht="15.75" customHeight="1">
      <c r="H11" s="52"/>
      <c r="I11" s="52"/>
    </row>
    <row r="12" ht="15.75" customHeight="1">
      <c r="B12" s="58" t="s">
        <v>94</v>
      </c>
      <c r="C12" s="59"/>
      <c r="D12" s="60"/>
      <c r="E12" s="61" t="s">
        <v>95</v>
      </c>
      <c r="F12" s="62"/>
      <c r="G12" s="63"/>
      <c r="H12" s="64"/>
      <c r="I12" s="65" t="s">
        <v>96</v>
      </c>
      <c r="K12" s="58" t="s">
        <v>94</v>
      </c>
      <c r="L12" s="59"/>
      <c r="M12" s="60"/>
      <c r="N12" s="61" t="s">
        <v>95</v>
      </c>
      <c r="O12" s="62"/>
      <c r="P12" s="63"/>
      <c r="Q12" s="64"/>
      <c r="R12" s="65" t="s">
        <v>96</v>
      </c>
      <c r="T12" s="58" t="s">
        <v>94</v>
      </c>
      <c r="U12" s="59"/>
      <c r="V12" s="60"/>
      <c r="W12" s="61" t="s">
        <v>95</v>
      </c>
      <c r="X12" s="62"/>
      <c r="Y12" s="63"/>
      <c r="Z12" s="64"/>
      <c r="AA12" s="65" t="s">
        <v>96</v>
      </c>
    </row>
    <row r="13" ht="15.75" customHeight="1">
      <c r="B13" s="66"/>
      <c r="C13" s="67"/>
      <c r="D13" s="68" t="s">
        <v>4</v>
      </c>
      <c r="E13" s="31"/>
      <c r="F13" s="31"/>
      <c r="G13" s="16"/>
      <c r="H13" s="69"/>
      <c r="I13" s="70">
        <f t="array" ref="I13">xLOOKUP(D13,'balance sheet'!$C$5:$C$38,'balance sheet'!$B$5:$B$38)</f>
        <v>100</v>
      </c>
      <c r="K13" s="71" t="s">
        <v>15</v>
      </c>
      <c r="L13" s="10"/>
      <c r="M13" s="3"/>
      <c r="N13" s="31"/>
      <c r="O13" s="31"/>
      <c r="P13" s="16"/>
      <c r="Q13" s="69"/>
      <c r="R13" s="70">
        <f t="array" ref="R13">xLOOKUP(K13,'balance sheet'!$C$5:$C$38,'balance sheet'!$B$5:$B$38)</f>
        <v>201</v>
      </c>
      <c r="T13" s="71" t="s">
        <v>27</v>
      </c>
      <c r="U13" s="10"/>
      <c r="V13" s="3"/>
      <c r="W13" s="31"/>
      <c r="X13" s="31"/>
      <c r="Y13" s="16"/>
      <c r="Z13" s="69"/>
      <c r="AA13" s="70">
        <f t="array" ref="AA13">xLOOKUP(T13,'balance sheet'!$C$5:$C$38,'balance sheet'!$B$5:$B$38)</f>
        <v>601</v>
      </c>
    </row>
    <row r="14" ht="15.75" customHeight="1">
      <c r="B14" s="72" t="s">
        <v>97</v>
      </c>
      <c r="C14" s="73"/>
      <c r="D14" s="74" t="s">
        <v>98</v>
      </c>
      <c r="E14" s="74" t="s">
        <v>99</v>
      </c>
      <c r="F14" s="74" t="s">
        <v>59</v>
      </c>
      <c r="G14" s="74" t="s">
        <v>100</v>
      </c>
      <c r="H14" s="75" t="s">
        <v>101</v>
      </c>
      <c r="I14" s="76"/>
      <c r="K14" s="72" t="s">
        <v>97</v>
      </c>
      <c r="L14" s="73"/>
      <c r="M14" s="74" t="s">
        <v>98</v>
      </c>
      <c r="N14" s="74" t="s">
        <v>99</v>
      </c>
      <c r="O14" s="74" t="s">
        <v>59</v>
      </c>
      <c r="P14" s="74" t="s">
        <v>100</v>
      </c>
      <c r="Q14" s="75" t="s">
        <v>101</v>
      </c>
      <c r="R14" s="76"/>
      <c r="T14" s="72" t="s">
        <v>97</v>
      </c>
      <c r="U14" s="73"/>
      <c r="V14" s="74" t="s">
        <v>98</v>
      </c>
      <c r="W14" s="74" t="s">
        <v>99</v>
      </c>
      <c r="X14" s="74" t="s">
        <v>59</v>
      </c>
      <c r="Y14" s="74" t="s">
        <v>100</v>
      </c>
      <c r="Z14" s="75" t="s">
        <v>101</v>
      </c>
      <c r="AA14" s="76"/>
    </row>
    <row r="15" ht="15.75" customHeight="1">
      <c r="B15" s="77"/>
      <c r="C15" s="78"/>
      <c r="D15" s="78"/>
      <c r="E15" s="78"/>
      <c r="F15" s="78"/>
      <c r="G15" s="78"/>
      <c r="H15" s="79" t="s">
        <v>59</v>
      </c>
      <c r="I15" s="80" t="s">
        <v>100</v>
      </c>
      <c r="K15" s="77"/>
      <c r="L15" s="78"/>
      <c r="M15" s="78"/>
      <c r="N15" s="78"/>
      <c r="O15" s="78"/>
      <c r="P15" s="78"/>
      <c r="Q15" s="79" t="s">
        <v>59</v>
      </c>
      <c r="R15" s="80" t="s">
        <v>100</v>
      </c>
      <c r="T15" s="77"/>
      <c r="U15" s="78"/>
      <c r="V15" s="78"/>
      <c r="W15" s="78"/>
      <c r="X15" s="78"/>
      <c r="Y15" s="78"/>
      <c r="Z15" s="79" t="s">
        <v>59</v>
      </c>
      <c r="AA15" s="80" t="s">
        <v>100</v>
      </c>
    </row>
    <row r="16" ht="15.75" customHeight="1">
      <c r="B16" s="81" t="s">
        <v>102</v>
      </c>
      <c r="C16" s="82">
        <v>1.0</v>
      </c>
      <c r="D16" s="82" t="s">
        <v>103</v>
      </c>
      <c r="E16" s="83"/>
      <c r="F16" s="84"/>
      <c r="G16" s="84"/>
      <c r="H16" s="85">
        <f t="array" ref="H16">XLOOKUP(I13,'balance sheet'!B:B,'balance sheet'!D:D)</f>
        <v>125000000</v>
      </c>
      <c r="I16" s="86"/>
      <c r="K16" s="81" t="s">
        <v>102</v>
      </c>
      <c r="L16" s="82">
        <v>1.0</v>
      </c>
      <c r="M16" s="82" t="s">
        <v>103</v>
      </c>
      <c r="N16" s="83"/>
      <c r="O16" s="84"/>
      <c r="P16" s="84"/>
      <c r="Q16" s="85">
        <f t="array" ref="Q16">XLOOKUP(R13,'balance sheet'!$B:$B,'balance sheet'!$E:$E)</f>
        <v>80000</v>
      </c>
      <c r="R16" s="86"/>
      <c r="T16" s="81" t="s">
        <v>102</v>
      </c>
      <c r="U16" s="82">
        <v>1.0</v>
      </c>
      <c r="V16" s="82" t="s">
        <v>103</v>
      </c>
      <c r="W16" s="83"/>
      <c r="X16" s="84"/>
      <c r="Y16" s="84"/>
      <c r="Z16" s="85" t="str">
        <f t="array" ref="Z16">XLOOKUP(AA13,'balance sheet'!$B:$B,'balance sheet'!$E:$E)</f>
        <v/>
      </c>
      <c r="AA16" s="86"/>
    </row>
    <row r="17" ht="15.75" customHeight="1">
      <c r="B17" s="87"/>
      <c r="C17" s="82">
        <v>31.0</v>
      </c>
      <c r="D17" s="83"/>
      <c r="E17" s="88" t="s">
        <v>104</v>
      </c>
      <c r="F17" s="89">
        <f>SUMIF('Jurnal Umum'!$C$119:$C$130,I13,'Jurnal Umum'!$D$119:$D$130)</f>
        <v>11550000</v>
      </c>
      <c r="G17" s="89">
        <f>SUMIF('Jurnal Umum'!$C$119:$C$130,I13,'Jurnal Umum'!$E$119:$E$130)</f>
        <v>1540000</v>
      </c>
      <c r="H17" s="90">
        <f t="shared" ref="H17:H18" si="7">H16+F17-G17</f>
        <v>135010000</v>
      </c>
      <c r="I17" s="86" t="str">
        <f t="shared" ref="I17:I18" si="8">IF(H16="",I16+G17-F17,"")</f>
        <v/>
      </c>
      <c r="K17" s="87"/>
      <c r="L17" s="82">
        <v>31.0</v>
      </c>
      <c r="M17" s="83"/>
      <c r="N17" s="88" t="s">
        <v>104</v>
      </c>
      <c r="O17" s="89">
        <f>SUMIF('Jurnal Umum'!$C$119:$C$130,R13,'Jurnal Umum'!$D$119:$D$130)</f>
        <v>80000</v>
      </c>
      <c r="P17" s="89">
        <f>SUMIF('Jurnal Umum'!$C$119:$C$130,R13,'Jurnal Umum'!$E$119:$E$130)</f>
        <v>0</v>
      </c>
      <c r="Q17" s="90">
        <f t="shared" ref="Q17:Q18" si="9">Q16+O17-P17</f>
        <v>160000</v>
      </c>
      <c r="R17" s="86" t="str">
        <f>IF(and(Q16="",O16="",P16=""),"",IF(R16+P17-O17&lt;0,"",""))</f>
        <v/>
      </c>
      <c r="T17" s="87"/>
      <c r="U17" s="82">
        <v>31.0</v>
      </c>
      <c r="V17" s="83"/>
      <c r="W17" s="88" t="s">
        <v>104</v>
      </c>
      <c r="X17" s="89">
        <f>SUMIF('Jurnal Umum'!$C$119:$C$130,AA13,'Jurnal Umum'!$D$119:$D$130)</f>
        <v>0</v>
      </c>
      <c r="Y17" s="89">
        <f>SUMIF('Jurnal Umum'!$C$119:$C$130,AA13,'Jurnal Umum'!$E$119:$E$130)</f>
        <v>0</v>
      </c>
      <c r="Z17" s="90">
        <f t="shared" ref="Z17:Z18" si="10">Z16+X17-Y17</f>
        <v>0</v>
      </c>
      <c r="AA17" s="86" t="str">
        <f>IF(and(Z16="",X16="",Y16=""),"",AA16+Y17-X17)</f>
        <v/>
      </c>
    </row>
    <row r="18" ht="15.75" customHeight="1">
      <c r="B18" s="87"/>
      <c r="C18" s="82">
        <v>31.0</v>
      </c>
      <c r="D18" s="83"/>
      <c r="E18" s="88" t="s">
        <v>105</v>
      </c>
      <c r="F18" s="89">
        <f>SUMIF('Jurnal Penyesuai'!$R$4:$R$21,I13,'Jurnal Penyesuai'!$S$4:$S$21)</f>
        <v>990000</v>
      </c>
      <c r="G18" s="89">
        <f>SUMIF('Jurnal Penyesuai'!$R$4:$R$21,I13,'Jurnal Penyesuai'!$T$4:$T$21)</f>
        <v>0</v>
      </c>
      <c r="H18" s="90">
        <f t="shared" si="7"/>
        <v>136000000</v>
      </c>
      <c r="I18" s="86" t="str">
        <f t="shared" si="8"/>
        <v/>
      </c>
      <c r="K18" s="87"/>
      <c r="L18" s="82">
        <v>31.0</v>
      </c>
      <c r="M18" s="83"/>
      <c r="N18" s="88" t="s">
        <v>105</v>
      </c>
      <c r="O18" s="89">
        <f>SUMIF('Jurnal Penyesuai'!$R$4:$R$21,R13,'Jurnal Penyesuai'!$S$4:$S$21)</f>
        <v>0</v>
      </c>
      <c r="P18" s="89">
        <f>SUMIF('Jurnal Penyesuai'!$R$4:$R$21,R13,'Jurnal Penyesuai'!$T$4:$T$21)</f>
        <v>80000</v>
      </c>
      <c r="Q18" s="90">
        <f t="shared" si="9"/>
        <v>80000</v>
      </c>
      <c r="R18" s="86" t="str">
        <f>IF(Q17="",R17+P18-O18,"")</f>
        <v/>
      </c>
      <c r="T18" s="87"/>
      <c r="U18" s="82">
        <v>31.0</v>
      </c>
      <c r="V18" s="83"/>
      <c r="W18" s="88" t="s">
        <v>105</v>
      </c>
      <c r="X18" s="89">
        <f>SUMIF('Jurnal Penyesuai'!$R$4:$R$21,AA13,'Jurnal Penyesuai'!$S$4:$S$21)</f>
        <v>520000</v>
      </c>
      <c r="Y18" s="89">
        <f>SUMIF('Jurnal Penyesuai'!$R$4:$R$21,AA13,'Jurnal Penyesuai'!$T$4:$T$21)</f>
        <v>0</v>
      </c>
      <c r="Z18" s="90">
        <f t="shared" si="10"/>
        <v>520000</v>
      </c>
      <c r="AA18" s="86" t="str">
        <f>IF(Z17="",AA17+Y18-X18,"")</f>
        <v/>
      </c>
    </row>
    <row r="19" ht="15.75" customHeight="1">
      <c r="B19" s="91"/>
      <c r="C19" s="92"/>
      <c r="D19" s="92"/>
      <c r="E19" s="92"/>
      <c r="F19" s="93"/>
      <c r="G19" s="93"/>
      <c r="H19" s="94"/>
      <c r="I19" s="95"/>
      <c r="K19" s="91"/>
      <c r="L19" s="92"/>
      <c r="M19" s="92"/>
      <c r="N19" s="92"/>
      <c r="O19" s="93"/>
      <c r="P19" s="93"/>
      <c r="Q19" s="94"/>
      <c r="R19" s="95"/>
      <c r="T19" s="91"/>
      <c r="U19" s="92"/>
      <c r="V19" s="92"/>
      <c r="W19" s="92"/>
      <c r="X19" s="93"/>
      <c r="Y19" s="93"/>
      <c r="Z19" s="94"/>
      <c r="AA19" s="95"/>
    </row>
    <row r="20" ht="15.75" customHeight="1">
      <c r="H20" s="52"/>
      <c r="I20" s="52"/>
    </row>
    <row r="21" ht="15.75" customHeight="1">
      <c r="B21" s="58" t="s">
        <v>94</v>
      </c>
      <c r="C21" s="59"/>
      <c r="D21" s="60"/>
      <c r="E21" s="61" t="s">
        <v>95</v>
      </c>
      <c r="F21" s="62"/>
      <c r="G21" s="63"/>
      <c r="H21" s="64"/>
      <c r="I21" s="65" t="s">
        <v>96</v>
      </c>
      <c r="K21" s="58" t="s">
        <v>94</v>
      </c>
      <c r="L21" s="59"/>
      <c r="M21" s="60"/>
      <c r="N21" s="61" t="s">
        <v>95</v>
      </c>
      <c r="O21" s="62"/>
      <c r="P21" s="63"/>
      <c r="Q21" s="64"/>
      <c r="R21" s="65" t="s">
        <v>96</v>
      </c>
      <c r="T21" s="58" t="s">
        <v>94</v>
      </c>
      <c r="U21" s="59"/>
      <c r="V21" s="60"/>
      <c r="W21" s="61" t="s">
        <v>95</v>
      </c>
      <c r="X21" s="62"/>
      <c r="Y21" s="63"/>
      <c r="Z21" s="64"/>
      <c r="AA21" s="65" t="s">
        <v>96</v>
      </c>
    </row>
    <row r="22" ht="15.75" customHeight="1">
      <c r="B22" s="71" t="s">
        <v>6</v>
      </c>
      <c r="C22" s="10"/>
      <c r="D22" s="3"/>
      <c r="E22" s="31"/>
      <c r="F22" s="31"/>
      <c r="G22" s="16"/>
      <c r="H22" s="69"/>
      <c r="I22" s="70">
        <f t="array" ref="I22">xLOOKUP(B22,'balance sheet'!$C$5:$C$38,'balance sheet'!$B$5:$B$38)</f>
        <v>102</v>
      </c>
      <c r="K22" s="71" t="s">
        <v>16</v>
      </c>
      <c r="L22" s="10"/>
      <c r="M22" s="3"/>
      <c r="N22" s="31"/>
      <c r="O22" s="31"/>
      <c r="P22" s="16"/>
      <c r="Q22" s="69"/>
      <c r="R22" s="70">
        <f t="array" ref="R22">xLOOKUP(K22,'balance sheet'!$C$5:$C$38,'balance sheet'!$B$5:$B$38)</f>
        <v>202</v>
      </c>
      <c r="T22" s="71" t="s">
        <v>28</v>
      </c>
      <c r="U22" s="10"/>
      <c r="V22" s="3"/>
      <c r="W22" s="31"/>
      <c r="X22" s="31"/>
      <c r="Y22" s="16"/>
      <c r="Z22" s="69"/>
      <c r="AA22" s="70">
        <f t="array" ref="AA22">xLOOKUP(T22,'balance sheet'!$C$5:$C$38,'balance sheet'!$B$5:$B$38)</f>
        <v>602</v>
      </c>
    </row>
    <row r="23" ht="15.75" customHeight="1">
      <c r="B23" s="72" t="s">
        <v>97</v>
      </c>
      <c r="C23" s="73"/>
      <c r="D23" s="74" t="s">
        <v>98</v>
      </c>
      <c r="E23" s="74" t="s">
        <v>99</v>
      </c>
      <c r="F23" s="74" t="s">
        <v>59</v>
      </c>
      <c r="G23" s="74" t="s">
        <v>100</v>
      </c>
      <c r="H23" s="75" t="s">
        <v>101</v>
      </c>
      <c r="I23" s="76"/>
      <c r="K23" s="72" t="s">
        <v>97</v>
      </c>
      <c r="L23" s="73"/>
      <c r="M23" s="74" t="s">
        <v>98</v>
      </c>
      <c r="N23" s="74" t="s">
        <v>99</v>
      </c>
      <c r="O23" s="74" t="s">
        <v>59</v>
      </c>
      <c r="P23" s="74" t="s">
        <v>100</v>
      </c>
      <c r="Q23" s="75" t="s">
        <v>101</v>
      </c>
      <c r="R23" s="76"/>
      <c r="T23" s="72" t="s">
        <v>97</v>
      </c>
      <c r="U23" s="73"/>
      <c r="V23" s="74" t="s">
        <v>98</v>
      </c>
      <c r="W23" s="74" t="s">
        <v>99</v>
      </c>
      <c r="X23" s="74" t="s">
        <v>59</v>
      </c>
      <c r="Y23" s="74" t="s">
        <v>100</v>
      </c>
      <c r="Z23" s="75" t="s">
        <v>101</v>
      </c>
      <c r="AA23" s="76"/>
    </row>
    <row r="24" ht="15.75" customHeight="1">
      <c r="B24" s="77"/>
      <c r="C24" s="78"/>
      <c r="D24" s="78"/>
      <c r="E24" s="78"/>
      <c r="F24" s="78"/>
      <c r="G24" s="78"/>
      <c r="H24" s="79" t="s">
        <v>59</v>
      </c>
      <c r="I24" s="80" t="s">
        <v>100</v>
      </c>
      <c r="K24" s="77"/>
      <c r="L24" s="78"/>
      <c r="M24" s="78"/>
      <c r="N24" s="78"/>
      <c r="O24" s="78"/>
      <c r="P24" s="78"/>
      <c r="Q24" s="79" t="s">
        <v>59</v>
      </c>
      <c r="R24" s="80" t="s">
        <v>100</v>
      </c>
      <c r="T24" s="77"/>
      <c r="U24" s="78"/>
      <c r="V24" s="78"/>
      <c r="W24" s="78"/>
      <c r="X24" s="78"/>
      <c r="Y24" s="78"/>
      <c r="Z24" s="79" t="s">
        <v>59</v>
      </c>
      <c r="AA24" s="80" t="s">
        <v>100</v>
      </c>
    </row>
    <row r="25" ht="15.75" customHeight="1">
      <c r="B25" s="81" t="s">
        <v>102</v>
      </c>
      <c r="C25" s="82">
        <v>1.0</v>
      </c>
      <c r="D25" s="82" t="s">
        <v>103</v>
      </c>
      <c r="E25" s="83"/>
      <c r="F25" s="84"/>
      <c r="G25" s="84"/>
      <c r="H25" s="85">
        <f t="array" ref="H25">XLOOKUP(I22,'balance sheet'!B:B,'balance sheet'!D:D)</f>
        <v>11550000</v>
      </c>
      <c r="I25" s="86"/>
      <c r="K25" s="81" t="s">
        <v>102</v>
      </c>
      <c r="L25" s="82">
        <v>1.0</v>
      </c>
      <c r="M25" s="82" t="s">
        <v>103</v>
      </c>
      <c r="N25" s="83"/>
      <c r="O25" s="84"/>
      <c r="P25" s="84"/>
      <c r="Q25" s="85" t="str">
        <f t="array" ref="Q25">XLOOKUP(R22,'balance sheet'!$B:$B,'balance sheet'!$E:$E)</f>
        <v/>
      </c>
      <c r="R25" s="86"/>
      <c r="T25" s="87"/>
      <c r="U25" s="82">
        <v>31.0</v>
      </c>
      <c r="V25" s="82" t="s">
        <v>103</v>
      </c>
      <c r="W25" s="88"/>
      <c r="X25" s="89">
        <f>SUMIF('Jurnal Umum'!$C$119:$C$130,AA21,'Jurnal Umum'!$D$119:$D$130)</f>
        <v>0</v>
      </c>
      <c r="Y25" s="89">
        <f>SUMIF('Jurnal Umum'!$C$119:$C$130,AA21,'Jurnal Umum'!$E$119:$E$130)</f>
        <v>0</v>
      </c>
      <c r="Z25" s="85" t="str">
        <f t="array" ref="Z25">XLOOKUP(AA22,'balance sheet'!$B:$B,'balance sheet'!$E:$F)</f>
        <v/>
      </c>
      <c r="AA25" s="86"/>
    </row>
    <row r="26" ht="15.75" customHeight="1">
      <c r="B26" s="87"/>
      <c r="C26" s="82">
        <v>31.0</v>
      </c>
      <c r="D26" s="83"/>
      <c r="E26" s="88" t="s">
        <v>104</v>
      </c>
      <c r="F26" s="89">
        <f>SUMIF('Jurnal Umum'!$C$119:$C$130,I22,'Jurnal Umum'!$D$119:$D$130)</f>
        <v>2640000</v>
      </c>
      <c r="G26" s="89">
        <f>SUMIF('Jurnal Umum'!$C$119:$C$130,I22,'Jurnal Umum'!$E$119:$E$130)</f>
        <v>11550000</v>
      </c>
      <c r="H26" s="90">
        <f t="shared" ref="H26:H27" si="11">H25+F26-G26</f>
        <v>2640000</v>
      </c>
      <c r="I26" s="86" t="str">
        <f t="shared" ref="I26:I27" si="12">IF(H25="",I25+G26-F26,"")</f>
        <v/>
      </c>
      <c r="K26" s="87"/>
      <c r="L26" s="82">
        <v>31.0</v>
      </c>
      <c r="M26" s="83"/>
      <c r="N26" s="88" t="s">
        <v>104</v>
      </c>
      <c r="O26" s="89">
        <f>SUMIF('Jurnal Umum'!$C$119:$C$130,R22,'Jurnal Umum'!$D$119:$D$130)</f>
        <v>0</v>
      </c>
      <c r="P26" s="89">
        <f>SUMIF('Jurnal Umum'!$C$119:$C$130,R22,'Jurnal Umum'!$E$119:$E$130)</f>
        <v>0</v>
      </c>
      <c r="Q26" s="90">
        <f t="shared" ref="Q26:Q27" si="13">Q25+O26-P26</f>
        <v>0</v>
      </c>
      <c r="R26" s="86" t="str">
        <f>IF(and(Q25="",O25="",P25=""),"",IF(R25+P26-O26&lt;0,"",""))</f>
        <v/>
      </c>
      <c r="T26" s="87"/>
      <c r="U26" s="82">
        <v>31.0</v>
      </c>
      <c r="V26" s="83"/>
      <c r="W26" s="88" t="s">
        <v>104</v>
      </c>
      <c r="X26" s="89">
        <f>SUMIF('Jurnal Umum'!$C$119:$C$130,AA22,'Jurnal Umum'!$D$119:$D$130)</f>
        <v>0</v>
      </c>
      <c r="Y26" s="89">
        <f>SUMIF('Jurnal Umum'!$C$119:$C$130,AA22,'Jurnal Umum'!$E$119:$E$130)</f>
        <v>0</v>
      </c>
      <c r="Z26" s="90">
        <f t="shared" ref="Z26:Z27" si="14">Z25+X26-Y26</f>
        <v>0</v>
      </c>
      <c r="AA26" s="86">
        <f>IF(and(Z25="",X25="",Y25=""),"",AA25+Y26-X26)</f>
        <v>0</v>
      </c>
    </row>
    <row r="27" ht="15.75" customHeight="1">
      <c r="B27" s="87"/>
      <c r="C27" s="82">
        <v>31.0</v>
      </c>
      <c r="D27" s="83"/>
      <c r="E27" s="88" t="s">
        <v>105</v>
      </c>
      <c r="F27" s="89">
        <f>SUMIF('Jurnal Penyesuai'!$R$4:$R$21,I22,'Jurnal Penyesuai'!$S$4:$S$21)</f>
        <v>0</v>
      </c>
      <c r="G27" s="89">
        <f>SUMIF('Jurnal Penyesuai'!$R$4:$R$21,I22,'Jurnal Penyesuai'!$T$4:$T$21)</f>
        <v>0</v>
      </c>
      <c r="H27" s="90">
        <f t="shared" si="11"/>
        <v>2640000</v>
      </c>
      <c r="I27" s="86" t="str">
        <f t="shared" si="12"/>
        <v/>
      </c>
      <c r="K27" s="87"/>
      <c r="L27" s="82">
        <v>31.0</v>
      </c>
      <c r="M27" s="83"/>
      <c r="N27" s="88" t="s">
        <v>105</v>
      </c>
      <c r="O27" s="89">
        <f>SUMIF('Jurnal Penyesuai'!$R$4:$R$21,R22,'Jurnal Penyesuai'!$S$4:$S$21)</f>
        <v>0</v>
      </c>
      <c r="P27" s="89">
        <f>SUMIF('Jurnal Penyesuai'!$R$4:$R$21,R22,'Jurnal Penyesuai'!$T$4:$T$21)</f>
        <v>0</v>
      </c>
      <c r="Q27" s="90">
        <f t="shared" si="13"/>
        <v>0</v>
      </c>
      <c r="R27" s="86" t="str">
        <f>IF(Q26="",R26+P27-O27,"")</f>
        <v/>
      </c>
      <c r="T27" s="87"/>
      <c r="U27" s="82">
        <v>31.0</v>
      </c>
      <c r="V27" s="83"/>
      <c r="W27" s="88" t="s">
        <v>105</v>
      </c>
      <c r="X27" s="89">
        <f>SUMIF('Jurnal Penyesuai'!$R$4:$R$21,AA22,'Jurnal Penyesuai'!$S$4:$S$21)</f>
        <v>500000</v>
      </c>
      <c r="Y27" s="89">
        <f>SUMIF('Jurnal Penyesuai'!$R$4:$R$21,AA22,'Jurnal Penyesuai'!$T$4:$T$21)</f>
        <v>0</v>
      </c>
      <c r="Z27" s="90">
        <f t="shared" si="14"/>
        <v>500000</v>
      </c>
      <c r="AA27" s="86" t="str">
        <f>IF(Z26="",AA26+Y27-X27,"")</f>
        <v/>
      </c>
    </row>
    <row r="28" ht="15.75" customHeight="1">
      <c r="B28" s="91"/>
      <c r="C28" s="92"/>
      <c r="D28" s="92"/>
      <c r="E28" s="92"/>
      <c r="F28" s="93"/>
      <c r="G28" s="93"/>
      <c r="H28" s="94"/>
      <c r="I28" s="95"/>
      <c r="K28" s="91"/>
      <c r="L28" s="92"/>
      <c r="M28" s="92"/>
      <c r="N28" s="92"/>
      <c r="O28" s="93"/>
      <c r="P28" s="93"/>
      <c r="Q28" s="94"/>
      <c r="R28" s="95"/>
      <c r="T28" s="91"/>
      <c r="U28" s="92"/>
      <c r="V28" s="92"/>
      <c r="W28" s="92"/>
      <c r="X28" s="93"/>
      <c r="Y28" s="93"/>
      <c r="Z28" s="94"/>
      <c r="AA28" s="95"/>
    </row>
    <row r="29" ht="15.75" customHeight="1">
      <c r="H29" s="52"/>
      <c r="I29" s="52"/>
    </row>
    <row r="30" ht="15.75" customHeight="1">
      <c r="B30" s="58" t="s">
        <v>94</v>
      </c>
      <c r="C30" s="59"/>
      <c r="D30" s="60"/>
      <c r="E30" s="61" t="s">
        <v>95</v>
      </c>
      <c r="F30" s="62"/>
      <c r="G30" s="63"/>
      <c r="H30" s="64"/>
      <c r="I30" s="65" t="s">
        <v>96</v>
      </c>
      <c r="K30" s="58" t="s">
        <v>94</v>
      </c>
      <c r="L30" s="59"/>
      <c r="M30" s="60"/>
      <c r="N30" s="61" t="s">
        <v>95</v>
      </c>
      <c r="O30" s="62"/>
      <c r="P30" s="63"/>
      <c r="Q30" s="64"/>
      <c r="R30" s="65" t="s">
        <v>96</v>
      </c>
      <c r="T30" s="58" t="s">
        <v>94</v>
      </c>
      <c r="U30" s="59"/>
      <c r="V30" s="60"/>
      <c r="W30" s="61" t="s">
        <v>95</v>
      </c>
      <c r="X30" s="62"/>
      <c r="Y30" s="63"/>
      <c r="Z30" s="64"/>
      <c r="AA30" s="65" t="s">
        <v>96</v>
      </c>
    </row>
    <row r="31" ht="15.75" customHeight="1">
      <c r="B31" s="71" t="s">
        <v>7</v>
      </c>
      <c r="C31" s="10"/>
      <c r="D31" s="3"/>
      <c r="E31" s="31"/>
      <c r="F31" s="31"/>
      <c r="G31" s="16"/>
      <c r="H31" s="69"/>
      <c r="I31" s="70">
        <f t="array" ref="I31">xLOOKUP(B31,'balance sheet'!$C$5:$C$38,'balance sheet'!$B$5:$B$38)</f>
        <v>103</v>
      </c>
      <c r="K31" s="71" t="s">
        <v>18</v>
      </c>
      <c r="L31" s="10"/>
      <c r="M31" s="3"/>
      <c r="N31" s="31"/>
      <c r="O31" s="31"/>
      <c r="P31" s="16"/>
      <c r="Q31" s="69"/>
      <c r="R31" s="70">
        <f t="array" ref="R31">xLOOKUP(K31,'balance sheet'!$C$5:$C$38,'balance sheet'!$B$5:$B$38)</f>
        <v>300</v>
      </c>
      <c r="T31" s="71" t="s">
        <v>29</v>
      </c>
      <c r="U31" s="10"/>
      <c r="V31" s="3"/>
      <c r="W31" s="31"/>
      <c r="X31" s="31"/>
      <c r="Y31" s="16"/>
      <c r="Z31" s="69"/>
      <c r="AA31" s="70">
        <f t="array" ref="AA31">xLOOKUP(T31,'balance sheet'!$C$5:$C$38,'balance sheet'!$B$5:$B$38)</f>
        <v>603</v>
      </c>
    </row>
    <row r="32" ht="15.75" customHeight="1">
      <c r="B32" s="72" t="s">
        <v>97</v>
      </c>
      <c r="C32" s="73"/>
      <c r="D32" s="74" t="s">
        <v>98</v>
      </c>
      <c r="E32" s="74" t="s">
        <v>99</v>
      </c>
      <c r="F32" s="74" t="s">
        <v>59</v>
      </c>
      <c r="G32" s="74" t="s">
        <v>100</v>
      </c>
      <c r="H32" s="75" t="s">
        <v>101</v>
      </c>
      <c r="I32" s="76"/>
      <c r="K32" s="72" t="s">
        <v>97</v>
      </c>
      <c r="L32" s="73"/>
      <c r="M32" s="74" t="s">
        <v>98</v>
      </c>
      <c r="N32" s="74" t="s">
        <v>99</v>
      </c>
      <c r="O32" s="74" t="s">
        <v>59</v>
      </c>
      <c r="P32" s="74" t="s">
        <v>100</v>
      </c>
      <c r="Q32" s="75" t="s">
        <v>101</v>
      </c>
      <c r="R32" s="76"/>
      <c r="T32" s="72" t="s">
        <v>97</v>
      </c>
      <c r="U32" s="73"/>
      <c r="V32" s="74" t="s">
        <v>98</v>
      </c>
      <c r="W32" s="74" t="s">
        <v>99</v>
      </c>
      <c r="X32" s="74" t="s">
        <v>59</v>
      </c>
      <c r="Y32" s="74" t="s">
        <v>100</v>
      </c>
      <c r="Z32" s="75" t="s">
        <v>101</v>
      </c>
      <c r="AA32" s="76"/>
    </row>
    <row r="33" ht="15.75" customHeight="1">
      <c r="B33" s="77"/>
      <c r="C33" s="78"/>
      <c r="D33" s="78"/>
      <c r="E33" s="78"/>
      <c r="F33" s="78"/>
      <c r="G33" s="78"/>
      <c r="H33" s="79" t="s">
        <v>59</v>
      </c>
      <c r="I33" s="80" t="s">
        <v>100</v>
      </c>
      <c r="K33" s="77"/>
      <c r="L33" s="78"/>
      <c r="M33" s="78"/>
      <c r="N33" s="78"/>
      <c r="O33" s="78"/>
      <c r="P33" s="78"/>
      <c r="Q33" s="79" t="s">
        <v>59</v>
      </c>
      <c r="R33" s="80" t="s">
        <v>100</v>
      </c>
      <c r="T33" s="77"/>
      <c r="U33" s="78"/>
      <c r="V33" s="78"/>
      <c r="W33" s="78"/>
      <c r="X33" s="78"/>
      <c r="Y33" s="78"/>
      <c r="Z33" s="79" t="s">
        <v>59</v>
      </c>
      <c r="AA33" s="80" t="s">
        <v>100</v>
      </c>
    </row>
    <row r="34" ht="15.75" customHeight="1">
      <c r="B34" s="81" t="s">
        <v>102</v>
      </c>
      <c r="C34" s="82">
        <v>1.0</v>
      </c>
      <c r="D34" s="82" t="s">
        <v>103</v>
      </c>
      <c r="E34" s="83"/>
      <c r="F34" s="84"/>
      <c r="G34" s="84"/>
      <c r="H34" s="85">
        <f t="array" ref="H34">XLOOKUP(I31,'balance sheet'!B:B,'balance sheet'!D:D)</f>
        <v>23000000</v>
      </c>
      <c r="I34" s="86"/>
      <c r="K34" s="81" t="s">
        <v>102</v>
      </c>
      <c r="L34" s="82">
        <v>1.0</v>
      </c>
      <c r="M34" s="82" t="s">
        <v>103</v>
      </c>
      <c r="N34" s="83"/>
      <c r="O34" s="84"/>
      <c r="P34" s="84"/>
      <c r="Q34" s="85" t="str">
        <f t="array" ref="Q34:R34">XLOOKUP(R31,'balance sheet'!$B:$B,'balance sheet'!$D:$E)</f>
        <v/>
      </c>
      <c r="R34" s="86">
        <v>1.0E9</v>
      </c>
      <c r="T34" s="87"/>
      <c r="U34" s="82">
        <v>31.0</v>
      </c>
      <c r="V34" s="82" t="s">
        <v>103</v>
      </c>
      <c r="W34" s="88"/>
      <c r="X34" s="89">
        <f>SUMIF('Jurnal Umum'!$C$119:$C$130,AA30,'Jurnal Umum'!$D$119:$D$130)</f>
        <v>0</v>
      </c>
      <c r="Y34" s="89">
        <f>SUMIF('Jurnal Umum'!$C$119:$C$130,AA30,'Jurnal Umum'!$E$119:$E$130)</f>
        <v>0</v>
      </c>
      <c r="Z34" s="85" t="str">
        <f t="array" ref="Z34">XLOOKUP(AA31,'balance sheet'!$B:$B,'balance sheet'!$E:$F)</f>
        <v/>
      </c>
      <c r="AA34" s="86"/>
    </row>
    <row r="35" ht="15.75" customHeight="1">
      <c r="B35" s="87"/>
      <c r="C35" s="82">
        <v>31.0</v>
      </c>
      <c r="D35" s="83"/>
      <c r="E35" s="88" t="s">
        <v>104</v>
      </c>
      <c r="F35" s="89">
        <f>SUMIF('Jurnal Umum'!$C$119:$C$130,I31,'Jurnal Umum'!$D$119:$D$130)</f>
        <v>0</v>
      </c>
      <c r="G35" s="89">
        <f>SUMIF('Jurnal Umum'!$C$119:$C$130,I31,'Jurnal Umum'!$E$119:$E$130)</f>
        <v>0</v>
      </c>
      <c r="H35" s="90">
        <f t="shared" ref="H35:H36" si="15">H34+F35-G35</f>
        <v>23000000</v>
      </c>
      <c r="I35" s="86" t="str">
        <f t="shared" ref="I35:I36" si="16">IF(H34="",I34+G35-F35,"")</f>
        <v/>
      </c>
      <c r="K35" s="87"/>
      <c r="L35" s="82">
        <v>31.0</v>
      </c>
      <c r="M35" s="83"/>
      <c r="N35" s="88" t="s">
        <v>104</v>
      </c>
      <c r="O35" s="89">
        <f>SUMIF('Jurnal Umum'!$C$119:$C$130,R31,'Jurnal Umum'!$D$119:$D$130)</f>
        <v>0</v>
      </c>
      <c r="P35" s="89">
        <f>SUMIF('Jurnal Umum'!$C$119:$C$130,R31,'Jurnal Umum'!$E$119:$E$130)</f>
        <v>0</v>
      </c>
      <c r="Q35" s="90">
        <f t="shared" ref="Q35:Q36" si="17">Q34+O35-P35</f>
        <v>0</v>
      </c>
      <c r="R35" s="86" t="str">
        <f>IF(and(Q34="",O34="",P34=""),"",IF(R34+P35-O35&lt;0,"",""))</f>
        <v/>
      </c>
      <c r="T35" s="87"/>
      <c r="U35" s="82">
        <v>31.0</v>
      </c>
      <c r="V35" s="83"/>
      <c r="W35" s="88" t="s">
        <v>104</v>
      </c>
      <c r="X35" s="89">
        <f>SUMIF('Jurnal Umum'!$C$119:$C$130,AA31,'Jurnal Umum'!$D$119:$D$130)</f>
        <v>0</v>
      </c>
      <c r="Y35" s="89">
        <f>SUMIF('Jurnal Umum'!$C$119:$C$130,AA31,'Jurnal Umum'!$E$119:$E$130)</f>
        <v>0</v>
      </c>
      <c r="Z35" s="90">
        <f t="shared" ref="Z35:Z36" si="18">Z34+X35-Y35</f>
        <v>0</v>
      </c>
      <c r="AA35" s="86">
        <f>IF(and(Z34="",X34="",Y34=""),"",AA34+Y35-X35)</f>
        <v>0</v>
      </c>
    </row>
    <row r="36" ht="15.75" customHeight="1">
      <c r="B36" s="87"/>
      <c r="C36" s="82">
        <v>31.0</v>
      </c>
      <c r="D36" s="83"/>
      <c r="E36" s="88" t="s">
        <v>105</v>
      </c>
      <c r="F36" s="89">
        <f>SUMIF('Jurnal Penyesuai'!$R$4:$R$21,I31,'Jurnal Penyesuai'!$S$4:$S$21)</f>
        <v>20300000</v>
      </c>
      <c r="G36" s="89">
        <f>SUMIF('Jurnal Penyesuai'!$R$4:$R$21,I31,'Jurnal Penyesuai'!$T$4:$T$21)</f>
        <v>22450000</v>
      </c>
      <c r="H36" s="90">
        <f t="shared" si="15"/>
        <v>20850000</v>
      </c>
      <c r="I36" s="86" t="str">
        <f t="shared" si="16"/>
        <v/>
      </c>
      <c r="K36" s="87"/>
      <c r="L36" s="82">
        <v>31.0</v>
      </c>
      <c r="M36" s="83"/>
      <c r="N36" s="88" t="s">
        <v>105</v>
      </c>
      <c r="O36" s="89">
        <f>SUMIF('Jurnal Penyesuai'!$R$4:$R$21,R31,'Jurnal Penyesuai'!$S$4:$S$21)</f>
        <v>0</v>
      </c>
      <c r="P36" s="89">
        <f>SUMIF('Jurnal Penyesuai'!$R$4:$R$21,R31,'Jurnal Penyesuai'!$T$4:$T$21)</f>
        <v>0</v>
      </c>
      <c r="Q36" s="90">
        <f t="shared" si="17"/>
        <v>0</v>
      </c>
      <c r="R36" s="86" t="str">
        <f>IF(Q35="",R35+P36-O36,"")</f>
        <v/>
      </c>
      <c r="T36" s="87"/>
      <c r="U36" s="82">
        <v>31.0</v>
      </c>
      <c r="V36" s="83"/>
      <c r="W36" s="88" t="s">
        <v>105</v>
      </c>
      <c r="X36" s="89">
        <f>SUMIF('Jurnal Penyesuai'!$R$4:$R$21,AA31,'Jurnal Penyesuai'!$S$4:$S$21)</f>
        <v>400000</v>
      </c>
      <c r="Y36" s="89">
        <f>SUMIF('Jurnal Penyesuai'!$R$4:$R$21,AA31,'Jurnal Penyesuai'!$T$4:$T$21)</f>
        <v>0</v>
      </c>
      <c r="Z36" s="90">
        <f t="shared" si="18"/>
        <v>400000</v>
      </c>
      <c r="AA36" s="86" t="str">
        <f>IF(Z35="",AA35+Y36-X36,"")</f>
        <v/>
      </c>
    </row>
    <row r="37" ht="15.75" customHeight="1">
      <c r="B37" s="91"/>
      <c r="C37" s="92"/>
      <c r="D37" s="92"/>
      <c r="E37" s="92"/>
      <c r="F37" s="93"/>
      <c r="G37" s="93"/>
      <c r="H37" s="94"/>
      <c r="I37" s="95"/>
      <c r="K37" s="91"/>
      <c r="L37" s="92"/>
      <c r="M37" s="92"/>
      <c r="N37" s="92"/>
      <c r="O37" s="93"/>
      <c r="P37" s="93"/>
      <c r="Q37" s="94"/>
      <c r="R37" s="95"/>
      <c r="T37" s="91"/>
      <c r="U37" s="92"/>
      <c r="V37" s="92"/>
      <c r="W37" s="92"/>
      <c r="X37" s="93"/>
      <c r="Y37" s="93"/>
      <c r="Z37" s="94"/>
      <c r="AA37" s="95"/>
    </row>
    <row r="38" ht="15.75" customHeight="1">
      <c r="H38" s="52"/>
      <c r="I38" s="52"/>
    </row>
    <row r="39" ht="15.75" customHeight="1">
      <c r="B39" s="58" t="s">
        <v>94</v>
      </c>
      <c r="C39" s="59"/>
      <c r="D39" s="60"/>
      <c r="E39" s="61" t="s">
        <v>95</v>
      </c>
      <c r="F39" s="62"/>
      <c r="G39" s="63"/>
      <c r="H39" s="64"/>
      <c r="I39" s="65" t="s">
        <v>96</v>
      </c>
      <c r="K39" s="58" t="s">
        <v>94</v>
      </c>
      <c r="L39" s="59"/>
      <c r="M39" s="60"/>
      <c r="N39" s="61" t="s">
        <v>95</v>
      </c>
      <c r="O39" s="62"/>
      <c r="P39" s="63"/>
      <c r="Q39" s="64"/>
      <c r="R39" s="65" t="s">
        <v>96</v>
      </c>
      <c r="T39" s="58" t="s">
        <v>94</v>
      </c>
      <c r="U39" s="59"/>
      <c r="V39" s="60"/>
      <c r="W39" s="61" t="s">
        <v>95</v>
      </c>
      <c r="X39" s="62"/>
      <c r="Y39" s="63"/>
      <c r="Z39" s="64"/>
      <c r="AA39" s="65" t="s">
        <v>96</v>
      </c>
    </row>
    <row r="40" ht="15.75" customHeight="1">
      <c r="B40" s="71" t="s">
        <v>8</v>
      </c>
      <c r="C40" s="10"/>
      <c r="D40" s="3"/>
      <c r="E40" s="31"/>
      <c r="F40" s="31"/>
      <c r="G40" s="16"/>
      <c r="H40" s="69"/>
      <c r="I40" s="70">
        <f t="array" ref="I40">xLOOKUP(B40,'balance sheet'!$C$5:$C$38,'balance sheet'!$B$5:$B$38)</f>
        <v>104</v>
      </c>
      <c r="K40" s="71" t="s">
        <v>19</v>
      </c>
      <c r="L40" s="10"/>
      <c r="M40" s="3"/>
      <c r="N40" s="31"/>
      <c r="O40" s="31"/>
      <c r="P40" s="16"/>
      <c r="Q40" s="69"/>
      <c r="R40" s="70">
        <f t="array" ref="R40">xLOOKUP(K40,'balance sheet'!$C$5:$C$38,'balance sheet'!$B$5:$B$38)</f>
        <v>301</v>
      </c>
      <c r="T40" s="71" t="s">
        <v>30</v>
      </c>
      <c r="U40" s="10"/>
      <c r="V40" s="3"/>
      <c r="W40" s="31"/>
      <c r="X40" s="31"/>
      <c r="Y40" s="16"/>
      <c r="Z40" s="69"/>
      <c r="AA40" s="70">
        <f t="array" ref="AA40">xLOOKUP(T40,'balance sheet'!$C$5:$C$38,'balance sheet'!$B$5:$B$38)</f>
        <v>604</v>
      </c>
    </row>
    <row r="41" ht="15.75" customHeight="1">
      <c r="B41" s="72" t="s">
        <v>97</v>
      </c>
      <c r="C41" s="73"/>
      <c r="D41" s="74" t="s">
        <v>98</v>
      </c>
      <c r="E41" s="74" t="s">
        <v>99</v>
      </c>
      <c r="F41" s="74" t="s">
        <v>59</v>
      </c>
      <c r="G41" s="74" t="s">
        <v>100</v>
      </c>
      <c r="H41" s="96" t="s">
        <v>101</v>
      </c>
      <c r="I41" s="76"/>
      <c r="K41" s="72" t="s">
        <v>97</v>
      </c>
      <c r="L41" s="73"/>
      <c r="M41" s="74" t="s">
        <v>98</v>
      </c>
      <c r="N41" s="74" t="s">
        <v>99</v>
      </c>
      <c r="O41" s="74" t="s">
        <v>59</v>
      </c>
      <c r="P41" s="74" t="s">
        <v>100</v>
      </c>
      <c r="Q41" s="75" t="s">
        <v>101</v>
      </c>
      <c r="R41" s="76"/>
      <c r="T41" s="72" t="s">
        <v>97</v>
      </c>
      <c r="U41" s="73"/>
      <c r="V41" s="74" t="s">
        <v>98</v>
      </c>
      <c r="W41" s="74" t="s">
        <v>99</v>
      </c>
      <c r="X41" s="74" t="s">
        <v>59</v>
      </c>
      <c r="Y41" s="74" t="s">
        <v>100</v>
      </c>
      <c r="Z41" s="75" t="s">
        <v>101</v>
      </c>
      <c r="AA41" s="76"/>
    </row>
    <row r="42" ht="15.75" customHeight="1">
      <c r="B42" s="77"/>
      <c r="C42" s="78"/>
      <c r="D42" s="78"/>
      <c r="E42" s="78"/>
      <c r="F42" s="78"/>
      <c r="G42" s="78"/>
      <c r="H42" s="79" t="s">
        <v>59</v>
      </c>
      <c r="I42" s="80" t="s">
        <v>100</v>
      </c>
      <c r="K42" s="77"/>
      <c r="L42" s="78"/>
      <c r="M42" s="78"/>
      <c r="N42" s="78"/>
      <c r="O42" s="78"/>
      <c r="P42" s="78"/>
      <c r="Q42" s="79" t="s">
        <v>59</v>
      </c>
      <c r="R42" s="80" t="s">
        <v>100</v>
      </c>
      <c r="T42" s="77"/>
      <c r="U42" s="78"/>
      <c r="V42" s="78"/>
      <c r="W42" s="78"/>
      <c r="X42" s="78"/>
      <c r="Y42" s="78"/>
      <c r="Z42" s="79" t="s">
        <v>59</v>
      </c>
      <c r="AA42" s="80" t="s">
        <v>100</v>
      </c>
    </row>
    <row r="43" ht="15.75" customHeight="1">
      <c r="B43" s="81" t="s">
        <v>102</v>
      </c>
      <c r="C43" s="82">
        <v>1.0</v>
      </c>
      <c r="D43" s="82" t="s">
        <v>103</v>
      </c>
      <c r="E43" s="83"/>
      <c r="F43" s="84"/>
      <c r="G43" s="84"/>
      <c r="H43" s="85">
        <f t="array" ref="H43">XLOOKUP(I40,'balance sheet'!B:B,'balance sheet'!D:D)</f>
        <v>2000000</v>
      </c>
      <c r="I43" s="86"/>
      <c r="K43" s="81" t="s">
        <v>102</v>
      </c>
      <c r="L43" s="82">
        <v>1.0</v>
      </c>
      <c r="M43" s="82" t="s">
        <v>103</v>
      </c>
      <c r="N43" s="83"/>
      <c r="O43" s="84"/>
      <c r="P43" s="84"/>
      <c r="Q43" s="85" t="str">
        <f t="array" ref="Q43:R43">XLOOKUP(R40,'balance sheet'!$B:$B,'balance sheet'!$D:$E)</f>
        <v/>
      </c>
      <c r="R43" s="86">
        <v>1.5683E8</v>
      </c>
      <c r="T43" s="87"/>
      <c r="U43" s="82">
        <v>31.0</v>
      </c>
      <c r="V43" s="82" t="s">
        <v>103</v>
      </c>
      <c r="W43" s="88"/>
      <c r="X43" s="89">
        <f>SUMIF('Jurnal Umum'!$C$119:$C$130,AA39,'Jurnal Umum'!$D$119:$D$130)</f>
        <v>0</v>
      </c>
      <c r="Y43" s="89">
        <f>SUMIF('Jurnal Umum'!$C$119:$C$130,AA39,'Jurnal Umum'!$E$119:$E$130)</f>
        <v>0</v>
      </c>
      <c r="Z43" s="85" t="str">
        <f t="array" ref="Z43">XLOOKUP(AA40,'balance sheet'!$B:$B,'balance sheet'!$E:$F)</f>
        <v/>
      </c>
      <c r="AA43" s="86"/>
    </row>
    <row r="44" ht="15.75" customHeight="1">
      <c r="B44" s="87"/>
      <c r="C44" s="82">
        <v>31.0</v>
      </c>
      <c r="D44" s="83"/>
      <c r="E44" s="88" t="s">
        <v>104</v>
      </c>
      <c r="F44" s="89">
        <f>SUMIF('Jurnal Umum'!$C$119:$C$130,I40,'Jurnal Umum'!$D$119:$D$130)</f>
        <v>0</v>
      </c>
      <c r="G44" s="89">
        <f>SUMIF('Jurnal Umum'!$C$119:$C$130,I40,'Jurnal Umum'!$E$119:$E$130)</f>
        <v>0</v>
      </c>
      <c r="H44" s="90">
        <f t="shared" ref="H44:H45" si="19">H43+F44-G44</f>
        <v>2000000</v>
      </c>
      <c r="I44" s="86" t="str">
        <f t="shared" ref="I44:I45" si="20">IF(H43="",I43+G44-F44,"")</f>
        <v/>
      </c>
      <c r="K44" s="87"/>
      <c r="L44" s="82">
        <v>31.0</v>
      </c>
      <c r="M44" s="83"/>
      <c r="N44" s="88" t="s">
        <v>104</v>
      </c>
      <c r="O44" s="89">
        <f>SUMIF('Jurnal Umum'!$C$119:$C$130,R40,'Jurnal Umum'!$D$119:$D$130)</f>
        <v>0</v>
      </c>
      <c r="P44" s="89">
        <f>SUMIF('Jurnal Umum'!$C$119:$C$130,R40,'Jurnal Umum'!$E$119:$E$130)</f>
        <v>0</v>
      </c>
      <c r="Q44" s="90">
        <f t="shared" ref="Q44:Q45" si="21">Q43+O44-P44</f>
        <v>0</v>
      </c>
      <c r="R44" s="86" t="str">
        <f>IF(and(Q43="",O43="",P43=""),"",IF(R43+P44-O44&lt;0,"",""))</f>
        <v/>
      </c>
      <c r="T44" s="87"/>
      <c r="U44" s="82">
        <v>31.0</v>
      </c>
      <c r="V44" s="83"/>
      <c r="W44" s="88" t="s">
        <v>104</v>
      </c>
      <c r="X44" s="89">
        <f>SUMIF('Jurnal Umum'!$C$119:$C$130,AA40,'Jurnal Umum'!$D$119:$D$130)</f>
        <v>0</v>
      </c>
      <c r="Y44" s="89">
        <f>SUMIF('Jurnal Umum'!$C$119:$C$130,AA40,'Jurnal Umum'!$E$119:$E$130)</f>
        <v>0</v>
      </c>
      <c r="Z44" s="90">
        <f t="shared" ref="Z44:Z45" si="22">Z43+X44-Y44</f>
        <v>0</v>
      </c>
      <c r="AA44" s="86">
        <f>IF(and(Z43="",X43="",Y43=""),"",AA43+Y44-X44)</f>
        <v>0</v>
      </c>
    </row>
    <row r="45" ht="15.75" customHeight="1">
      <c r="B45" s="87"/>
      <c r="C45" s="82">
        <v>31.0</v>
      </c>
      <c r="D45" s="83"/>
      <c r="E45" s="88" t="s">
        <v>105</v>
      </c>
      <c r="F45" s="89">
        <f>SUMIF('Jurnal Penyesuai'!$R$4:$R$21,I40,'Jurnal Penyesuai'!$S$4:$S$21)</f>
        <v>0</v>
      </c>
      <c r="G45" s="89">
        <f>SUMIF('Jurnal Penyesuai'!$R$4:$R$21,I40,'Jurnal Penyesuai'!$T$4:$T$21)</f>
        <v>1300000</v>
      </c>
      <c r="H45" s="90">
        <f t="shared" si="19"/>
        <v>700000</v>
      </c>
      <c r="I45" s="86" t="str">
        <f t="shared" si="20"/>
        <v/>
      </c>
      <c r="K45" s="87"/>
      <c r="L45" s="82">
        <v>31.0</v>
      </c>
      <c r="M45" s="83"/>
      <c r="N45" s="88" t="s">
        <v>105</v>
      </c>
      <c r="O45" s="89">
        <f>SUMIF('Jurnal Penyesuai'!$R$4:$R$21,R40,'Jurnal Penyesuai'!$S$4:$S$21)</f>
        <v>0</v>
      </c>
      <c r="P45" s="89">
        <f>SUMIF('Jurnal Penyesuai'!$R$4:$R$21,R40,'Jurnal Penyesuai'!$T$4:$T$21)</f>
        <v>0</v>
      </c>
      <c r="Q45" s="90">
        <f t="shared" si="21"/>
        <v>0</v>
      </c>
      <c r="R45" s="86" t="str">
        <f>IF(Q44="",R44+P45-O45,"")</f>
        <v/>
      </c>
      <c r="T45" s="87"/>
      <c r="U45" s="82">
        <v>31.0</v>
      </c>
      <c r="V45" s="83"/>
      <c r="W45" s="88" t="s">
        <v>105</v>
      </c>
      <c r="X45" s="89">
        <f>SUMIF('Jurnal Penyesuai'!$R$4:$R$21,AA40,'Jurnal Penyesuai'!$S$4:$S$21)</f>
        <v>25000</v>
      </c>
      <c r="Y45" s="89">
        <f>SUMIF('Jurnal Penyesuai'!$R$4:$R$21,AA40,'Jurnal Penyesuai'!$T$4:$T$21)</f>
        <v>0</v>
      </c>
      <c r="Z45" s="90">
        <f t="shared" si="22"/>
        <v>25000</v>
      </c>
      <c r="AA45" s="86" t="str">
        <f>IF(Z44="",AA44+Y45-X45,"")</f>
        <v/>
      </c>
    </row>
    <row r="46" ht="15.75" customHeight="1">
      <c r="B46" s="91"/>
      <c r="C46" s="92"/>
      <c r="D46" s="92"/>
      <c r="E46" s="92"/>
      <c r="F46" s="93"/>
      <c r="G46" s="93"/>
      <c r="H46" s="94"/>
      <c r="I46" s="95"/>
      <c r="K46" s="91"/>
      <c r="L46" s="92"/>
      <c r="M46" s="92"/>
      <c r="N46" s="92"/>
      <c r="O46" s="93"/>
      <c r="P46" s="93"/>
      <c r="Q46" s="94"/>
      <c r="R46" s="95"/>
      <c r="T46" s="91"/>
      <c r="U46" s="92"/>
      <c r="V46" s="92"/>
      <c r="W46" s="92"/>
      <c r="X46" s="93"/>
      <c r="Y46" s="93"/>
      <c r="Z46" s="94"/>
      <c r="AA46" s="95"/>
    </row>
    <row r="47" ht="15.75" customHeight="1">
      <c r="H47" s="52"/>
      <c r="I47" s="52"/>
    </row>
    <row r="48" ht="15.75" customHeight="1">
      <c r="B48" s="58" t="s">
        <v>94</v>
      </c>
      <c r="C48" s="59"/>
      <c r="D48" s="60"/>
      <c r="E48" s="61" t="s">
        <v>95</v>
      </c>
      <c r="F48" s="62"/>
      <c r="G48" s="63"/>
      <c r="H48" s="64"/>
      <c r="I48" s="65" t="s">
        <v>96</v>
      </c>
      <c r="K48" s="58" t="s">
        <v>94</v>
      </c>
      <c r="L48" s="59"/>
      <c r="M48" s="60"/>
      <c r="N48" s="61" t="s">
        <v>95</v>
      </c>
      <c r="O48" s="62"/>
      <c r="P48" s="63"/>
      <c r="Q48" s="64"/>
      <c r="R48" s="65" t="s">
        <v>96</v>
      </c>
      <c r="T48" s="58" t="s">
        <v>94</v>
      </c>
      <c r="U48" s="59"/>
      <c r="V48" s="60"/>
      <c r="W48" s="61" t="s">
        <v>95</v>
      </c>
      <c r="X48" s="62"/>
      <c r="Y48" s="63"/>
      <c r="Z48" s="64"/>
      <c r="AA48" s="65" t="s">
        <v>96</v>
      </c>
    </row>
    <row r="49" ht="15.75" customHeight="1">
      <c r="B49" s="71" t="s">
        <v>9</v>
      </c>
      <c r="C49" s="10"/>
      <c r="D49" s="3"/>
      <c r="E49" s="31"/>
      <c r="F49" s="31"/>
      <c r="G49" s="16"/>
      <c r="H49" s="69"/>
      <c r="I49" s="70">
        <f t="array" ref="I49">xLOOKUP(B49,'balance sheet'!$C$5:$C$38,'balance sheet'!$B$5:$B$38)</f>
        <v>105</v>
      </c>
      <c r="K49" s="71" t="s">
        <v>20</v>
      </c>
      <c r="L49" s="10"/>
      <c r="M49" s="3"/>
      <c r="N49" s="31"/>
      <c r="O49" s="31"/>
      <c r="P49" s="16"/>
      <c r="Q49" s="69"/>
      <c r="R49" s="70">
        <f t="array" ref="R49">xLOOKUP(K49,'balance sheet'!$C$5:$C$38,'balance sheet'!$B$5:$B$38)</f>
        <v>302</v>
      </c>
      <c r="T49" s="71" t="s">
        <v>31</v>
      </c>
      <c r="U49" s="10"/>
      <c r="V49" s="3"/>
      <c r="W49" s="31"/>
      <c r="X49" s="31"/>
      <c r="Y49" s="16"/>
      <c r="Z49" s="69"/>
      <c r="AA49" s="70">
        <f t="array" ref="AA49">xLOOKUP(T49,'balance sheet'!$C$5:$C$38,'balance sheet'!$B$5:$B$38)</f>
        <v>605</v>
      </c>
    </row>
    <row r="50" ht="15.75" customHeight="1">
      <c r="B50" s="72" t="s">
        <v>97</v>
      </c>
      <c r="C50" s="73"/>
      <c r="D50" s="74" t="s">
        <v>98</v>
      </c>
      <c r="E50" s="74" t="s">
        <v>99</v>
      </c>
      <c r="F50" s="74" t="s">
        <v>59</v>
      </c>
      <c r="G50" s="74" t="s">
        <v>100</v>
      </c>
      <c r="H50" s="75" t="s">
        <v>101</v>
      </c>
      <c r="I50" s="76"/>
      <c r="K50" s="72" t="s">
        <v>97</v>
      </c>
      <c r="L50" s="73"/>
      <c r="M50" s="74" t="s">
        <v>98</v>
      </c>
      <c r="N50" s="74" t="s">
        <v>99</v>
      </c>
      <c r="O50" s="74" t="s">
        <v>59</v>
      </c>
      <c r="P50" s="74" t="s">
        <v>100</v>
      </c>
      <c r="Q50" s="75" t="s">
        <v>101</v>
      </c>
      <c r="R50" s="76"/>
      <c r="T50" s="72" t="s">
        <v>97</v>
      </c>
      <c r="U50" s="73"/>
      <c r="V50" s="74" t="s">
        <v>98</v>
      </c>
      <c r="W50" s="74" t="s">
        <v>99</v>
      </c>
      <c r="X50" s="74" t="s">
        <v>59</v>
      </c>
      <c r="Y50" s="74" t="s">
        <v>100</v>
      </c>
      <c r="Z50" s="75" t="s">
        <v>101</v>
      </c>
      <c r="AA50" s="76"/>
    </row>
    <row r="51" ht="15.75" customHeight="1">
      <c r="B51" s="77"/>
      <c r="C51" s="78"/>
      <c r="D51" s="78"/>
      <c r="E51" s="78"/>
      <c r="F51" s="78"/>
      <c r="G51" s="78"/>
      <c r="H51" s="79" t="s">
        <v>59</v>
      </c>
      <c r="I51" s="80" t="s">
        <v>100</v>
      </c>
      <c r="K51" s="77"/>
      <c r="L51" s="78"/>
      <c r="M51" s="78"/>
      <c r="N51" s="78"/>
      <c r="O51" s="78"/>
      <c r="P51" s="78"/>
      <c r="Q51" s="79" t="s">
        <v>59</v>
      </c>
      <c r="R51" s="80" t="s">
        <v>100</v>
      </c>
      <c r="T51" s="77"/>
      <c r="U51" s="78"/>
      <c r="V51" s="78"/>
      <c r="W51" s="78"/>
      <c r="X51" s="78"/>
      <c r="Y51" s="78"/>
      <c r="Z51" s="79" t="s">
        <v>59</v>
      </c>
      <c r="AA51" s="80" t="s">
        <v>100</v>
      </c>
    </row>
    <row r="52" ht="15.75" customHeight="1">
      <c r="B52" s="81" t="s">
        <v>102</v>
      </c>
      <c r="C52" s="82">
        <v>1.0</v>
      </c>
      <c r="D52" s="82" t="s">
        <v>103</v>
      </c>
      <c r="E52" s="83"/>
      <c r="F52" s="84"/>
      <c r="G52" s="84"/>
      <c r="H52" s="85" t="str">
        <f t="array" ref="H52">XLOOKUP(I49,'balance sheet'!B:B,'balance sheet'!D:D)</f>
        <v/>
      </c>
      <c r="I52" s="86"/>
      <c r="K52" s="81" t="s">
        <v>102</v>
      </c>
      <c r="L52" s="82">
        <v>1.0</v>
      </c>
      <c r="M52" s="82" t="s">
        <v>103</v>
      </c>
      <c r="N52" s="83"/>
      <c r="O52" s="84"/>
      <c r="P52" s="84"/>
      <c r="Q52" s="85" t="str">
        <f t="array" ref="Q52:R52">XLOOKUP(R49,'balance sheet'!$B:$B,'balance sheet'!$D:$E)</f>
        <v/>
      </c>
      <c r="R52" s="86">
        <v>4.0E8</v>
      </c>
      <c r="T52" s="81" t="s">
        <v>102</v>
      </c>
      <c r="U52" s="82">
        <v>1.0</v>
      </c>
      <c r="V52" s="82" t="s">
        <v>103</v>
      </c>
      <c r="W52" s="83"/>
      <c r="X52" s="84"/>
      <c r="Y52" s="84"/>
      <c r="Z52" s="85" t="str">
        <f t="array" ref="Z52:AA52">XLOOKUP(AA49,'balance sheet'!$B:$B,'balance sheet'!$D:$E)</f>
        <v/>
      </c>
      <c r="AA52" s="86"/>
    </row>
    <row r="53" ht="15.75" customHeight="1">
      <c r="B53" s="87"/>
      <c r="C53" s="82">
        <v>31.0</v>
      </c>
      <c r="D53" s="83"/>
      <c r="E53" s="88" t="s">
        <v>104</v>
      </c>
      <c r="F53" s="89">
        <f>SUMIF('Jurnal Umum'!$C$119:$C$130,I49,'Jurnal Umum'!$D$119:$D$130)</f>
        <v>500000</v>
      </c>
      <c r="G53" s="89">
        <f>SUMIF('Jurnal Umum'!$C$119:$C$130,I49,'Jurnal Umum'!$E$119:$E$130)</f>
        <v>0</v>
      </c>
      <c r="H53" s="90">
        <f t="shared" ref="H53:H54" si="23">H52+F53-G53</f>
        <v>500000</v>
      </c>
      <c r="I53" s="86">
        <f t="shared" ref="I53:I54" si="24">IF(H52="",I52+G53-F53,"")</f>
        <v>-500000</v>
      </c>
      <c r="K53" s="87"/>
      <c r="L53" s="82">
        <v>31.0</v>
      </c>
      <c r="M53" s="83"/>
      <c r="N53" s="88" t="s">
        <v>104</v>
      </c>
      <c r="O53" s="89">
        <f>SUMIF('Jurnal Umum'!$C$119:$C$130,R49,'Jurnal Umum'!$D$119:$D$130)</f>
        <v>0</v>
      </c>
      <c r="P53" s="89">
        <f>SUMIF('Jurnal Umum'!$C$119:$C$130,R49,'Jurnal Umum'!$E$119:$E$130)</f>
        <v>0</v>
      </c>
      <c r="Q53" s="90">
        <f t="shared" ref="Q53:Q54" si="25">Q52+O53-P53</f>
        <v>0</v>
      </c>
      <c r="R53" s="86" t="str">
        <f>IF(and(Q52="",O52="",P52=""),"",IF(R52+P53-O53&lt;0,"",""))</f>
        <v/>
      </c>
      <c r="T53" s="87"/>
      <c r="U53" s="82">
        <v>31.0</v>
      </c>
      <c r="V53" s="83"/>
      <c r="W53" s="88" t="s">
        <v>104</v>
      </c>
      <c r="X53" s="89">
        <f>SUMIF('Jurnal Umum'!$C$119:$C$130,AA49,'Jurnal Umum'!$D$119:$D$130)</f>
        <v>0</v>
      </c>
      <c r="Y53" s="89">
        <f>SUMIF('Jurnal Umum'!$C$119:$C$130,AA49,'Jurnal Umum'!$E$119:$E$130)</f>
        <v>0</v>
      </c>
      <c r="Z53" s="90">
        <f t="shared" ref="Z53:Z54" si="26">Z52+X53-Y53</f>
        <v>0</v>
      </c>
      <c r="AA53" s="86" t="str">
        <f>IF(and(Z52="",X52="",Y52=""),"",AA52+Y53-X53)</f>
        <v/>
      </c>
    </row>
    <row r="54" ht="15.75" customHeight="1">
      <c r="B54" s="87"/>
      <c r="C54" s="82">
        <v>31.0</v>
      </c>
      <c r="D54" s="83"/>
      <c r="E54" s="88" t="s">
        <v>105</v>
      </c>
      <c r="F54" s="89">
        <f>SUMIF('Jurnal Penyesuai'!$R$4:$R$21,I49,'Jurnal Penyesuai'!$S$4:$S$21)</f>
        <v>0</v>
      </c>
      <c r="G54" s="89">
        <f>SUMIF('Jurnal Penyesuai'!$R$4:$R$21,I49,'Jurnal Penyesuai'!$T$4:$T$21)</f>
        <v>500000</v>
      </c>
      <c r="H54" s="90">
        <f t="shared" si="23"/>
        <v>0</v>
      </c>
      <c r="I54" s="86" t="str">
        <f t="shared" si="24"/>
        <v/>
      </c>
      <c r="K54" s="87"/>
      <c r="L54" s="82">
        <v>31.0</v>
      </c>
      <c r="M54" s="83"/>
      <c r="N54" s="88" t="s">
        <v>105</v>
      </c>
      <c r="O54" s="89">
        <f>SUMIF('Jurnal Penyesuai'!$R$4:$R$21,R49,'Jurnal Penyesuai'!$S$4:$S$21)</f>
        <v>0</v>
      </c>
      <c r="P54" s="89">
        <f>SUMIF('Jurnal Penyesuai'!$R$4:$R$21,R49,'Jurnal Penyesuai'!$T$4:$T$21)</f>
        <v>0</v>
      </c>
      <c r="Q54" s="90">
        <f t="shared" si="25"/>
        <v>0</v>
      </c>
      <c r="R54" s="86" t="str">
        <f>IF(Q53="",R53+P54-O54,"")</f>
        <v/>
      </c>
      <c r="T54" s="87"/>
      <c r="U54" s="82">
        <v>31.0</v>
      </c>
      <c r="V54" s="83"/>
      <c r="W54" s="88" t="s">
        <v>105</v>
      </c>
      <c r="X54" s="89">
        <f>SUMIF('Jurnal Penyesuai'!$R$4:$R$21,AA49,'Jurnal Penyesuai'!$S$4:$S$21)</f>
        <v>336600000</v>
      </c>
      <c r="Y54" s="89">
        <f>SUMIF('Jurnal Penyesuai'!$R$4:$R$21,AA49,'Jurnal Penyesuai'!$T$4:$T$21)</f>
        <v>0</v>
      </c>
      <c r="Z54" s="90">
        <f t="shared" si="26"/>
        <v>336600000</v>
      </c>
      <c r="AA54" s="86" t="str">
        <f>IF(Z53="",AA53+Y54-X54,"")</f>
        <v/>
      </c>
    </row>
    <row r="55" ht="15.75" customHeight="1">
      <c r="B55" s="91"/>
      <c r="C55" s="92"/>
      <c r="D55" s="92"/>
      <c r="E55" s="92"/>
      <c r="F55" s="93"/>
      <c r="G55" s="93"/>
      <c r="H55" s="94"/>
      <c r="I55" s="95"/>
      <c r="K55" s="91"/>
      <c r="L55" s="92"/>
      <c r="M55" s="92"/>
      <c r="N55" s="92"/>
      <c r="O55" s="93"/>
      <c r="P55" s="93"/>
      <c r="Q55" s="94"/>
      <c r="R55" s="95"/>
      <c r="T55" s="91"/>
      <c r="U55" s="92"/>
      <c r="V55" s="92"/>
      <c r="W55" s="92"/>
      <c r="X55" s="93"/>
      <c r="Y55" s="93"/>
      <c r="Z55" s="94"/>
      <c r="AA55" s="95"/>
    </row>
    <row r="56" ht="15.75" customHeight="1">
      <c r="H56" s="52"/>
      <c r="I56" s="52"/>
    </row>
    <row r="57" ht="15.75" customHeight="1">
      <c r="B57" s="58" t="s">
        <v>94</v>
      </c>
      <c r="C57" s="59"/>
      <c r="D57" s="60"/>
      <c r="E57" s="61" t="s">
        <v>95</v>
      </c>
      <c r="F57" s="62"/>
      <c r="G57" s="63"/>
      <c r="H57" s="64"/>
      <c r="I57" s="65" t="s">
        <v>96</v>
      </c>
      <c r="K57" s="58" t="s">
        <v>94</v>
      </c>
      <c r="L57" s="59"/>
      <c r="M57" s="60"/>
      <c r="N57" s="61" t="s">
        <v>95</v>
      </c>
      <c r="O57" s="62"/>
      <c r="P57" s="63"/>
      <c r="Q57" s="64"/>
      <c r="R57" s="65" t="s">
        <v>96</v>
      </c>
      <c r="T57" s="58" t="s">
        <v>94</v>
      </c>
      <c r="U57" s="59"/>
      <c r="V57" s="60"/>
      <c r="W57" s="61" t="s">
        <v>95</v>
      </c>
      <c r="X57" s="62"/>
      <c r="Y57" s="63"/>
      <c r="Z57" s="64"/>
      <c r="AA57" s="65" t="s">
        <v>96</v>
      </c>
    </row>
    <row r="58" ht="15.75" customHeight="1">
      <c r="B58" s="71" t="s">
        <v>10</v>
      </c>
      <c r="C58" s="10"/>
      <c r="D58" s="3"/>
      <c r="E58" s="31"/>
      <c r="F58" s="31"/>
      <c r="G58" s="16"/>
      <c r="H58" s="69"/>
      <c r="I58" s="70">
        <f t="array" ref="I58">xLOOKUP(B58,'balance sheet'!$C$5:$C$38,'balance sheet'!$B$5:$B$38)</f>
        <v>106</v>
      </c>
      <c r="K58" s="71" t="s">
        <v>22</v>
      </c>
      <c r="L58" s="10"/>
      <c r="M58" s="3"/>
      <c r="N58" s="31"/>
      <c r="O58" s="31"/>
      <c r="P58" s="16"/>
      <c r="Q58" s="69"/>
      <c r="R58" s="70">
        <f t="array" ref="R58">xLOOKUP(K58,'balance sheet'!$C$5:$C$38,'balance sheet'!$B$5:$B$38)</f>
        <v>400</v>
      </c>
      <c r="T58" s="71" t="s">
        <v>32</v>
      </c>
      <c r="U58" s="10"/>
      <c r="V58" s="3"/>
      <c r="W58" s="31"/>
      <c r="X58" s="31"/>
      <c r="Y58" s="16"/>
      <c r="Z58" s="69"/>
      <c r="AA58" s="70">
        <f t="array" ref="AA58">xLOOKUP(T58,'balance sheet'!$C$5:$C$38,'balance sheet'!$B$5:$B$38)</f>
        <v>606</v>
      </c>
    </row>
    <row r="59" ht="15.75" customHeight="1">
      <c r="B59" s="72" t="s">
        <v>97</v>
      </c>
      <c r="C59" s="73"/>
      <c r="D59" s="74" t="s">
        <v>98</v>
      </c>
      <c r="E59" s="74" t="s">
        <v>99</v>
      </c>
      <c r="F59" s="74" t="s">
        <v>59</v>
      </c>
      <c r="G59" s="74" t="s">
        <v>100</v>
      </c>
      <c r="H59" s="75" t="s">
        <v>101</v>
      </c>
      <c r="I59" s="76"/>
      <c r="K59" s="72" t="s">
        <v>97</v>
      </c>
      <c r="L59" s="73"/>
      <c r="M59" s="74" t="s">
        <v>98</v>
      </c>
      <c r="N59" s="74" t="s">
        <v>99</v>
      </c>
      <c r="O59" s="74" t="s">
        <v>59</v>
      </c>
      <c r="P59" s="74" t="s">
        <v>100</v>
      </c>
      <c r="Q59" s="75" t="s">
        <v>101</v>
      </c>
      <c r="R59" s="76"/>
      <c r="T59" s="72" t="s">
        <v>97</v>
      </c>
      <c r="U59" s="73"/>
      <c r="V59" s="74" t="s">
        <v>98</v>
      </c>
      <c r="W59" s="74" t="s">
        <v>99</v>
      </c>
      <c r="X59" s="74" t="s">
        <v>59</v>
      </c>
      <c r="Y59" s="74" t="s">
        <v>100</v>
      </c>
      <c r="Z59" s="75" t="s">
        <v>101</v>
      </c>
      <c r="AA59" s="76"/>
    </row>
    <row r="60" ht="15.75" customHeight="1">
      <c r="B60" s="77"/>
      <c r="C60" s="78"/>
      <c r="D60" s="78"/>
      <c r="E60" s="78"/>
      <c r="F60" s="78"/>
      <c r="G60" s="78"/>
      <c r="H60" s="79" t="s">
        <v>59</v>
      </c>
      <c r="I60" s="80" t="s">
        <v>100</v>
      </c>
      <c r="K60" s="77"/>
      <c r="L60" s="78"/>
      <c r="M60" s="78"/>
      <c r="N60" s="78"/>
      <c r="O60" s="78"/>
      <c r="P60" s="78"/>
      <c r="Q60" s="79" t="s">
        <v>59</v>
      </c>
      <c r="R60" s="80" t="s">
        <v>100</v>
      </c>
      <c r="T60" s="77"/>
      <c r="U60" s="78"/>
      <c r="V60" s="78"/>
      <c r="W60" s="78"/>
      <c r="X60" s="78"/>
      <c r="Y60" s="78"/>
      <c r="Z60" s="79" t="s">
        <v>59</v>
      </c>
      <c r="AA60" s="80" t="s">
        <v>100</v>
      </c>
    </row>
    <row r="61" ht="15.75" customHeight="1">
      <c r="B61" s="81" t="s">
        <v>102</v>
      </c>
      <c r="C61" s="82">
        <v>1.0</v>
      </c>
      <c r="D61" s="82" t="s">
        <v>103</v>
      </c>
      <c r="E61" s="83"/>
      <c r="F61" s="84"/>
      <c r="G61" s="84"/>
      <c r="H61" s="85" t="str">
        <f t="array" ref="H61">XLOOKUP(I58,'balance sheet'!B:B,'balance sheet'!D:D)</f>
        <v/>
      </c>
      <c r="I61" s="86"/>
      <c r="K61" s="81" t="s">
        <v>102</v>
      </c>
      <c r="L61" s="82">
        <v>1.0</v>
      </c>
      <c r="M61" s="82" t="s">
        <v>103</v>
      </c>
      <c r="N61" s="83"/>
      <c r="O61" s="84"/>
      <c r="P61" s="84"/>
      <c r="Q61" s="85" t="str">
        <f t="array" ref="Q61:R61">XLOOKUP(R58,'balance sheet'!$B:$B,'balance sheet'!$D:$E)</f>
        <v/>
      </c>
      <c r="R61" s="86">
        <v>4.285E9</v>
      </c>
      <c r="T61" s="81" t="s">
        <v>102</v>
      </c>
      <c r="U61" s="82">
        <v>1.0</v>
      </c>
      <c r="V61" s="82" t="s">
        <v>103</v>
      </c>
      <c r="W61" s="83"/>
      <c r="X61" s="84"/>
      <c r="Y61" s="84"/>
      <c r="Z61" s="85">
        <f t="array" ref="Z61:AA61">XLOOKUP(AA58,'balance sheet'!$B:$B,'balance sheet'!$D:$E)</f>
        <v>280500000</v>
      </c>
      <c r="AA61" s="86"/>
    </row>
    <row r="62" ht="15.75" customHeight="1">
      <c r="B62" s="87"/>
      <c r="C62" s="82">
        <v>31.0</v>
      </c>
      <c r="D62" s="83"/>
      <c r="E62" s="88" t="s">
        <v>104</v>
      </c>
      <c r="F62" s="89">
        <f>SUMIF('Jurnal Umum'!$C$119:$C$130,I58,'Jurnal Umum'!$D$119:$D$130)</f>
        <v>500000</v>
      </c>
      <c r="G62" s="89">
        <f>SUMIF('Jurnal Umum'!$C$119:$C$130,I58,'Jurnal Umum'!$E$119:$E$130)</f>
        <v>0</v>
      </c>
      <c r="H62" s="90">
        <f t="shared" ref="H62:H63" si="27">H61+F62-G62</f>
        <v>500000</v>
      </c>
      <c r="I62" s="86" t="str">
        <f>IF(I61+G62-F62&lt;0,"",I61+G62-F62)</f>
        <v/>
      </c>
      <c r="K62" s="87"/>
      <c r="L62" s="82">
        <v>31.0</v>
      </c>
      <c r="M62" s="83"/>
      <c r="N62" s="88" t="s">
        <v>104</v>
      </c>
      <c r="O62" s="89">
        <f>SUMIF('Jurnal Umum'!$C$119:$C$130,R58,'Jurnal Umum'!$D$119:$D$130)</f>
        <v>0</v>
      </c>
      <c r="P62" s="89">
        <f>SUMIF('Jurnal Umum'!$C$119:$C$130,R58,'Jurnal Umum'!$E$119:$E$130)</f>
        <v>2640000</v>
      </c>
      <c r="Q62" s="90">
        <f t="shared" ref="Q62:Q63" si="28">Q61+O62-P62</f>
        <v>-2640000</v>
      </c>
      <c r="R62" s="86" t="str">
        <f>IF(and(Q61="",O61="",P61=""),"",IF(R61+P62-O62&lt;0,"",""))</f>
        <v/>
      </c>
      <c r="T62" s="87"/>
      <c r="U62" s="82">
        <v>31.0</v>
      </c>
      <c r="V62" s="83"/>
      <c r="W62" s="88" t="s">
        <v>104</v>
      </c>
      <c r="X62" s="89">
        <f>SUMIF('Jurnal Umum'!$C$119:$C$130,AA58,'Jurnal Umum'!$D$119:$D$130)</f>
        <v>0</v>
      </c>
      <c r="Y62" s="89">
        <f>SUMIF('Jurnal Umum'!$C$119:$C$130,AA58,'Jurnal Umum'!$E$119:$E$130)</f>
        <v>0</v>
      </c>
      <c r="Z62" s="90">
        <f t="shared" ref="Z62:Z63" si="29">Z61+X62-Y62</f>
        <v>280500000</v>
      </c>
      <c r="AA62" s="86">
        <f>IF(and(Z61="",X61="",Y61=""),"",AA61+Y62-X62)</f>
        <v>0</v>
      </c>
    </row>
    <row r="63" ht="15.75" customHeight="1">
      <c r="B63" s="87"/>
      <c r="C63" s="82">
        <v>31.0</v>
      </c>
      <c r="D63" s="83"/>
      <c r="E63" s="88" t="s">
        <v>105</v>
      </c>
      <c r="F63" s="89">
        <f>SUMIF('Jurnal Penyesuai'!$R$4:$R$21,I58,'Jurnal Penyesuai'!$S$4:$S$21)</f>
        <v>0</v>
      </c>
      <c r="G63" s="89">
        <f>SUMIF('Jurnal Penyesuai'!$R$4:$R$21,I58,'Jurnal Penyesuai'!$T$4:$T$21)</f>
        <v>400000</v>
      </c>
      <c r="H63" s="90">
        <f t="shared" si="27"/>
        <v>100000</v>
      </c>
      <c r="I63" s="86" t="str">
        <f>IF(H62="",I62+G63-F63,"")</f>
        <v/>
      </c>
      <c r="K63" s="87"/>
      <c r="L63" s="82">
        <v>31.0</v>
      </c>
      <c r="M63" s="83"/>
      <c r="N63" s="88" t="s">
        <v>105</v>
      </c>
      <c r="O63" s="89">
        <f>SUMIF('Jurnal Penyesuai'!$R$4:$R$21,R58,'Jurnal Penyesuai'!$S$4:$S$21)</f>
        <v>0</v>
      </c>
      <c r="P63" s="89">
        <f>SUMIF('Jurnal Penyesuai'!$R$4:$R$21,R58,'Jurnal Penyesuai'!$T$4:$T$21)</f>
        <v>0</v>
      </c>
      <c r="Q63" s="90">
        <f t="shared" si="28"/>
        <v>-2640000</v>
      </c>
      <c r="R63" s="86" t="str">
        <f>IF(Q62="",R62+P63-O63,"")</f>
        <v/>
      </c>
      <c r="T63" s="87"/>
      <c r="U63" s="82">
        <v>31.0</v>
      </c>
      <c r="V63" s="83"/>
      <c r="W63" s="88" t="s">
        <v>105</v>
      </c>
      <c r="X63" s="89">
        <f>SUMIF('Jurnal Penyesuai'!$R$4:$R$21,AA58,'Jurnal Penyesuai'!$S$4:$S$21)</f>
        <v>0</v>
      </c>
      <c r="Y63" s="89">
        <f>SUMIF('Jurnal Penyesuai'!$R$4:$R$21,AA58,'Jurnal Penyesuai'!$T$4:$T$21)</f>
        <v>0</v>
      </c>
      <c r="Z63" s="90">
        <f t="shared" si="29"/>
        <v>280500000</v>
      </c>
      <c r="AA63" s="86" t="str">
        <f>IF(Z62="",AA62+Y63-X63,"")</f>
        <v/>
      </c>
    </row>
    <row r="64" ht="15.75" customHeight="1">
      <c r="B64" s="91"/>
      <c r="C64" s="92"/>
      <c r="D64" s="92"/>
      <c r="E64" s="92"/>
      <c r="F64" s="93"/>
      <c r="G64" s="93"/>
      <c r="H64" s="94"/>
      <c r="I64" s="95"/>
      <c r="K64" s="91"/>
      <c r="L64" s="92"/>
      <c r="M64" s="92"/>
      <c r="N64" s="92"/>
      <c r="O64" s="93"/>
      <c r="P64" s="93"/>
      <c r="Q64" s="94"/>
      <c r="R64" s="95"/>
      <c r="T64" s="91"/>
      <c r="U64" s="92"/>
      <c r="V64" s="92"/>
      <c r="W64" s="92"/>
      <c r="X64" s="93"/>
      <c r="Y64" s="93"/>
      <c r="Z64" s="94"/>
      <c r="AA64" s="95"/>
    </row>
    <row r="65" ht="15.75" customHeight="1">
      <c r="H65" s="52"/>
      <c r="I65" s="52"/>
    </row>
    <row r="66" ht="15.75" customHeight="1">
      <c r="B66" s="58" t="s">
        <v>94</v>
      </c>
      <c r="C66" s="59"/>
      <c r="D66" s="60"/>
      <c r="E66" s="61" t="s">
        <v>95</v>
      </c>
      <c r="F66" s="62"/>
      <c r="G66" s="63"/>
      <c r="H66" s="64"/>
      <c r="I66" s="65" t="s">
        <v>96</v>
      </c>
      <c r="K66" s="58" t="s">
        <v>94</v>
      </c>
      <c r="L66" s="59"/>
      <c r="M66" s="60"/>
      <c r="N66" s="61" t="s">
        <v>95</v>
      </c>
      <c r="O66" s="62"/>
      <c r="P66" s="63"/>
      <c r="Q66" s="64"/>
      <c r="R66" s="65" t="s">
        <v>96</v>
      </c>
      <c r="T66" s="58" t="s">
        <v>94</v>
      </c>
      <c r="U66" s="59"/>
      <c r="V66" s="60"/>
      <c r="W66" s="61" t="s">
        <v>95</v>
      </c>
      <c r="X66" s="62"/>
      <c r="Y66" s="63"/>
      <c r="Z66" s="64"/>
      <c r="AA66" s="65" t="s">
        <v>96</v>
      </c>
    </row>
    <row r="67" ht="15.75" customHeight="1">
      <c r="B67" s="71" t="s">
        <v>11</v>
      </c>
      <c r="C67" s="10"/>
      <c r="D67" s="3"/>
      <c r="E67" s="31"/>
      <c r="F67" s="31"/>
      <c r="G67" s="16"/>
      <c r="H67" s="69"/>
      <c r="I67" s="70">
        <f t="array" ref="I67">xLOOKUP(B67,'balance sheet'!$C$5:$C$38,'balance sheet'!$B$5:$B$38)</f>
        <v>107</v>
      </c>
      <c r="K67" s="71" t="s">
        <v>23</v>
      </c>
      <c r="L67" s="10"/>
      <c r="M67" s="3"/>
      <c r="N67" s="31"/>
      <c r="O67" s="31"/>
      <c r="P67" s="16"/>
      <c r="Q67" s="69"/>
      <c r="R67" s="70">
        <f t="array" ref="R67">xLOOKUP(K67,'balance sheet'!$C$5:$C$38,'balance sheet'!$B$5:$B$38)</f>
        <v>401</v>
      </c>
      <c r="T67" s="71" t="s">
        <v>30</v>
      </c>
      <c r="U67" s="10"/>
      <c r="V67" s="3"/>
      <c r="W67" s="31"/>
      <c r="X67" s="31"/>
      <c r="Y67" s="16"/>
      <c r="Z67" s="69"/>
      <c r="AA67" s="70">
        <v>607.0</v>
      </c>
    </row>
    <row r="68" ht="15.75" customHeight="1">
      <c r="B68" s="72" t="s">
        <v>97</v>
      </c>
      <c r="C68" s="73"/>
      <c r="D68" s="74" t="s">
        <v>98</v>
      </c>
      <c r="E68" s="74" t="s">
        <v>99</v>
      </c>
      <c r="F68" s="74" t="s">
        <v>59</v>
      </c>
      <c r="G68" s="74" t="s">
        <v>100</v>
      </c>
      <c r="H68" s="75" t="s">
        <v>101</v>
      </c>
      <c r="I68" s="76"/>
      <c r="K68" s="72" t="s">
        <v>97</v>
      </c>
      <c r="L68" s="73"/>
      <c r="M68" s="74" t="s">
        <v>98</v>
      </c>
      <c r="N68" s="74" t="s">
        <v>99</v>
      </c>
      <c r="O68" s="74" t="s">
        <v>59</v>
      </c>
      <c r="P68" s="74" t="s">
        <v>100</v>
      </c>
      <c r="Q68" s="75" t="s">
        <v>101</v>
      </c>
      <c r="R68" s="76"/>
      <c r="T68" s="72" t="s">
        <v>97</v>
      </c>
      <c r="U68" s="73"/>
      <c r="V68" s="74" t="s">
        <v>98</v>
      </c>
      <c r="W68" s="74" t="s">
        <v>99</v>
      </c>
      <c r="X68" s="74" t="s">
        <v>59</v>
      </c>
      <c r="Y68" s="74" t="s">
        <v>100</v>
      </c>
      <c r="Z68" s="75" t="s">
        <v>101</v>
      </c>
      <c r="AA68" s="76"/>
    </row>
    <row r="69" ht="15.75" customHeight="1">
      <c r="B69" s="77"/>
      <c r="C69" s="78"/>
      <c r="D69" s="78"/>
      <c r="E69" s="78"/>
      <c r="F69" s="78"/>
      <c r="G69" s="78"/>
      <c r="H69" s="79" t="s">
        <v>59</v>
      </c>
      <c r="I69" s="80" t="s">
        <v>100</v>
      </c>
      <c r="K69" s="77"/>
      <c r="L69" s="78"/>
      <c r="M69" s="78"/>
      <c r="N69" s="78"/>
      <c r="O69" s="78"/>
      <c r="P69" s="78"/>
      <c r="Q69" s="79" t="s">
        <v>59</v>
      </c>
      <c r="R69" s="80" t="s">
        <v>100</v>
      </c>
      <c r="T69" s="77"/>
      <c r="U69" s="78"/>
      <c r="V69" s="78"/>
      <c r="W69" s="78"/>
      <c r="X69" s="78"/>
      <c r="Y69" s="78"/>
      <c r="Z69" s="79" t="s">
        <v>59</v>
      </c>
      <c r="AA69" s="80" t="s">
        <v>100</v>
      </c>
    </row>
    <row r="70" ht="15.75" customHeight="1">
      <c r="B70" s="81" t="s">
        <v>102</v>
      </c>
      <c r="C70" s="82">
        <v>1.0</v>
      </c>
      <c r="D70" s="82" t="s">
        <v>103</v>
      </c>
      <c r="E70" s="83"/>
      <c r="F70" s="84"/>
      <c r="G70" s="84"/>
      <c r="H70" s="85" t="str">
        <f t="array" ref="H70">XLOOKUP(I67,'balance sheet'!B:B,'balance sheet'!D:D)</f>
        <v/>
      </c>
      <c r="I70" s="86"/>
      <c r="K70" s="81" t="s">
        <v>102</v>
      </c>
      <c r="L70" s="82">
        <v>1.0</v>
      </c>
      <c r="M70" s="82" t="s">
        <v>103</v>
      </c>
      <c r="N70" s="83"/>
      <c r="O70" s="84"/>
      <c r="P70" s="84"/>
      <c r="Q70" s="85">
        <f t="array" ref="Q70:R70">XLOOKUP(R67,'balance sheet'!$B:$B,'balance sheet'!$D:$E)</f>
        <v>5000000</v>
      </c>
      <c r="R70" s="86"/>
      <c r="T70" s="81" t="s">
        <v>102</v>
      </c>
      <c r="U70" s="82">
        <v>1.0</v>
      </c>
      <c r="V70" s="82" t="s">
        <v>103</v>
      </c>
      <c r="W70" s="83"/>
      <c r="X70" s="84"/>
      <c r="Y70" s="84"/>
      <c r="Z70" s="85">
        <v>9800000.0</v>
      </c>
      <c r="AA70" s="86"/>
    </row>
    <row r="71" ht="15.75" customHeight="1">
      <c r="B71" s="87"/>
      <c r="C71" s="82">
        <v>31.0</v>
      </c>
      <c r="D71" s="83"/>
      <c r="E71" s="88" t="s">
        <v>104</v>
      </c>
      <c r="F71" s="89">
        <f>SUMIF('Jurnal Umum'!$C$119:$C$130,I67,'Jurnal Umum'!$D$119:$D$130)</f>
        <v>300000</v>
      </c>
      <c r="G71" s="89">
        <f>SUMIF('Jurnal Umum'!$C$119:$C$130,I67,'Jurnal Umum'!$E$119:$E$130)</f>
        <v>0</v>
      </c>
      <c r="H71" s="90">
        <f t="shared" ref="H71:H72" si="30">H70+F71-G71</f>
        <v>300000</v>
      </c>
      <c r="I71" s="86" t="str">
        <f>IF(I70+G71-F71&lt;0,"",I70+G71-F71)</f>
        <v/>
      </c>
      <c r="K71" s="87"/>
      <c r="L71" s="82">
        <v>31.0</v>
      </c>
      <c r="M71" s="83"/>
      <c r="N71" s="88" t="s">
        <v>104</v>
      </c>
      <c r="O71" s="89">
        <f>SUMIF('Jurnal Umum'!$C$119:$C$130,R67,'Jurnal Umum'!$D$119:$D$130)</f>
        <v>0</v>
      </c>
      <c r="P71" s="89">
        <f>SUMIF('Jurnal Umum'!$C$119:$C$130,R67,'Jurnal Umum'!$E$119:$E$130)</f>
        <v>0</v>
      </c>
      <c r="Q71" s="90">
        <f t="shared" ref="Q71:Q72" si="31">Q70+O71-P71</f>
        <v>5000000</v>
      </c>
      <c r="R71" s="86" t="str">
        <f>IF(and(Q70="",O70="",P70=""),"",IF(R70+P71-O71&lt;0,"",""))</f>
        <v/>
      </c>
      <c r="T71" s="87"/>
      <c r="U71" s="82">
        <v>31.0</v>
      </c>
      <c r="V71" s="83"/>
      <c r="W71" s="88" t="s">
        <v>104</v>
      </c>
      <c r="X71" s="89">
        <f>SUMIF('Jurnal Umum'!$C$119:$C$130,AA67,'Jurnal Umum'!$D$119:$D$130)</f>
        <v>0</v>
      </c>
      <c r="Y71" s="89">
        <f>SUMIF('Jurnal Umum'!$C$119:$C$130,AA67,'Jurnal Umum'!$E$119:$E$130)</f>
        <v>0</v>
      </c>
      <c r="Z71" s="90">
        <f t="shared" ref="Z71:Z72" si="32">Z70+X71-Y71</f>
        <v>9800000</v>
      </c>
      <c r="AA71" s="86">
        <f>IF(and(Z70="",X70="",Y70=""),"",AA70+Y71-X71)</f>
        <v>0</v>
      </c>
    </row>
    <row r="72" ht="15.75" customHeight="1">
      <c r="B72" s="87"/>
      <c r="C72" s="82">
        <v>31.0</v>
      </c>
      <c r="D72" s="83"/>
      <c r="E72" s="88" t="s">
        <v>105</v>
      </c>
      <c r="F72" s="89">
        <f>SUMIF('Jurnal Penyesuai'!$R$4:$R$21,I67,'Jurnal Penyesuai'!$S$4:$S$21)</f>
        <v>0</v>
      </c>
      <c r="G72" s="89">
        <f>SUMIF('Jurnal Penyesuai'!$R$4:$R$21,I67,'Jurnal Penyesuai'!$T$4:$T$21)</f>
        <v>25000</v>
      </c>
      <c r="H72" s="90">
        <f t="shared" si="30"/>
        <v>275000</v>
      </c>
      <c r="I72" s="86" t="str">
        <f>IF(H71="",I71+G72-F72,"")</f>
        <v/>
      </c>
      <c r="K72" s="87"/>
      <c r="L72" s="82">
        <v>31.0</v>
      </c>
      <c r="M72" s="83"/>
      <c r="N72" s="88" t="s">
        <v>105</v>
      </c>
      <c r="O72" s="89">
        <f>SUMIF('Jurnal Penyesuai'!$R$4:$R$21,R67,'Jurnal Penyesuai'!$S$4:$S$21)</f>
        <v>0</v>
      </c>
      <c r="P72" s="89">
        <f>SUMIF('Jurnal Penyesuai'!$R$4:$R$21,R67,'Jurnal Penyesuai'!$T$4:$T$21)</f>
        <v>0</v>
      </c>
      <c r="Q72" s="90">
        <f t="shared" si="31"/>
        <v>5000000</v>
      </c>
      <c r="R72" s="86" t="str">
        <f>IF(Q71="",R71+P72-O72,"")</f>
        <v/>
      </c>
      <c r="T72" s="87"/>
      <c r="U72" s="82">
        <v>31.0</v>
      </c>
      <c r="V72" s="83"/>
      <c r="W72" s="88" t="s">
        <v>105</v>
      </c>
      <c r="X72" s="89">
        <f>SUMIF('Jurnal Penyesuai'!$R$4:$R$21,AA67,'Jurnal Penyesuai'!$S$4:$S$21)</f>
        <v>0</v>
      </c>
      <c r="Y72" s="89">
        <f>SUMIF('Jurnal Penyesuai'!$R$4:$R$21,AA67,'Jurnal Penyesuai'!$T$4:$T$21)</f>
        <v>0</v>
      </c>
      <c r="Z72" s="90">
        <f t="shared" si="32"/>
        <v>9800000</v>
      </c>
      <c r="AA72" s="86" t="str">
        <f>IF(Z71="",AA71+Y72-X72,"")</f>
        <v/>
      </c>
    </row>
    <row r="73" ht="15.75" customHeight="1">
      <c r="B73" s="91"/>
      <c r="C73" s="92"/>
      <c r="D73" s="92"/>
      <c r="E73" s="92"/>
      <c r="F73" s="93"/>
      <c r="G73" s="93"/>
      <c r="H73" s="94"/>
      <c r="I73" s="95"/>
      <c r="K73" s="91"/>
      <c r="L73" s="92"/>
      <c r="M73" s="92"/>
      <c r="N73" s="92"/>
      <c r="O73" s="93"/>
      <c r="P73" s="93"/>
      <c r="Q73" s="94"/>
      <c r="R73" s="95"/>
      <c r="T73" s="91"/>
      <c r="U73" s="92"/>
      <c r="V73" s="92"/>
      <c r="W73" s="92"/>
      <c r="X73" s="93"/>
      <c r="Y73" s="93"/>
      <c r="Z73" s="94"/>
      <c r="AA73" s="95"/>
    </row>
    <row r="74" ht="15.75" customHeight="1">
      <c r="H74" s="52"/>
      <c r="I74" s="52"/>
    </row>
    <row r="75" ht="15.75" customHeight="1">
      <c r="B75" s="58" t="s">
        <v>94</v>
      </c>
      <c r="C75" s="59"/>
      <c r="D75" s="60"/>
      <c r="E75" s="61" t="s">
        <v>95</v>
      </c>
      <c r="F75" s="62"/>
      <c r="G75" s="63"/>
      <c r="H75" s="64"/>
      <c r="I75" s="65" t="s">
        <v>96</v>
      </c>
      <c r="K75" s="58" t="s">
        <v>94</v>
      </c>
      <c r="L75" s="59"/>
      <c r="M75" s="60"/>
      <c r="N75" s="61" t="s">
        <v>95</v>
      </c>
      <c r="O75" s="62"/>
      <c r="P75" s="63"/>
      <c r="Q75" s="64"/>
      <c r="R75" s="65" t="s">
        <v>96</v>
      </c>
      <c r="T75" s="58" t="s">
        <v>94</v>
      </c>
      <c r="U75" s="59"/>
      <c r="V75" s="60"/>
      <c r="W75" s="61" t="s">
        <v>95</v>
      </c>
      <c r="X75" s="62"/>
      <c r="Y75" s="63"/>
      <c r="Z75" s="64"/>
      <c r="AA75" s="65" t="s">
        <v>96</v>
      </c>
    </row>
    <row r="76" ht="15.75" customHeight="1">
      <c r="B76" s="71" t="s">
        <v>12</v>
      </c>
      <c r="C76" s="10"/>
      <c r="D76" s="3"/>
      <c r="E76" s="31"/>
      <c r="F76" s="31"/>
      <c r="G76" s="16"/>
      <c r="H76" s="69"/>
      <c r="I76" s="70">
        <f t="array" ref="I76">xLOOKUP(B76,'balance sheet'!$C$5:$C$38,'balance sheet'!$B$5:$B$38)</f>
        <v>108</v>
      </c>
      <c r="K76" s="71" t="s">
        <v>24</v>
      </c>
      <c r="L76" s="10"/>
      <c r="M76" s="3"/>
      <c r="N76" s="31"/>
      <c r="O76" s="31"/>
      <c r="P76" s="16"/>
      <c r="Q76" s="69"/>
      <c r="R76" s="70">
        <f t="array" ref="R76">xLOOKUP(K76,'balance sheet'!$C$5:$C$38,'balance sheet'!$B$5:$B$38)</f>
        <v>500</v>
      </c>
      <c r="T76" s="71" t="s">
        <v>33</v>
      </c>
      <c r="U76" s="10"/>
      <c r="V76" s="3"/>
      <c r="W76" s="31"/>
      <c r="X76" s="31"/>
      <c r="Y76" s="16"/>
      <c r="Z76" s="69"/>
      <c r="AA76" s="70">
        <f t="array" ref="AA76">xLOOKUP(T76,'balance sheet'!$C$5:$C$38,'balance sheet'!$B$5:$B$38)</f>
        <v>608</v>
      </c>
    </row>
    <row r="77" ht="15.75" customHeight="1">
      <c r="B77" s="72" t="s">
        <v>97</v>
      </c>
      <c r="C77" s="73"/>
      <c r="D77" s="74" t="s">
        <v>98</v>
      </c>
      <c r="E77" s="74" t="s">
        <v>99</v>
      </c>
      <c r="F77" s="74" t="s">
        <v>59</v>
      </c>
      <c r="G77" s="74" t="s">
        <v>100</v>
      </c>
      <c r="H77" s="75" t="s">
        <v>101</v>
      </c>
      <c r="I77" s="76"/>
      <c r="K77" s="72" t="s">
        <v>97</v>
      </c>
      <c r="L77" s="73"/>
      <c r="M77" s="74" t="s">
        <v>98</v>
      </c>
      <c r="N77" s="74" t="s">
        <v>99</v>
      </c>
      <c r="O77" s="74" t="s">
        <v>59</v>
      </c>
      <c r="P77" s="74" t="s">
        <v>100</v>
      </c>
      <c r="Q77" s="75" t="s">
        <v>101</v>
      </c>
      <c r="R77" s="76"/>
      <c r="T77" s="72" t="s">
        <v>97</v>
      </c>
      <c r="U77" s="73"/>
      <c r="V77" s="74" t="s">
        <v>98</v>
      </c>
      <c r="W77" s="74" t="s">
        <v>99</v>
      </c>
      <c r="X77" s="74" t="s">
        <v>59</v>
      </c>
      <c r="Y77" s="74" t="s">
        <v>100</v>
      </c>
      <c r="Z77" s="75" t="s">
        <v>101</v>
      </c>
      <c r="AA77" s="76"/>
    </row>
    <row r="78" ht="15.75" customHeight="1">
      <c r="B78" s="77"/>
      <c r="C78" s="78"/>
      <c r="D78" s="78"/>
      <c r="E78" s="78"/>
      <c r="F78" s="78"/>
      <c r="G78" s="78"/>
      <c r="H78" s="79" t="s">
        <v>59</v>
      </c>
      <c r="I78" s="80" t="s">
        <v>100</v>
      </c>
      <c r="K78" s="77"/>
      <c r="L78" s="78"/>
      <c r="M78" s="78"/>
      <c r="N78" s="78"/>
      <c r="O78" s="78"/>
      <c r="P78" s="78"/>
      <c r="Q78" s="79" t="s">
        <v>59</v>
      </c>
      <c r="R78" s="80" t="s">
        <v>100</v>
      </c>
      <c r="T78" s="77"/>
      <c r="U78" s="78"/>
      <c r="V78" s="78"/>
      <c r="W78" s="78"/>
      <c r="X78" s="78"/>
      <c r="Y78" s="78"/>
      <c r="Z78" s="79" t="s">
        <v>59</v>
      </c>
      <c r="AA78" s="80" t="s">
        <v>100</v>
      </c>
    </row>
    <row r="79" ht="15.75" customHeight="1">
      <c r="B79" s="81" t="s">
        <v>102</v>
      </c>
      <c r="C79" s="82">
        <v>1.0</v>
      </c>
      <c r="D79" s="82" t="s">
        <v>103</v>
      </c>
      <c r="E79" s="83"/>
      <c r="F79" s="84"/>
      <c r="G79" s="84"/>
      <c r="H79" s="85">
        <f t="array" ref="H79">XLOOKUP(I76,'balance sheet'!B:B,'balance sheet'!D:D)</f>
        <v>3424000000</v>
      </c>
      <c r="I79" s="86"/>
      <c r="K79" s="81" t="s">
        <v>102</v>
      </c>
      <c r="L79" s="82">
        <v>1.0</v>
      </c>
      <c r="M79" s="82" t="s">
        <v>103</v>
      </c>
      <c r="N79" s="83"/>
      <c r="O79" s="84"/>
      <c r="P79" s="84"/>
      <c r="Q79" s="85">
        <f t="array" ref="Q79:R79">XLOOKUP(R76,'balance sheet'!$B:$B,'balance sheet'!$D:$E)</f>
        <v>2857000000</v>
      </c>
      <c r="R79" s="86"/>
      <c r="T79" s="81" t="s">
        <v>102</v>
      </c>
      <c r="U79" s="82">
        <v>1.0</v>
      </c>
      <c r="V79" s="82" t="s">
        <v>103</v>
      </c>
      <c r="W79" s="83"/>
      <c r="X79" s="84"/>
      <c r="Y79" s="84"/>
      <c r="Z79" s="85" t="str">
        <f>VLOOKUP(AA76,'balance sheet'!B:E,4)</f>
        <v/>
      </c>
      <c r="AA79" s="86"/>
    </row>
    <row r="80" ht="15.75" customHeight="1">
      <c r="B80" s="87"/>
      <c r="C80" s="82">
        <v>31.0</v>
      </c>
      <c r="D80" s="83"/>
      <c r="E80" s="88" t="s">
        <v>104</v>
      </c>
      <c r="F80" s="89">
        <f>SUMIF('Jurnal Umum'!$C$119:$C$130,I76,'Jurnal Umum'!$D$119:$D$130)</f>
        <v>0</v>
      </c>
      <c r="G80" s="89">
        <f>SUMIF('Jurnal Umum'!$C$119:$C$130,I76,'Jurnal Umum'!$E$119:$E$130)</f>
        <v>0</v>
      </c>
      <c r="H80" s="90">
        <f t="shared" ref="H80:H81" si="33">H79+F80-G80</f>
        <v>3424000000</v>
      </c>
      <c r="I80" s="86">
        <f>IF(I79+G80-F80&lt;0,"",I79+G80-F80)</f>
        <v>0</v>
      </c>
      <c r="K80" s="87"/>
      <c r="L80" s="82">
        <v>31.0</v>
      </c>
      <c r="M80" s="83"/>
      <c r="N80" s="88" t="s">
        <v>104</v>
      </c>
      <c r="O80" s="89">
        <f>SUMIF('Jurnal Umum'!$C$119:$C$130,R76,'Jurnal Umum'!$D$119:$D$130)</f>
        <v>431200</v>
      </c>
      <c r="P80" s="89">
        <f>SUMIF('Jurnal Umum'!$C$119:$C$130,R76,'Jurnal Umum'!$E$119:$E$130)</f>
        <v>0</v>
      </c>
      <c r="Q80" s="90">
        <f t="shared" ref="Q80:Q81" si="34">Q79+O80-P80</f>
        <v>2857431200</v>
      </c>
      <c r="R80" s="86" t="str">
        <f>IF(and(Q79="",O79="",P79=""),"",IF(R79+P80-O80&lt;0,"",""))</f>
        <v/>
      </c>
      <c r="T80" s="87"/>
      <c r="U80" s="82">
        <v>31.0</v>
      </c>
      <c r="V80" s="83"/>
      <c r="W80" s="88" t="s">
        <v>104</v>
      </c>
      <c r="X80" s="89">
        <f>SUMIF('Jurnal Umum'!$C$119:$C$130,AA76,'Jurnal Umum'!$D$119:$D$130)</f>
        <v>450000</v>
      </c>
      <c r="Y80" s="89">
        <f>SUMIF('Jurnal Umum'!$C$119:$C$130,AA76,'Jurnal Umum'!$E$119:$E$130)</f>
        <v>0</v>
      </c>
      <c r="Z80" s="90">
        <f t="shared" ref="Z80:Z81" si="35">Z79+X80-Y80</f>
        <v>450000</v>
      </c>
      <c r="AA80" s="86" t="str">
        <f>IF(and(Z79="",X79="",Y79=""),"",AA79+Y80-X80)</f>
        <v/>
      </c>
    </row>
    <row r="81" ht="15.75" customHeight="1">
      <c r="B81" s="87"/>
      <c r="C81" s="82">
        <v>31.0</v>
      </c>
      <c r="D81" s="83"/>
      <c r="E81" s="88" t="s">
        <v>105</v>
      </c>
      <c r="F81" s="89">
        <f>SUMIF('Jurnal Penyesuai'!$R$4:$R$21,I76,'Jurnal Penyesuai'!$S$4:$S$21)</f>
        <v>0</v>
      </c>
      <c r="G81" s="89">
        <f>SUMIF('Jurnal Penyesuai'!$R$4:$R$21,I76,'Jurnal Penyesuai'!$T$4:$T$21)</f>
        <v>0</v>
      </c>
      <c r="H81" s="90">
        <f t="shared" si="33"/>
        <v>3424000000</v>
      </c>
      <c r="I81" s="86" t="str">
        <f>IF(H80="",I80+G81-F81,"")</f>
        <v/>
      </c>
      <c r="K81" s="87"/>
      <c r="L81" s="82">
        <v>31.0</v>
      </c>
      <c r="M81" s="83"/>
      <c r="N81" s="88" t="s">
        <v>105</v>
      </c>
      <c r="O81" s="89">
        <f>SUMIF('Jurnal Penyesuai'!$R$4:$R$21,R76,'Jurnal Penyesuai'!$S$4:$S$21)</f>
        <v>0</v>
      </c>
      <c r="P81" s="89">
        <f>SUMIF('Jurnal Penyesuai'!$R$4:$R$21,R76,'Jurnal Penyesuai'!$T$4:$T$21)</f>
        <v>0</v>
      </c>
      <c r="Q81" s="90">
        <f t="shared" si="34"/>
        <v>2857431200</v>
      </c>
      <c r="R81" s="86" t="str">
        <f>IF(Q80="",R80+P81-O81,"")</f>
        <v/>
      </c>
      <c r="T81" s="87"/>
      <c r="U81" s="82">
        <v>31.0</v>
      </c>
      <c r="V81" s="83"/>
      <c r="W81" s="88" t="s">
        <v>105</v>
      </c>
      <c r="X81" s="89">
        <f>SUMIF('Jurnal Penyesuai'!$R$4:$R$21,AA76,'Jurnal Penyesuai'!$S$4:$S$21)</f>
        <v>0</v>
      </c>
      <c r="Y81" s="89">
        <f>SUMIF('Jurnal Penyesuai'!$R$4:$R$21,AA76,'Jurnal Penyesuai'!$T$4:$T$21)</f>
        <v>0</v>
      </c>
      <c r="Z81" s="90">
        <f t="shared" si="35"/>
        <v>450000</v>
      </c>
      <c r="AA81" s="86" t="str">
        <f>IF(Z80="",AA80+Y81-X81,"")</f>
        <v/>
      </c>
    </row>
    <row r="82" ht="15.75" customHeight="1">
      <c r="B82" s="91"/>
      <c r="C82" s="92"/>
      <c r="D82" s="92"/>
      <c r="E82" s="92"/>
      <c r="F82" s="93"/>
      <c r="G82" s="93"/>
      <c r="H82" s="94"/>
      <c r="I82" s="95"/>
      <c r="K82" s="91"/>
      <c r="L82" s="92"/>
      <c r="M82" s="92"/>
      <c r="N82" s="92"/>
      <c r="O82" s="93"/>
      <c r="P82" s="93"/>
      <c r="Q82" s="94"/>
      <c r="R82" s="95"/>
      <c r="T82" s="91"/>
      <c r="U82" s="92"/>
      <c r="V82" s="92"/>
      <c r="W82" s="92"/>
      <c r="X82" s="93"/>
      <c r="Y82" s="93"/>
      <c r="Z82" s="94"/>
      <c r="AA82" s="95"/>
    </row>
    <row r="83" ht="15.75" customHeight="1">
      <c r="H83" s="52"/>
      <c r="I83" s="52"/>
    </row>
    <row r="84" ht="15.75" customHeight="1">
      <c r="B84" s="58" t="s">
        <v>94</v>
      </c>
      <c r="C84" s="59"/>
      <c r="D84" s="60"/>
      <c r="E84" s="61" t="s">
        <v>95</v>
      </c>
      <c r="F84" s="62"/>
      <c r="G84" s="63"/>
      <c r="H84" s="64"/>
      <c r="I84" s="65" t="s">
        <v>96</v>
      </c>
      <c r="K84" s="58" t="s">
        <v>94</v>
      </c>
      <c r="L84" s="59"/>
      <c r="M84" s="60"/>
      <c r="N84" s="61" t="s">
        <v>95</v>
      </c>
      <c r="O84" s="62"/>
      <c r="P84" s="63"/>
      <c r="Q84" s="64"/>
      <c r="R84" s="65" t="s">
        <v>96</v>
      </c>
      <c r="T84" s="58" t="s">
        <v>94</v>
      </c>
      <c r="U84" s="59"/>
      <c r="V84" s="60"/>
      <c r="W84" s="61" t="s">
        <v>95</v>
      </c>
      <c r="X84" s="62"/>
      <c r="Y84" s="63"/>
      <c r="Z84" s="64"/>
      <c r="AA84" s="65" t="s">
        <v>96</v>
      </c>
    </row>
    <row r="85" ht="15.75" customHeight="1">
      <c r="B85" s="71" t="s">
        <v>13</v>
      </c>
      <c r="C85" s="10"/>
      <c r="D85" s="3"/>
      <c r="E85" s="31"/>
      <c r="F85" s="31"/>
      <c r="G85" s="16"/>
      <c r="H85" s="69"/>
      <c r="I85" s="70">
        <f t="array" ref="I85">xLOOKUP(B85,'balance sheet'!$C$5:$C$38,'balance sheet'!$B$5:$B$38)</f>
        <v>109</v>
      </c>
      <c r="K85" s="71" t="s">
        <v>25</v>
      </c>
      <c r="L85" s="10"/>
      <c r="M85" s="3"/>
      <c r="N85" s="31"/>
      <c r="O85" s="31"/>
      <c r="P85" s="16"/>
      <c r="Q85" s="69"/>
      <c r="R85" s="70">
        <f t="array" ref="R85">xLOOKUP(K85,'balance sheet'!$C$5:$C$38,'balance sheet'!$B$5:$B$38)</f>
        <v>501</v>
      </c>
      <c r="T85" s="71" t="s">
        <v>36</v>
      </c>
      <c r="U85" s="10"/>
      <c r="V85" s="3"/>
      <c r="W85" s="31"/>
      <c r="X85" s="31"/>
      <c r="Y85" s="16"/>
      <c r="Z85" s="69"/>
      <c r="AA85" s="70">
        <f t="array" ref="AA85">xLOOKUP(T85,'balance sheet'!$C$5:$C$38,'balance sheet'!$B$5:$B$38)</f>
        <v>700</v>
      </c>
    </row>
    <row r="86" ht="15.75" customHeight="1">
      <c r="B86" s="72" t="s">
        <v>97</v>
      </c>
      <c r="C86" s="73"/>
      <c r="D86" s="74" t="s">
        <v>98</v>
      </c>
      <c r="E86" s="74" t="s">
        <v>99</v>
      </c>
      <c r="F86" s="74" t="s">
        <v>59</v>
      </c>
      <c r="G86" s="74" t="s">
        <v>100</v>
      </c>
      <c r="H86" s="75" t="s">
        <v>101</v>
      </c>
      <c r="I86" s="76"/>
      <c r="K86" s="72" t="s">
        <v>97</v>
      </c>
      <c r="L86" s="73"/>
      <c r="M86" s="74" t="s">
        <v>98</v>
      </c>
      <c r="N86" s="74" t="s">
        <v>99</v>
      </c>
      <c r="O86" s="74" t="s">
        <v>59</v>
      </c>
      <c r="P86" s="74" t="s">
        <v>100</v>
      </c>
      <c r="Q86" s="75" t="s">
        <v>101</v>
      </c>
      <c r="R86" s="76"/>
      <c r="T86" s="72" t="s">
        <v>97</v>
      </c>
      <c r="U86" s="73"/>
      <c r="V86" s="74" t="s">
        <v>98</v>
      </c>
      <c r="W86" s="74" t="s">
        <v>99</v>
      </c>
      <c r="X86" s="74" t="s">
        <v>59</v>
      </c>
      <c r="Y86" s="74" t="s">
        <v>100</v>
      </c>
      <c r="Z86" s="75" t="s">
        <v>101</v>
      </c>
      <c r="AA86" s="76"/>
    </row>
    <row r="87" ht="15.75" customHeight="1">
      <c r="B87" s="77"/>
      <c r="C87" s="78"/>
      <c r="D87" s="78"/>
      <c r="E87" s="78"/>
      <c r="F87" s="78"/>
      <c r="G87" s="78"/>
      <c r="H87" s="79" t="s">
        <v>59</v>
      </c>
      <c r="I87" s="80" t="s">
        <v>100</v>
      </c>
      <c r="K87" s="77"/>
      <c r="L87" s="78"/>
      <c r="M87" s="78"/>
      <c r="N87" s="78"/>
      <c r="O87" s="78"/>
      <c r="P87" s="78"/>
      <c r="Q87" s="79" t="s">
        <v>59</v>
      </c>
      <c r="R87" s="80" t="s">
        <v>100</v>
      </c>
      <c r="T87" s="77"/>
      <c r="U87" s="78"/>
      <c r="V87" s="78"/>
      <c r="W87" s="78"/>
      <c r="X87" s="78"/>
      <c r="Y87" s="78"/>
      <c r="Z87" s="79" t="s">
        <v>59</v>
      </c>
      <c r="AA87" s="80" t="s">
        <v>100</v>
      </c>
    </row>
    <row r="88" ht="15.75" customHeight="1">
      <c r="B88" s="81" t="s">
        <v>102</v>
      </c>
      <c r="C88" s="82">
        <v>1.0</v>
      </c>
      <c r="D88" s="82" t="s">
        <v>103</v>
      </c>
      <c r="E88" s="83"/>
      <c r="F88" s="84"/>
      <c r="G88" s="84"/>
      <c r="H88" s="85" t="str">
        <f t="array" ref="H88:I88">XLOOKUP(I85,'balance sheet'!B:B,'balance sheet'!D:E)</f>
        <v/>
      </c>
      <c r="I88" s="86">
        <v>1.0644E9</v>
      </c>
      <c r="K88" s="81" t="s">
        <v>102</v>
      </c>
      <c r="L88" s="82">
        <v>1.0</v>
      </c>
      <c r="M88" s="82" t="s">
        <v>103</v>
      </c>
      <c r="N88" s="83"/>
      <c r="O88" s="84"/>
      <c r="P88" s="84"/>
      <c r="Q88" s="85" t="str">
        <f t="array" ref="Q88:R88">XLOOKUP(R85,'balance sheet'!$B:$B,'balance sheet'!$D:$E)</f>
        <v/>
      </c>
      <c r="R88" s="86">
        <v>7000000.0</v>
      </c>
      <c r="T88" s="81" t="s">
        <v>102</v>
      </c>
      <c r="U88" s="82">
        <v>1.0</v>
      </c>
      <c r="V88" s="82" t="s">
        <v>103</v>
      </c>
      <c r="W88" s="83"/>
      <c r="X88" s="84"/>
      <c r="Y88" s="84"/>
      <c r="Z88" s="85">
        <f>VLOOKUP(AA85,'balance sheet'!B:E,4)</f>
        <v>15000000</v>
      </c>
      <c r="AA88" s="86"/>
    </row>
    <row r="89" ht="15.75" customHeight="1">
      <c r="B89" s="87"/>
      <c r="C89" s="82">
        <v>31.0</v>
      </c>
      <c r="D89" s="83"/>
      <c r="E89" s="88" t="s">
        <v>104</v>
      </c>
      <c r="F89" s="89">
        <f>SUMIF('Jurnal Umum'!$C$119:$C$130,I85,'Jurnal Umum'!$D$119:$D$130)</f>
        <v>0</v>
      </c>
      <c r="G89" s="89">
        <f>SUMIF('Jurnal Umum'!$C$119:$C$130,I85,'Jurnal Umum'!$E$119:$E$130)</f>
        <v>0</v>
      </c>
      <c r="H89" s="90">
        <f t="shared" ref="H89:H90" si="36">H88+F89-G89</f>
        <v>0</v>
      </c>
      <c r="I89" s="86">
        <f>IF(I88+G89-F89&lt;0,"",I88+G89-F89)</f>
        <v>1064400000</v>
      </c>
      <c r="K89" s="87"/>
      <c r="L89" s="82">
        <v>31.0</v>
      </c>
      <c r="M89" s="83"/>
      <c r="N89" s="88" t="s">
        <v>104</v>
      </c>
      <c r="O89" s="89">
        <f>SUMIF('Jurnal Umum'!$C$119:$C$130,R85,'Jurnal Umum'!$D$119:$D$130)</f>
        <v>0</v>
      </c>
      <c r="P89" s="89">
        <f>SUMIF('Jurnal Umum'!$C$119:$C$130,R85,'Jurnal Umum'!$E$119:$E$130)</f>
        <v>0</v>
      </c>
      <c r="Q89" s="90">
        <f t="shared" ref="Q89:Q90" si="37">Q88+O89-P89</f>
        <v>0</v>
      </c>
      <c r="R89" s="86" t="str">
        <f>IF(and(Q88="",O88="",P88=""),"",IF(R88+P89-O89&lt;0,"",""))</f>
        <v/>
      </c>
      <c r="T89" s="87"/>
      <c r="U89" s="82">
        <v>31.0</v>
      </c>
      <c r="V89" s="83"/>
      <c r="W89" s="88" t="s">
        <v>104</v>
      </c>
      <c r="X89" s="89">
        <f>SUMIF('Jurnal Umum'!$C$119:$C$130,AA85,'Jurnal Umum'!$D$119:$D$130)</f>
        <v>0</v>
      </c>
      <c r="Y89" s="89">
        <f>SUMIF('Jurnal Umum'!$C$119:$C$130,AA85,'Jurnal Umum'!$E$119:$E$130)</f>
        <v>0</v>
      </c>
      <c r="Z89" s="90">
        <f t="shared" ref="Z89:Z90" si="38">Z88+X89-Y89</f>
        <v>15000000</v>
      </c>
      <c r="AA89" s="86">
        <f>IF(and(Z88="",X88="",Y88=""),"",AA88+Y89-X89)</f>
        <v>0</v>
      </c>
    </row>
    <row r="90" ht="15.75" customHeight="1">
      <c r="B90" s="87"/>
      <c r="C90" s="82">
        <v>31.0</v>
      </c>
      <c r="D90" s="83"/>
      <c r="E90" s="88" t="s">
        <v>105</v>
      </c>
      <c r="F90" s="89">
        <f>SUMIF('Jurnal Penyesuai'!$R$4:$R$21,I85,'Jurnal Penyesuai'!$S$4:$S$21)</f>
        <v>0</v>
      </c>
      <c r="G90" s="89">
        <f>SUMIF('Jurnal Penyesuai'!$R$4:$R$21,I85,'Jurnal Penyesuai'!$T$4:$T$21)</f>
        <v>336600000</v>
      </c>
      <c r="H90" s="90">
        <f t="shared" si="36"/>
        <v>-336600000</v>
      </c>
      <c r="I90" s="86" t="str">
        <f>IF(H89="",I89+G90-F90,"")</f>
        <v/>
      </c>
      <c r="K90" s="87"/>
      <c r="L90" s="82">
        <v>31.0</v>
      </c>
      <c r="M90" s="83"/>
      <c r="N90" s="88" t="s">
        <v>105</v>
      </c>
      <c r="O90" s="89">
        <f>SUMIF('Jurnal Penyesuai'!$R$4:$R$21,R85,'Jurnal Penyesuai'!$S$4:$S$21)</f>
        <v>0</v>
      </c>
      <c r="P90" s="89">
        <f>SUMIF('Jurnal Penyesuai'!$R$4:$R$21,R85,'Jurnal Penyesuai'!$T$4:$T$21)</f>
        <v>0</v>
      </c>
      <c r="Q90" s="90">
        <f t="shared" si="37"/>
        <v>0</v>
      </c>
      <c r="R90" s="86" t="str">
        <f>IF(Q89="",R89+P90-O90,"")</f>
        <v/>
      </c>
      <c r="T90" s="87"/>
      <c r="U90" s="82">
        <v>31.0</v>
      </c>
      <c r="V90" s="83"/>
      <c r="W90" s="88" t="s">
        <v>105</v>
      </c>
      <c r="X90" s="89">
        <f>SUMIF('Jurnal Penyesuai'!$R$4:$R$21,AA85,'Jurnal Penyesuai'!$S$4:$S$21)</f>
        <v>0</v>
      </c>
      <c r="Y90" s="89">
        <f>SUMIF('Jurnal Penyesuai'!$R$4:$R$21,AA85,'Jurnal Penyesuai'!$T$4:$T$21)</f>
        <v>2000000</v>
      </c>
      <c r="Z90" s="90">
        <f t="shared" si="38"/>
        <v>13000000</v>
      </c>
      <c r="AA90" s="86" t="str">
        <f>IF(Z89="",AA89+Y90-X90,"")</f>
        <v/>
      </c>
    </row>
    <row r="91" ht="15.75" customHeight="1">
      <c r="B91" s="91"/>
      <c r="C91" s="92"/>
      <c r="D91" s="92"/>
      <c r="E91" s="92"/>
      <c r="F91" s="93"/>
      <c r="G91" s="93"/>
      <c r="H91" s="94"/>
      <c r="I91" s="95"/>
      <c r="K91" s="91"/>
      <c r="L91" s="92"/>
      <c r="M91" s="92"/>
      <c r="N91" s="92"/>
      <c r="O91" s="93"/>
      <c r="P91" s="93"/>
      <c r="Q91" s="94"/>
      <c r="R91" s="95"/>
      <c r="T91" s="91"/>
      <c r="U91" s="92"/>
      <c r="V91" s="92"/>
      <c r="W91" s="92"/>
      <c r="X91" s="93"/>
      <c r="Y91" s="93"/>
      <c r="Z91" s="94"/>
      <c r="AA91" s="95"/>
    </row>
    <row r="92" ht="15.75" customHeight="1">
      <c r="AA92" s="97" t="s">
        <v>106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8">
    <mergeCell ref="T21:U21"/>
    <mergeCell ref="T22:V22"/>
    <mergeCell ref="B21:C21"/>
    <mergeCell ref="E21:G22"/>
    <mergeCell ref="K21:L21"/>
    <mergeCell ref="N21:P22"/>
    <mergeCell ref="W21:Y22"/>
    <mergeCell ref="B22:D22"/>
    <mergeCell ref="K22:M22"/>
    <mergeCell ref="W23:W24"/>
    <mergeCell ref="X23:X24"/>
    <mergeCell ref="M23:M24"/>
    <mergeCell ref="N23:N24"/>
    <mergeCell ref="O23:O24"/>
    <mergeCell ref="P23:P24"/>
    <mergeCell ref="Q23:R23"/>
    <mergeCell ref="T23:U24"/>
    <mergeCell ref="V23:V24"/>
    <mergeCell ref="Y23:Y24"/>
    <mergeCell ref="Z23:AA23"/>
    <mergeCell ref="B23:C24"/>
    <mergeCell ref="D23:D24"/>
    <mergeCell ref="E23:E24"/>
    <mergeCell ref="F23:F24"/>
    <mergeCell ref="G23:G24"/>
    <mergeCell ref="H23:I23"/>
    <mergeCell ref="K23:L24"/>
    <mergeCell ref="T30:U30"/>
    <mergeCell ref="T31:V31"/>
    <mergeCell ref="B30:C30"/>
    <mergeCell ref="E30:G31"/>
    <mergeCell ref="K30:L30"/>
    <mergeCell ref="N30:P31"/>
    <mergeCell ref="W30:Y31"/>
    <mergeCell ref="B31:D31"/>
    <mergeCell ref="K31:M31"/>
    <mergeCell ref="W32:W33"/>
    <mergeCell ref="X32:X33"/>
    <mergeCell ref="M32:M33"/>
    <mergeCell ref="N32:N33"/>
    <mergeCell ref="O32:O33"/>
    <mergeCell ref="P32:P33"/>
    <mergeCell ref="Q32:R32"/>
    <mergeCell ref="T32:U33"/>
    <mergeCell ref="V32:V33"/>
    <mergeCell ref="Y32:Y33"/>
    <mergeCell ref="Z32:AA32"/>
    <mergeCell ref="B32:C33"/>
    <mergeCell ref="D32:D33"/>
    <mergeCell ref="E32:E33"/>
    <mergeCell ref="F32:F33"/>
    <mergeCell ref="G32:G33"/>
    <mergeCell ref="H32:I32"/>
    <mergeCell ref="K32:L33"/>
    <mergeCell ref="T39:U39"/>
    <mergeCell ref="T40:V40"/>
    <mergeCell ref="B39:C39"/>
    <mergeCell ref="E39:G40"/>
    <mergeCell ref="K39:L39"/>
    <mergeCell ref="N39:P40"/>
    <mergeCell ref="W39:Y40"/>
    <mergeCell ref="B40:D40"/>
    <mergeCell ref="K40:M40"/>
    <mergeCell ref="E12:G13"/>
    <mergeCell ref="K12:L12"/>
    <mergeCell ref="N12:P13"/>
    <mergeCell ref="T12:U12"/>
    <mergeCell ref="W12:Y13"/>
    <mergeCell ref="K13:M13"/>
    <mergeCell ref="T13:V13"/>
    <mergeCell ref="B12:C12"/>
    <mergeCell ref="B14:C15"/>
    <mergeCell ref="D14:D15"/>
    <mergeCell ref="E14:E15"/>
    <mergeCell ref="F14:F15"/>
    <mergeCell ref="G14:G15"/>
    <mergeCell ref="H14:I14"/>
    <mergeCell ref="E3:G4"/>
    <mergeCell ref="K3:L3"/>
    <mergeCell ref="N3:P4"/>
    <mergeCell ref="T3:U3"/>
    <mergeCell ref="W3:Y4"/>
    <mergeCell ref="K4:M4"/>
    <mergeCell ref="T4:V4"/>
    <mergeCell ref="V5:V6"/>
    <mergeCell ref="W5:W6"/>
    <mergeCell ref="X5:X6"/>
    <mergeCell ref="Y5:Y6"/>
    <mergeCell ref="Z5:AA5"/>
    <mergeCell ref="K5:L6"/>
    <mergeCell ref="M5:M6"/>
    <mergeCell ref="N5:N6"/>
    <mergeCell ref="O5:O6"/>
    <mergeCell ref="P5:P6"/>
    <mergeCell ref="Q5:R5"/>
    <mergeCell ref="T5:U6"/>
    <mergeCell ref="B3:C3"/>
    <mergeCell ref="B5:C6"/>
    <mergeCell ref="D5:D6"/>
    <mergeCell ref="E5:E6"/>
    <mergeCell ref="F5:F6"/>
    <mergeCell ref="G5:G6"/>
    <mergeCell ref="H5:I5"/>
    <mergeCell ref="V14:V15"/>
    <mergeCell ref="W14:W15"/>
    <mergeCell ref="X14:X15"/>
    <mergeCell ref="Y14:Y15"/>
    <mergeCell ref="Z14:AA14"/>
    <mergeCell ref="K14:L15"/>
    <mergeCell ref="M14:M15"/>
    <mergeCell ref="N14:N15"/>
    <mergeCell ref="O14:O15"/>
    <mergeCell ref="P14:P15"/>
    <mergeCell ref="Q14:R14"/>
    <mergeCell ref="T14:U15"/>
    <mergeCell ref="Y59:Y60"/>
    <mergeCell ref="Z59:AA59"/>
    <mergeCell ref="B59:C60"/>
    <mergeCell ref="D59:D60"/>
    <mergeCell ref="E59:E60"/>
    <mergeCell ref="F59:F60"/>
    <mergeCell ref="G59:G60"/>
    <mergeCell ref="H59:I59"/>
    <mergeCell ref="K59:L60"/>
    <mergeCell ref="B86:C87"/>
    <mergeCell ref="D86:D87"/>
    <mergeCell ref="E86:E87"/>
    <mergeCell ref="F86:F87"/>
    <mergeCell ref="G86:G87"/>
    <mergeCell ref="H86:I86"/>
    <mergeCell ref="K86:L87"/>
    <mergeCell ref="W86:W87"/>
    <mergeCell ref="X86:X87"/>
    <mergeCell ref="Y86:Y87"/>
    <mergeCell ref="Z86:AA86"/>
    <mergeCell ref="M86:M87"/>
    <mergeCell ref="N86:N87"/>
    <mergeCell ref="O86:O87"/>
    <mergeCell ref="P86:P87"/>
    <mergeCell ref="Q86:R86"/>
    <mergeCell ref="T86:U87"/>
    <mergeCell ref="V86:V87"/>
    <mergeCell ref="T75:U75"/>
    <mergeCell ref="T76:V76"/>
    <mergeCell ref="B75:C75"/>
    <mergeCell ref="E75:G76"/>
    <mergeCell ref="K75:L75"/>
    <mergeCell ref="N75:P76"/>
    <mergeCell ref="W75:Y76"/>
    <mergeCell ref="B76:D76"/>
    <mergeCell ref="K76:M76"/>
    <mergeCell ref="W77:W78"/>
    <mergeCell ref="X77:X78"/>
    <mergeCell ref="Y77:Y78"/>
    <mergeCell ref="Z77:AA77"/>
    <mergeCell ref="M77:M78"/>
    <mergeCell ref="N77:N78"/>
    <mergeCell ref="O77:O78"/>
    <mergeCell ref="P77:P78"/>
    <mergeCell ref="Q77:R77"/>
    <mergeCell ref="T77:U78"/>
    <mergeCell ref="V77:V78"/>
    <mergeCell ref="B77:C78"/>
    <mergeCell ref="D77:D78"/>
    <mergeCell ref="E77:E78"/>
    <mergeCell ref="F77:F78"/>
    <mergeCell ref="G77:G78"/>
    <mergeCell ref="H77:I77"/>
    <mergeCell ref="K77:L78"/>
    <mergeCell ref="T84:U84"/>
    <mergeCell ref="T85:V85"/>
    <mergeCell ref="B84:C84"/>
    <mergeCell ref="E84:G85"/>
    <mergeCell ref="K84:L84"/>
    <mergeCell ref="N84:P85"/>
    <mergeCell ref="W84:Y85"/>
    <mergeCell ref="B85:D85"/>
    <mergeCell ref="K85:M85"/>
    <mergeCell ref="W41:W42"/>
    <mergeCell ref="X41:X42"/>
    <mergeCell ref="M41:M42"/>
    <mergeCell ref="N41:N42"/>
    <mergeCell ref="O41:O42"/>
    <mergeCell ref="P41:P42"/>
    <mergeCell ref="Q41:R41"/>
    <mergeCell ref="T41:U42"/>
    <mergeCell ref="V41:V42"/>
    <mergeCell ref="Y41:Y42"/>
    <mergeCell ref="Z41:AA41"/>
    <mergeCell ref="B41:C42"/>
    <mergeCell ref="D41:D42"/>
    <mergeCell ref="E41:E42"/>
    <mergeCell ref="F41:F42"/>
    <mergeCell ref="G41:G42"/>
    <mergeCell ref="H41:I41"/>
    <mergeCell ref="K41:L42"/>
    <mergeCell ref="T48:U48"/>
    <mergeCell ref="T49:V49"/>
    <mergeCell ref="B48:C48"/>
    <mergeCell ref="E48:G49"/>
    <mergeCell ref="K48:L48"/>
    <mergeCell ref="N48:P49"/>
    <mergeCell ref="W48:Y49"/>
    <mergeCell ref="B49:D49"/>
    <mergeCell ref="K49:M49"/>
    <mergeCell ref="W50:W51"/>
    <mergeCell ref="X50:X51"/>
    <mergeCell ref="M50:M51"/>
    <mergeCell ref="N50:N51"/>
    <mergeCell ref="O50:O51"/>
    <mergeCell ref="P50:P51"/>
    <mergeCell ref="Q50:R50"/>
    <mergeCell ref="T50:U51"/>
    <mergeCell ref="V50:V51"/>
    <mergeCell ref="Y50:Y51"/>
    <mergeCell ref="Z50:AA50"/>
    <mergeCell ref="B50:C51"/>
    <mergeCell ref="D50:D51"/>
    <mergeCell ref="E50:E51"/>
    <mergeCell ref="F50:F51"/>
    <mergeCell ref="G50:G51"/>
    <mergeCell ref="H50:I50"/>
    <mergeCell ref="K50:L51"/>
    <mergeCell ref="T57:U57"/>
    <mergeCell ref="T58:V58"/>
    <mergeCell ref="B57:C57"/>
    <mergeCell ref="E57:G58"/>
    <mergeCell ref="K57:L57"/>
    <mergeCell ref="N57:P58"/>
    <mergeCell ref="W57:Y58"/>
    <mergeCell ref="B58:D58"/>
    <mergeCell ref="K58:M58"/>
    <mergeCell ref="W59:W60"/>
    <mergeCell ref="X59:X60"/>
    <mergeCell ref="M59:M60"/>
    <mergeCell ref="N59:N60"/>
    <mergeCell ref="O59:O60"/>
    <mergeCell ref="P59:P60"/>
    <mergeCell ref="Q59:R59"/>
    <mergeCell ref="T59:U60"/>
    <mergeCell ref="V59:V60"/>
    <mergeCell ref="T66:U66"/>
    <mergeCell ref="T67:V67"/>
    <mergeCell ref="B66:C66"/>
    <mergeCell ref="E66:G67"/>
    <mergeCell ref="K66:L66"/>
    <mergeCell ref="N66:P67"/>
    <mergeCell ref="W66:Y67"/>
    <mergeCell ref="B67:D67"/>
    <mergeCell ref="K67:M67"/>
    <mergeCell ref="W68:W69"/>
    <mergeCell ref="X68:X69"/>
    <mergeCell ref="Y68:Y69"/>
    <mergeCell ref="Z68:AA68"/>
    <mergeCell ref="M68:M69"/>
    <mergeCell ref="N68:N69"/>
    <mergeCell ref="O68:O69"/>
    <mergeCell ref="P68:P69"/>
    <mergeCell ref="Q68:R68"/>
    <mergeCell ref="T68:U69"/>
    <mergeCell ref="V68:V69"/>
    <mergeCell ref="B68:C69"/>
    <mergeCell ref="D68:D69"/>
    <mergeCell ref="E68:E69"/>
    <mergeCell ref="F68:F69"/>
    <mergeCell ref="G68:G69"/>
    <mergeCell ref="H68:I68"/>
    <mergeCell ref="K68:L69"/>
  </mergeCells>
  <dataValidations>
    <dataValidation type="list" allowBlank="1" showErrorMessage="1" sqref="D4 K4 T4 D13 K13 T13 B22 K22 T22 B31 K31 T31 B40 K40 T40 B49 K49 T49 B58 K58 T58 B67 K67 T67 B76 K76 T76 B85 K85 T85">
      <formula1>'balance sheet'!$C$5:$C$38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5"/>
    <col customWidth="1" min="2" max="2" width="4.75"/>
    <col customWidth="1" min="3" max="3" width="12.63"/>
    <col customWidth="1" min="4" max="4" width="24.13"/>
    <col customWidth="1" min="5" max="5" width="13.63"/>
    <col customWidth="1" min="6" max="6" width="12.63"/>
    <col customWidth="1" min="8" max="8" width="4.88"/>
    <col customWidth="1" min="10" max="10" width="4.25"/>
    <col customWidth="1" min="16" max="16" width="5.88"/>
  </cols>
  <sheetData>
    <row r="1" ht="15.75" customHeight="1"/>
    <row r="2" ht="15.75" customHeight="1">
      <c r="B2" s="24"/>
      <c r="C2" s="25" t="s">
        <v>50</v>
      </c>
      <c r="D2" s="26"/>
      <c r="E2" s="26"/>
      <c r="F2" s="26"/>
      <c r="G2" s="26"/>
      <c r="H2" s="27"/>
      <c r="J2" s="24"/>
      <c r="K2" s="25" t="s">
        <v>50</v>
      </c>
      <c r="L2" s="26"/>
      <c r="M2" s="26"/>
      <c r="N2" s="26"/>
      <c r="O2" s="26"/>
      <c r="P2" s="27"/>
      <c r="R2" s="50" t="s">
        <v>93</v>
      </c>
      <c r="S2" s="10"/>
      <c r="T2" s="3"/>
    </row>
    <row r="3" ht="15.75" customHeight="1">
      <c r="B3" s="28"/>
      <c r="C3" s="23"/>
      <c r="D3" s="23"/>
      <c r="E3" s="23"/>
      <c r="F3" s="23"/>
      <c r="G3" s="23"/>
      <c r="H3" s="29"/>
      <c r="J3" s="28"/>
      <c r="K3" s="23"/>
      <c r="L3" s="23"/>
      <c r="M3" s="23"/>
      <c r="N3" s="23"/>
      <c r="O3" s="23"/>
      <c r="P3" s="29"/>
      <c r="R3" s="51" t="s">
        <v>57</v>
      </c>
      <c r="S3" s="51" t="s">
        <v>59</v>
      </c>
      <c r="T3" s="51" t="s">
        <v>60</v>
      </c>
    </row>
    <row r="4" ht="15.75" customHeight="1">
      <c r="B4" s="28"/>
      <c r="C4" s="23"/>
      <c r="D4" s="23"/>
      <c r="E4" s="23"/>
      <c r="F4" s="30" t="s">
        <v>107</v>
      </c>
      <c r="G4" s="31"/>
      <c r="H4" s="29"/>
      <c r="J4" s="28"/>
      <c r="K4" s="23"/>
      <c r="L4" s="23"/>
      <c r="M4" s="23"/>
      <c r="N4" s="30" t="s">
        <v>108</v>
      </c>
      <c r="O4" s="31"/>
      <c r="P4" s="29"/>
      <c r="R4" s="5">
        <v>100.0</v>
      </c>
      <c r="S4" s="20">
        <f t="shared" ref="S4:T4" si="1">SUMIF($C:$C,$R4,F:F)+SUMIF($K:$K,$R4,N:N)</f>
        <v>990000</v>
      </c>
      <c r="T4" s="20">
        <f t="shared" si="1"/>
        <v>0</v>
      </c>
    </row>
    <row r="5" ht="15.75" customHeight="1">
      <c r="B5" s="28"/>
      <c r="C5" s="23" t="s">
        <v>53</v>
      </c>
      <c r="D5" s="32">
        <v>43585.0</v>
      </c>
      <c r="E5" s="31"/>
      <c r="F5" s="31"/>
      <c r="G5" s="31"/>
      <c r="H5" s="29"/>
      <c r="J5" s="28"/>
      <c r="K5" s="23" t="s">
        <v>53</v>
      </c>
      <c r="L5" s="32">
        <v>43585.0</v>
      </c>
      <c r="M5" s="31"/>
      <c r="N5" s="31"/>
      <c r="O5" s="31"/>
      <c r="P5" s="29"/>
      <c r="R5" s="5">
        <v>103.0</v>
      </c>
      <c r="S5" s="20">
        <f t="shared" ref="S5:S21" si="2">SUMIF($C:$C,R5,F:F)+SUMIF($K:$K,R5,N:N)</f>
        <v>20300000</v>
      </c>
      <c r="T5" s="20">
        <f t="shared" ref="T5:T21" si="3">SUMIF($C:$C,$R5,G:G)+SUMIF($K:$K,$R5,O:O)</f>
        <v>22450000</v>
      </c>
    </row>
    <row r="6" ht="15.75" customHeight="1">
      <c r="B6" s="28"/>
      <c r="C6" s="23" t="s">
        <v>54</v>
      </c>
      <c r="D6" s="33" t="s">
        <v>109</v>
      </c>
      <c r="E6" s="31"/>
      <c r="F6" s="31"/>
      <c r="G6" s="31"/>
      <c r="H6" s="29"/>
      <c r="J6" s="28"/>
      <c r="K6" s="23" t="s">
        <v>54</v>
      </c>
      <c r="L6" s="33" t="s">
        <v>110</v>
      </c>
      <c r="M6" s="31"/>
      <c r="N6" s="31"/>
      <c r="O6" s="31"/>
      <c r="P6" s="29"/>
      <c r="R6" s="5">
        <v>104.0</v>
      </c>
      <c r="S6" s="20">
        <f t="shared" si="2"/>
        <v>0</v>
      </c>
      <c r="T6" s="20">
        <f t="shared" si="3"/>
        <v>1300000</v>
      </c>
    </row>
    <row r="7" ht="15.75" customHeight="1">
      <c r="B7" s="28"/>
      <c r="C7" s="23"/>
      <c r="D7" s="33"/>
      <c r="E7" s="31"/>
      <c r="F7" s="31"/>
      <c r="G7" s="31"/>
      <c r="H7" s="29"/>
      <c r="J7" s="28"/>
      <c r="K7" s="23"/>
      <c r="L7" s="33"/>
      <c r="M7" s="31"/>
      <c r="N7" s="31"/>
      <c r="O7" s="31"/>
      <c r="P7" s="29"/>
      <c r="R7" s="5">
        <v>105.0</v>
      </c>
      <c r="S7" s="20">
        <f t="shared" si="2"/>
        <v>0</v>
      </c>
      <c r="T7" s="20">
        <f t="shared" si="3"/>
        <v>500000</v>
      </c>
    </row>
    <row r="8" ht="15.75" customHeight="1">
      <c r="B8" s="28"/>
      <c r="C8" s="23"/>
      <c r="D8" s="34"/>
      <c r="E8" s="34"/>
      <c r="F8" s="34"/>
      <c r="G8" s="34"/>
      <c r="H8" s="29"/>
      <c r="J8" s="28"/>
      <c r="K8" s="23"/>
      <c r="L8" s="34"/>
      <c r="M8" s="34"/>
      <c r="N8" s="34"/>
      <c r="O8" s="34"/>
      <c r="P8" s="29"/>
      <c r="R8" s="5">
        <v>106.0</v>
      </c>
      <c r="S8" s="20">
        <f t="shared" si="2"/>
        <v>0</v>
      </c>
      <c r="T8" s="20">
        <f t="shared" si="3"/>
        <v>400000</v>
      </c>
    </row>
    <row r="9" ht="15.75" customHeight="1">
      <c r="B9" s="28"/>
      <c r="C9" s="35" t="s">
        <v>57</v>
      </c>
      <c r="D9" s="35" t="s">
        <v>58</v>
      </c>
      <c r="E9" s="3"/>
      <c r="F9" s="36" t="s">
        <v>59</v>
      </c>
      <c r="G9" s="36" t="s">
        <v>60</v>
      </c>
      <c r="H9" s="29"/>
      <c r="J9" s="28"/>
      <c r="K9" s="35" t="s">
        <v>57</v>
      </c>
      <c r="L9" s="35" t="s">
        <v>58</v>
      </c>
      <c r="M9" s="3"/>
      <c r="N9" s="36" t="s">
        <v>59</v>
      </c>
      <c r="O9" s="36" t="s">
        <v>60</v>
      </c>
      <c r="P9" s="29"/>
      <c r="R9" s="5">
        <v>107.0</v>
      </c>
      <c r="S9" s="20">
        <f t="shared" si="2"/>
        <v>0</v>
      </c>
      <c r="T9" s="20">
        <f t="shared" si="3"/>
        <v>25000</v>
      </c>
    </row>
    <row r="10" ht="15.75" customHeight="1">
      <c r="B10" s="28"/>
      <c r="C10" s="37">
        <f t="array" ref="C10">IFERROR(IF(D10&lt;&gt;"",XLOOKUP(D10,'balance sheet'!$C$5:$C$38,'balance sheet'!$B$5:$B$38),XLOOKUP(E10,'balance sheet'!$C$5:$C$38,'balance sheet'!$B$5:$B$38)),"")</f>
        <v>600</v>
      </c>
      <c r="D10" s="38" t="s">
        <v>26</v>
      </c>
      <c r="E10" s="39"/>
      <c r="F10" s="98">
        <f>60%*1300000</f>
        <v>780000</v>
      </c>
      <c r="G10" s="98"/>
      <c r="H10" s="29"/>
      <c r="J10" s="28"/>
      <c r="K10" s="37">
        <f t="array" ref="K10">IFERROR(IF(L10&lt;&gt;"",XLOOKUP(L10,'balance sheet'!$C$5:$C$38,'balance sheet'!$B$5:$B$38),XLOOKUP(M10,'balance sheet'!$C$5:$C$38,'balance sheet'!$B$5:$B$38)),"")</f>
        <v>603</v>
      </c>
      <c r="L10" s="38" t="s">
        <v>29</v>
      </c>
      <c r="M10" s="39"/>
      <c r="N10" s="98">
        <v>400000.0</v>
      </c>
      <c r="O10" s="98"/>
      <c r="P10" s="29"/>
      <c r="R10" s="5">
        <v>201.0</v>
      </c>
      <c r="S10" s="20">
        <f t="shared" si="2"/>
        <v>0</v>
      </c>
      <c r="T10" s="20">
        <f t="shared" si="3"/>
        <v>80000</v>
      </c>
    </row>
    <row r="11" ht="15.75" customHeight="1">
      <c r="B11" s="28"/>
      <c r="C11" s="37">
        <f t="array" ref="C11">IFERROR(IF(D11&lt;&gt;"",XLOOKUP(D11,'balance sheet'!$C$5:$C$38,'balance sheet'!$B$5:$B$38),XLOOKUP(E11,'balance sheet'!$C$5:$C$38,'balance sheet'!$B$5:$B$38)),"")</f>
        <v>601</v>
      </c>
      <c r="D11" s="38" t="s">
        <v>27</v>
      </c>
      <c r="E11" s="39"/>
      <c r="F11" s="98">
        <f>1300000-F10</f>
        <v>520000</v>
      </c>
      <c r="G11" s="98"/>
      <c r="H11" s="29"/>
      <c r="J11" s="28"/>
      <c r="K11" s="37">
        <f t="array" ref="K11">IFERROR(IF(L11&lt;&gt;"",XLOOKUP(L11,'balance sheet'!$C$5:$C$38,'balance sheet'!$B$5:$B$38),XLOOKUP(M11,'balance sheet'!$C$5:$C$38,'balance sheet'!$B$5:$B$38)),"")</f>
        <v>106</v>
      </c>
      <c r="L11" s="38"/>
      <c r="M11" s="39" t="s">
        <v>10</v>
      </c>
      <c r="N11" s="98"/>
      <c r="O11" s="98">
        <v>400000.0</v>
      </c>
      <c r="P11" s="29"/>
      <c r="R11" s="5">
        <v>303.0</v>
      </c>
      <c r="S11" s="20">
        <f t="shared" si="2"/>
        <v>22450000</v>
      </c>
      <c r="T11" s="20">
        <f t="shared" si="3"/>
        <v>20300000</v>
      </c>
    </row>
    <row r="12" ht="15.75" customHeight="1">
      <c r="B12" s="28"/>
      <c r="C12" s="37">
        <f t="array" ref="C12">IFERROR(IF(D12&lt;&gt;"",XLOOKUP(D12,'balance sheet'!$C$5:$C$38,'balance sheet'!$B$5:$B$38),XLOOKUP(E12,'balance sheet'!$C$5:$C$38,'balance sheet'!$B$5:$B$38)),"")</f>
        <v>104</v>
      </c>
      <c r="D12" s="41"/>
      <c r="E12" s="39" t="s">
        <v>8</v>
      </c>
      <c r="F12" s="98"/>
      <c r="G12" s="98">
        <f>1300000</f>
        <v>1300000</v>
      </c>
      <c r="H12" s="29"/>
      <c r="J12" s="28"/>
      <c r="K12" s="37" t="str">
        <f t="array" ref="K12">IFERROR(IF(L12&lt;&gt;"",XLOOKUP(L12,'balance sheet'!$C$5:$C$38,'balance sheet'!$B$5:$B$38),XLOOKUP(M12,'balance sheet'!$C$5:$C$38,'balance sheet'!$B$5:$B$38)),"")</f>
        <v/>
      </c>
      <c r="L12" s="38"/>
      <c r="M12" s="39"/>
      <c r="N12" s="98"/>
      <c r="O12" s="98"/>
      <c r="P12" s="29"/>
      <c r="R12" s="5">
        <v>600.0</v>
      </c>
      <c r="S12" s="20">
        <f t="shared" si="2"/>
        <v>780000</v>
      </c>
      <c r="T12" s="20">
        <f t="shared" si="3"/>
        <v>0</v>
      </c>
    </row>
    <row r="13" ht="15.75" customHeight="1">
      <c r="B13" s="28"/>
      <c r="C13" s="37" t="str">
        <f t="array" ref="C13">IFERROR(IF(D13&lt;&gt;"",XLOOKUP(D13,'balance sheet'!$C$5:$C$38,'balance sheet'!$B$5:$B$38),XLOOKUP(E13,'balance sheet'!$C$5:$C$38,'balance sheet'!$B$5:$B$38)),"")</f>
        <v/>
      </c>
      <c r="D13" s="41"/>
      <c r="E13" s="39"/>
      <c r="F13" s="98"/>
      <c r="G13" s="98"/>
      <c r="H13" s="29"/>
      <c r="J13" s="28"/>
      <c r="K13" s="37" t="str">
        <f t="array" ref="K13">IFERROR(IF(L13&lt;&gt;"",XLOOKUP(L13,'balance sheet'!$C$5:$C$38,'balance sheet'!$B$5:$B$38),XLOOKUP(M13,'balance sheet'!$C$5:$C$38,'balance sheet'!$B$5:$B$38)),"")</f>
        <v/>
      </c>
      <c r="L13" s="41"/>
      <c r="M13" s="39"/>
      <c r="N13" s="98"/>
      <c r="O13" s="98"/>
      <c r="P13" s="29"/>
      <c r="R13" s="5">
        <v>601.0</v>
      </c>
      <c r="S13" s="20">
        <f t="shared" si="2"/>
        <v>520000</v>
      </c>
      <c r="T13" s="20">
        <f t="shared" si="3"/>
        <v>0</v>
      </c>
    </row>
    <row r="14" ht="15.75" customHeight="1">
      <c r="B14" s="28"/>
      <c r="C14" s="23"/>
      <c r="D14" s="23"/>
      <c r="E14" s="23"/>
      <c r="F14" s="23"/>
      <c r="G14" s="23"/>
      <c r="H14" s="29"/>
      <c r="J14" s="28"/>
      <c r="K14" s="23"/>
      <c r="L14" s="23"/>
      <c r="M14" s="23"/>
      <c r="N14" s="23"/>
      <c r="O14" s="23"/>
      <c r="P14" s="29"/>
      <c r="R14" s="5">
        <v>602.0</v>
      </c>
      <c r="S14" s="20">
        <f t="shared" si="2"/>
        <v>500000</v>
      </c>
      <c r="T14" s="20">
        <f t="shared" si="3"/>
        <v>0</v>
      </c>
    </row>
    <row r="15" ht="15.75" customHeight="1">
      <c r="B15" s="28"/>
      <c r="C15" s="23" t="s">
        <v>64</v>
      </c>
      <c r="E15" s="23" t="s">
        <v>65</v>
      </c>
      <c r="F15" s="23"/>
      <c r="G15" s="23" t="s">
        <v>66</v>
      </c>
      <c r="H15" s="29"/>
      <c r="J15" s="28"/>
      <c r="K15" s="23" t="s">
        <v>64</v>
      </c>
      <c r="M15" s="23" t="s">
        <v>65</v>
      </c>
      <c r="N15" s="23"/>
      <c r="O15" s="23" t="s">
        <v>66</v>
      </c>
      <c r="P15" s="29"/>
      <c r="R15" s="5">
        <v>603.0</v>
      </c>
      <c r="S15" s="20">
        <f t="shared" si="2"/>
        <v>400000</v>
      </c>
      <c r="T15" s="20">
        <f t="shared" si="3"/>
        <v>0</v>
      </c>
    </row>
    <row r="16" ht="15.75" customHeight="1">
      <c r="B16" s="28"/>
      <c r="C16" s="23"/>
      <c r="D16" s="23"/>
      <c r="E16" s="23"/>
      <c r="F16" s="23"/>
      <c r="G16" s="23"/>
      <c r="H16" s="29"/>
      <c r="J16" s="28"/>
      <c r="K16" s="23"/>
      <c r="L16" s="23"/>
      <c r="M16" s="23"/>
      <c r="N16" s="23"/>
      <c r="O16" s="23"/>
      <c r="P16" s="29"/>
      <c r="R16" s="5">
        <v>604.0</v>
      </c>
      <c r="S16" s="20">
        <f t="shared" si="2"/>
        <v>25000</v>
      </c>
      <c r="T16" s="20">
        <f t="shared" si="3"/>
        <v>0</v>
      </c>
    </row>
    <row r="17" ht="15.75" customHeight="1">
      <c r="B17" s="28"/>
      <c r="C17" s="23"/>
      <c r="D17" s="23"/>
      <c r="E17" s="23"/>
      <c r="F17" s="23"/>
      <c r="G17" s="23"/>
      <c r="H17" s="29"/>
      <c r="J17" s="28"/>
      <c r="K17" s="23"/>
      <c r="L17" s="23"/>
      <c r="M17" s="23"/>
      <c r="N17" s="23"/>
      <c r="O17" s="23"/>
      <c r="P17" s="29"/>
      <c r="R17" s="5">
        <v>605.0</v>
      </c>
      <c r="S17" s="20">
        <f t="shared" si="2"/>
        <v>336600000</v>
      </c>
      <c r="T17" s="20">
        <f t="shared" si="3"/>
        <v>0</v>
      </c>
    </row>
    <row r="18" ht="15.75" customHeight="1">
      <c r="B18" s="28"/>
      <c r="C18" s="23"/>
      <c r="D18" s="23"/>
      <c r="E18" s="23"/>
      <c r="F18" s="23"/>
      <c r="G18" s="23"/>
      <c r="H18" s="29"/>
      <c r="J18" s="28"/>
      <c r="K18" s="23"/>
      <c r="L18" s="23"/>
      <c r="M18" s="23"/>
      <c r="N18" s="23"/>
      <c r="O18" s="23"/>
      <c r="P18" s="29"/>
      <c r="R18" s="5">
        <v>109.0</v>
      </c>
      <c r="S18" s="20">
        <f t="shared" si="2"/>
        <v>0</v>
      </c>
      <c r="T18" s="20">
        <f t="shared" si="3"/>
        <v>336600000</v>
      </c>
    </row>
    <row r="19" ht="15.75" customHeight="1">
      <c r="B19" s="28"/>
      <c r="C19" s="23"/>
      <c r="D19" s="23"/>
      <c r="E19" s="23"/>
      <c r="F19" s="23"/>
      <c r="G19" s="23"/>
      <c r="H19" s="29"/>
      <c r="J19" s="28"/>
      <c r="K19" s="23"/>
      <c r="L19" s="23"/>
      <c r="M19" s="23"/>
      <c r="N19" s="23"/>
      <c r="O19" s="23"/>
      <c r="P19" s="29"/>
      <c r="R19" s="5">
        <v>609.0</v>
      </c>
      <c r="S19" s="20">
        <f t="shared" si="2"/>
        <v>1010000</v>
      </c>
      <c r="T19" s="20">
        <f t="shared" si="3"/>
        <v>0</v>
      </c>
    </row>
    <row r="20" ht="15.75" customHeight="1">
      <c r="B20" s="28"/>
      <c r="C20" s="23"/>
      <c r="D20" s="23"/>
      <c r="E20" s="23"/>
      <c r="F20" s="23"/>
      <c r="G20" s="23"/>
      <c r="H20" s="29"/>
      <c r="J20" s="28"/>
      <c r="K20" s="23"/>
      <c r="L20" s="23"/>
      <c r="M20" s="23"/>
      <c r="N20" s="23"/>
      <c r="O20" s="23"/>
      <c r="P20" s="29"/>
      <c r="R20" s="99">
        <v>610.0</v>
      </c>
      <c r="S20" s="100">
        <f t="shared" si="2"/>
        <v>80000</v>
      </c>
      <c r="T20" s="100">
        <f t="shared" si="3"/>
        <v>0</v>
      </c>
    </row>
    <row r="21" ht="15.75" customHeight="1">
      <c r="B21" s="28"/>
      <c r="C21" s="23"/>
      <c r="D21" s="23"/>
      <c r="E21" s="23"/>
      <c r="F21" s="23"/>
      <c r="G21" s="23"/>
      <c r="H21" s="29"/>
      <c r="J21" s="28"/>
      <c r="K21" s="23"/>
      <c r="L21" s="23"/>
      <c r="M21" s="23"/>
      <c r="N21" s="23"/>
      <c r="O21" s="23"/>
      <c r="P21" s="29"/>
      <c r="R21" s="99">
        <v>700.0</v>
      </c>
      <c r="S21" s="100">
        <f t="shared" si="2"/>
        <v>0</v>
      </c>
      <c r="T21" s="100">
        <f t="shared" si="3"/>
        <v>2000000</v>
      </c>
    </row>
    <row r="22" ht="15.75" customHeight="1">
      <c r="B22" s="28"/>
      <c r="C22" s="42"/>
      <c r="D22" s="23"/>
      <c r="E22" s="42"/>
      <c r="F22" s="23"/>
      <c r="G22" s="42"/>
      <c r="H22" s="29"/>
      <c r="J22" s="28"/>
      <c r="K22" s="42"/>
      <c r="L22" s="23"/>
      <c r="M22" s="42"/>
      <c r="N22" s="23"/>
      <c r="O22" s="42"/>
      <c r="P22" s="29"/>
      <c r="R22" s="5"/>
      <c r="S22" s="20">
        <f t="shared" ref="S22:T22" si="4">SUM(S4:S21)</f>
        <v>383655000</v>
      </c>
      <c r="T22" s="20">
        <f t="shared" si="4"/>
        <v>383655000</v>
      </c>
    </row>
    <row r="23" ht="15.75" customHeight="1">
      <c r="B23" s="41"/>
      <c r="C23" s="42"/>
      <c r="D23" s="42"/>
      <c r="E23" s="42"/>
      <c r="F23" s="42"/>
      <c r="G23" s="42"/>
      <c r="H23" s="39"/>
      <c r="J23" s="41"/>
      <c r="K23" s="42"/>
      <c r="L23" s="42"/>
      <c r="M23" s="42"/>
      <c r="N23" s="42"/>
      <c r="O23" s="42"/>
      <c r="P23" s="39"/>
    </row>
    <row r="24" ht="15.75" customHeight="1"/>
    <row r="25" ht="15.75" customHeight="1">
      <c r="B25" s="24"/>
      <c r="C25" s="25" t="s">
        <v>50</v>
      </c>
      <c r="D25" s="26"/>
      <c r="E25" s="26"/>
      <c r="F25" s="26"/>
      <c r="G25" s="26"/>
      <c r="H25" s="27"/>
      <c r="J25" s="101"/>
      <c r="K25" s="102" t="s">
        <v>50</v>
      </c>
      <c r="L25" s="26"/>
      <c r="M25" s="26"/>
      <c r="N25" s="26"/>
      <c r="O25" s="26"/>
      <c r="P25" s="103"/>
    </row>
    <row r="26" ht="15.75" customHeight="1">
      <c r="B26" s="28"/>
      <c r="C26" s="23"/>
      <c r="D26" s="23"/>
      <c r="E26" s="23"/>
      <c r="F26" s="23"/>
      <c r="G26" s="23"/>
      <c r="H26" s="29"/>
      <c r="J26" s="104"/>
      <c r="K26" s="54"/>
      <c r="L26" s="54"/>
      <c r="M26" s="54"/>
      <c r="N26" s="54"/>
      <c r="O26" s="54"/>
      <c r="P26" s="105"/>
    </row>
    <row r="27" ht="15.75" customHeight="1">
      <c r="B27" s="28"/>
      <c r="C27" s="23"/>
      <c r="D27" s="23"/>
      <c r="E27" s="23"/>
      <c r="F27" s="30" t="s">
        <v>111</v>
      </c>
      <c r="G27" s="31"/>
      <c r="H27" s="29"/>
      <c r="J27" s="104"/>
      <c r="K27" s="54"/>
      <c r="L27" s="54"/>
      <c r="M27" s="54"/>
      <c r="N27" s="106" t="s">
        <v>112</v>
      </c>
      <c r="O27" s="31"/>
      <c r="P27" s="105"/>
    </row>
    <row r="28" ht="15.75" customHeight="1">
      <c r="B28" s="28"/>
      <c r="C28" s="23" t="s">
        <v>53</v>
      </c>
      <c r="D28" s="32">
        <v>43585.0</v>
      </c>
      <c r="E28" s="31"/>
      <c r="F28" s="31"/>
      <c r="G28" s="31"/>
      <c r="H28" s="29"/>
      <c r="J28" s="104"/>
      <c r="K28" s="107" t="s">
        <v>53</v>
      </c>
      <c r="L28" s="108">
        <v>43585.0</v>
      </c>
      <c r="M28" s="31"/>
      <c r="N28" s="31"/>
      <c r="O28" s="31"/>
      <c r="P28" s="105"/>
    </row>
    <row r="29" ht="15.75" customHeight="1">
      <c r="B29" s="28"/>
      <c r="C29" s="23" t="s">
        <v>54</v>
      </c>
      <c r="D29" s="33" t="s">
        <v>113</v>
      </c>
      <c r="E29" s="31"/>
      <c r="F29" s="31"/>
      <c r="G29" s="31"/>
      <c r="H29" s="29"/>
      <c r="J29" s="104"/>
      <c r="K29" s="107" t="s">
        <v>54</v>
      </c>
      <c r="L29" s="109" t="s">
        <v>36</v>
      </c>
      <c r="M29" s="31"/>
      <c r="N29" s="31"/>
      <c r="O29" s="31"/>
      <c r="P29" s="105"/>
    </row>
    <row r="30" ht="15.75" customHeight="1">
      <c r="B30" s="28"/>
      <c r="C30" s="23"/>
      <c r="D30" s="33"/>
      <c r="E30" s="31"/>
      <c r="F30" s="31"/>
      <c r="G30" s="31"/>
      <c r="H30" s="29"/>
      <c r="J30" s="104"/>
      <c r="K30" s="54"/>
      <c r="L30" s="67"/>
      <c r="M30" s="31"/>
      <c r="N30" s="31"/>
      <c r="O30" s="31"/>
      <c r="P30" s="105"/>
    </row>
    <row r="31" ht="15.75" customHeight="1">
      <c r="B31" s="28"/>
      <c r="C31" s="23"/>
      <c r="D31" s="34"/>
      <c r="E31" s="34"/>
      <c r="F31" s="34"/>
      <c r="G31" s="34"/>
      <c r="H31" s="29"/>
      <c r="J31" s="104"/>
      <c r="K31" s="54"/>
      <c r="L31" s="54"/>
      <c r="M31" s="54"/>
      <c r="N31" s="54"/>
      <c r="O31" s="54"/>
      <c r="P31" s="105"/>
    </row>
    <row r="32" ht="15.75" customHeight="1">
      <c r="B32" s="28"/>
      <c r="C32" s="35" t="s">
        <v>57</v>
      </c>
      <c r="D32" s="35" t="s">
        <v>58</v>
      </c>
      <c r="E32" s="3"/>
      <c r="F32" s="36" t="s">
        <v>59</v>
      </c>
      <c r="G32" s="36" t="s">
        <v>60</v>
      </c>
      <c r="H32" s="29"/>
      <c r="J32" s="104"/>
      <c r="K32" s="110" t="s">
        <v>57</v>
      </c>
      <c r="L32" s="110" t="s">
        <v>58</v>
      </c>
      <c r="M32" s="3"/>
      <c r="N32" s="111" t="s">
        <v>59</v>
      </c>
      <c r="O32" s="111" t="s">
        <v>60</v>
      </c>
      <c r="P32" s="105"/>
    </row>
    <row r="33" ht="15.75" customHeight="1">
      <c r="B33" s="28"/>
      <c r="C33" s="37">
        <f t="array" ref="C33">IFERROR(IF(D33&lt;&gt;"",XLOOKUP(D33,'balance sheet'!$C$5:$C$38,'balance sheet'!$B$5:$B$38),XLOOKUP(E33,'balance sheet'!$C$5:$C$38,'balance sheet'!$B$5:$B$38)),"")</f>
        <v>103</v>
      </c>
      <c r="D33" s="38" t="s">
        <v>7</v>
      </c>
      <c r="E33" s="39"/>
      <c r="F33" s="98">
        <v>2.03E7</v>
      </c>
      <c r="G33" s="98"/>
      <c r="H33" s="29"/>
      <c r="J33" s="104"/>
      <c r="K33" s="112">
        <f t="array" ref="K33">IFERROR(IF(L33&lt;&gt;"",XLOOKUP(L33,'balance sheet'!$C$5:$C$38,'balance sheet'!$B$5:$B$38),XLOOKUP(M33,'balance sheet'!$C$5:$C$38,'balance sheet'!$B$5:$B$38)),"")</f>
        <v>100</v>
      </c>
      <c r="L33" s="113" t="s">
        <v>4</v>
      </c>
      <c r="M33" s="114"/>
      <c r="N33" s="115">
        <v>990000.0</v>
      </c>
      <c r="O33" s="116"/>
      <c r="P33" s="105"/>
    </row>
    <row r="34" ht="15.75" customHeight="1">
      <c r="B34" s="28"/>
      <c r="C34" s="37">
        <f t="array" ref="C34">IFERROR(IF(D34&lt;&gt;"",XLOOKUP(D34,'balance sheet'!$C$5:$C$38,'balance sheet'!$B$5:$B$38),XLOOKUP(E34,'balance sheet'!$C$5:$C$38,'balance sheet'!$B$5:$B$38)),"")</f>
        <v>303</v>
      </c>
      <c r="D34" s="38"/>
      <c r="E34" s="39" t="s">
        <v>21</v>
      </c>
      <c r="F34" s="98"/>
      <c r="G34" s="98">
        <v>2.03E7</v>
      </c>
      <c r="H34" s="29"/>
      <c r="J34" s="104"/>
      <c r="K34" s="112">
        <f t="array" ref="K34">IFERROR(IF(L34&lt;&gt;"",XLOOKUP(L34,'balance sheet'!$C$5:$C$38,'balance sheet'!$B$5:$B$38),XLOOKUP(M34,'balance sheet'!$C$5:$C$38,'balance sheet'!$B$5:$B$38)),"")</f>
        <v>609</v>
      </c>
      <c r="L34" s="113" t="s">
        <v>34</v>
      </c>
      <c r="M34" s="114"/>
      <c r="N34" s="115">
        <v>1010000.0</v>
      </c>
      <c r="O34" s="116"/>
      <c r="P34" s="105"/>
    </row>
    <row r="35" ht="15.75" customHeight="1">
      <c r="B35" s="28"/>
      <c r="C35" s="37">
        <f t="array" ref="C35">IFERROR(IF(D35&lt;&gt;"",XLOOKUP(D35,'balance sheet'!$C$5:$C$38,'balance sheet'!$B$5:$B$38),XLOOKUP(E35,'balance sheet'!$C$5:$C$38,'balance sheet'!$B$5:$B$38)),"")</f>
        <v>303</v>
      </c>
      <c r="D35" s="38" t="s">
        <v>21</v>
      </c>
      <c r="E35" s="39"/>
      <c r="F35" s="98">
        <v>2.245E7</v>
      </c>
      <c r="G35" s="98"/>
      <c r="H35" s="29"/>
      <c r="J35" s="104"/>
      <c r="K35" s="112">
        <f t="array" ref="K35">IFERROR(IF(L35&lt;&gt;"",XLOOKUP(L35,'balance sheet'!$C$5:$C$38,'balance sheet'!$B$5:$B$38),XLOOKUP(M35,'balance sheet'!$C$5:$C$38,'balance sheet'!$B$5:$B$38)),"")</f>
        <v>700</v>
      </c>
      <c r="L35" s="117"/>
      <c r="M35" s="114" t="s">
        <v>36</v>
      </c>
      <c r="N35" s="116"/>
      <c r="O35" s="116">
        <v>2000000.0</v>
      </c>
      <c r="P35" s="105"/>
    </row>
    <row r="36" ht="15.75" customHeight="1">
      <c r="B36" s="28"/>
      <c r="C36" s="37">
        <f t="array" ref="C36">IFERROR(IF(D36&lt;&gt;"",XLOOKUP(D36,'balance sheet'!$C$5:$C$38,'balance sheet'!$B$5:$B$38),XLOOKUP(E36,'balance sheet'!$C$5:$C$38,'balance sheet'!$B$5:$B$38)),"")</f>
        <v>103</v>
      </c>
      <c r="D36" s="41"/>
      <c r="E36" s="39" t="s">
        <v>7</v>
      </c>
      <c r="F36" s="98"/>
      <c r="G36" s="98">
        <v>2.245E7</v>
      </c>
      <c r="H36" s="29"/>
      <c r="J36" s="104"/>
      <c r="K36" s="112" t="str">
        <f t="array" ref="K36">IFERROR(IF(L36&lt;&gt;"",XLOOKUP(L36,'balance sheet'!$C$5:$C$38,'balance sheet'!$B$5:$B$38),XLOOKUP(M36,'balance sheet'!$C$5:$C$38,'balance sheet'!$B$5:$B$38)),"")</f>
        <v/>
      </c>
      <c r="L36" s="117"/>
      <c r="M36" s="118"/>
      <c r="N36" s="116"/>
      <c r="O36" s="115"/>
      <c r="P36" s="105"/>
    </row>
    <row r="37" ht="15.75" customHeight="1">
      <c r="B37" s="28"/>
      <c r="C37" s="23"/>
      <c r="D37" s="23"/>
      <c r="E37" s="23"/>
      <c r="F37" s="23"/>
      <c r="G37" s="23"/>
      <c r="H37" s="29"/>
      <c r="J37" s="104"/>
      <c r="K37" s="54"/>
      <c r="L37" s="54"/>
      <c r="M37" s="54"/>
      <c r="N37" s="54"/>
      <c r="O37" s="54"/>
      <c r="P37" s="105"/>
    </row>
    <row r="38" ht="15.75" customHeight="1">
      <c r="B38" s="28"/>
      <c r="C38" s="23" t="s">
        <v>64</v>
      </c>
      <c r="E38" s="23" t="s">
        <v>65</v>
      </c>
      <c r="F38" s="23"/>
      <c r="G38" s="23" t="s">
        <v>66</v>
      </c>
      <c r="H38" s="29"/>
      <c r="J38" s="104"/>
      <c r="K38" s="107" t="s">
        <v>64</v>
      </c>
      <c r="M38" s="107" t="s">
        <v>65</v>
      </c>
      <c r="N38" s="54"/>
      <c r="O38" s="107" t="s">
        <v>66</v>
      </c>
      <c r="P38" s="105"/>
    </row>
    <row r="39" ht="15.75" customHeight="1">
      <c r="B39" s="28"/>
      <c r="C39" s="23"/>
      <c r="D39" s="23"/>
      <c r="E39" s="23"/>
      <c r="F39" s="23"/>
      <c r="G39" s="23"/>
      <c r="H39" s="29"/>
      <c r="J39" s="104"/>
      <c r="K39" s="54"/>
      <c r="L39" s="54"/>
      <c r="M39" s="54"/>
      <c r="N39" s="54"/>
      <c r="O39" s="54"/>
      <c r="P39" s="105"/>
    </row>
    <row r="40" ht="15.75" customHeight="1">
      <c r="B40" s="28"/>
      <c r="C40" s="42"/>
      <c r="D40" s="23"/>
      <c r="E40" s="42"/>
      <c r="F40" s="23"/>
      <c r="G40" s="42"/>
      <c r="H40" s="29"/>
      <c r="J40" s="104"/>
      <c r="K40" s="67"/>
      <c r="L40" s="54"/>
      <c r="M40" s="67"/>
      <c r="N40" s="54"/>
      <c r="O40" s="67"/>
      <c r="P40" s="105"/>
    </row>
    <row r="41" ht="15.75" customHeight="1">
      <c r="B41" s="41"/>
      <c r="C41" s="42"/>
      <c r="D41" s="42"/>
      <c r="E41" s="42"/>
      <c r="F41" s="42"/>
      <c r="G41" s="42"/>
      <c r="H41" s="39"/>
      <c r="J41" s="117"/>
      <c r="K41" s="67"/>
      <c r="L41" s="67"/>
      <c r="M41" s="67"/>
      <c r="N41" s="67"/>
      <c r="O41" s="67"/>
      <c r="P41" s="114"/>
    </row>
    <row r="42" ht="15.75" customHeight="1"/>
    <row r="43" ht="15.75" customHeight="1">
      <c r="B43" s="101"/>
      <c r="C43" s="102" t="s">
        <v>50</v>
      </c>
      <c r="D43" s="26"/>
      <c r="E43" s="26"/>
      <c r="F43" s="26"/>
      <c r="G43" s="26"/>
      <c r="H43" s="103"/>
      <c r="J43" s="101"/>
      <c r="K43" s="102" t="s">
        <v>50</v>
      </c>
      <c r="L43" s="26"/>
      <c r="M43" s="26"/>
      <c r="N43" s="26"/>
      <c r="O43" s="26"/>
      <c r="P43" s="103"/>
    </row>
    <row r="44" ht="15.75" customHeight="1">
      <c r="B44" s="104"/>
      <c r="C44" s="54"/>
      <c r="D44" s="54"/>
      <c r="E44" s="54"/>
      <c r="F44" s="54"/>
      <c r="G44" s="54"/>
      <c r="H44" s="105"/>
      <c r="J44" s="104"/>
      <c r="K44" s="54"/>
      <c r="L44" s="54"/>
      <c r="M44" s="54"/>
      <c r="N44" s="54"/>
      <c r="O44" s="54"/>
      <c r="P44" s="105"/>
    </row>
    <row r="45" ht="15.75" customHeight="1">
      <c r="B45" s="104"/>
      <c r="C45" s="54"/>
      <c r="D45" s="54"/>
      <c r="E45" s="54"/>
      <c r="F45" s="106" t="s">
        <v>114</v>
      </c>
      <c r="G45" s="31"/>
      <c r="H45" s="105"/>
      <c r="J45" s="104"/>
      <c r="K45" s="54"/>
      <c r="L45" s="54"/>
      <c r="M45" s="54"/>
      <c r="N45" s="106" t="s">
        <v>115</v>
      </c>
      <c r="O45" s="31"/>
      <c r="P45" s="105"/>
    </row>
    <row r="46" ht="15.75" customHeight="1">
      <c r="B46" s="104"/>
      <c r="C46" s="107" t="s">
        <v>53</v>
      </c>
      <c r="D46" s="108">
        <v>43585.0</v>
      </c>
      <c r="E46" s="31"/>
      <c r="F46" s="31"/>
      <c r="G46" s="31"/>
      <c r="H46" s="105"/>
      <c r="J46" s="104"/>
      <c r="K46" s="107" t="s">
        <v>53</v>
      </c>
      <c r="L46" s="108">
        <v>43585.0</v>
      </c>
      <c r="M46" s="31"/>
      <c r="N46" s="31"/>
      <c r="O46" s="31"/>
      <c r="P46" s="105"/>
    </row>
    <row r="47" ht="15.75" customHeight="1">
      <c r="B47" s="104"/>
      <c r="C47" s="107" t="s">
        <v>54</v>
      </c>
      <c r="D47" s="109" t="s">
        <v>116</v>
      </c>
      <c r="E47" s="31"/>
      <c r="F47" s="31"/>
      <c r="G47" s="31"/>
      <c r="H47" s="105"/>
      <c r="J47" s="104"/>
      <c r="K47" s="107" t="s">
        <v>54</v>
      </c>
      <c r="L47" s="109" t="s">
        <v>117</v>
      </c>
      <c r="M47" s="31"/>
      <c r="N47" s="31"/>
      <c r="O47" s="31"/>
      <c r="P47" s="105"/>
    </row>
    <row r="48" ht="15.75" customHeight="1">
      <c r="B48" s="104"/>
      <c r="C48" s="54"/>
      <c r="D48" s="67"/>
      <c r="E48" s="31"/>
      <c r="F48" s="31"/>
      <c r="G48" s="31"/>
      <c r="H48" s="105"/>
      <c r="J48" s="104"/>
      <c r="K48" s="54"/>
      <c r="L48" s="67"/>
      <c r="M48" s="31"/>
      <c r="N48" s="31"/>
      <c r="O48" s="31"/>
      <c r="P48" s="105"/>
    </row>
    <row r="49" ht="15.75" customHeight="1">
      <c r="B49" s="104"/>
      <c r="C49" s="54"/>
      <c r="D49" s="54"/>
      <c r="E49" s="54"/>
      <c r="F49" s="54"/>
      <c r="G49" s="54"/>
      <c r="H49" s="105"/>
      <c r="J49" s="104"/>
      <c r="K49" s="54"/>
      <c r="L49" s="54"/>
      <c r="M49" s="54"/>
      <c r="N49" s="54"/>
      <c r="O49" s="54"/>
      <c r="P49" s="105"/>
    </row>
    <row r="50" ht="15.75" customHeight="1">
      <c r="B50" s="104"/>
      <c r="C50" s="110" t="s">
        <v>57</v>
      </c>
      <c r="D50" s="110" t="s">
        <v>58</v>
      </c>
      <c r="E50" s="3"/>
      <c r="F50" s="111" t="s">
        <v>59</v>
      </c>
      <c r="G50" s="111" t="s">
        <v>60</v>
      </c>
      <c r="H50" s="105"/>
      <c r="J50" s="104"/>
      <c r="K50" s="110" t="s">
        <v>57</v>
      </c>
      <c r="L50" s="110" t="s">
        <v>58</v>
      </c>
      <c r="M50" s="3"/>
      <c r="N50" s="111" t="s">
        <v>59</v>
      </c>
      <c r="O50" s="111" t="s">
        <v>60</v>
      </c>
      <c r="P50" s="105"/>
    </row>
    <row r="51" ht="15.75" customHeight="1">
      <c r="B51" s="104"/>
      <c r="C51" s="112">
        <f t="array" ref="C51">IFERROR(IF(D51&lt;&gt;"",XLOOKUP(D51,'balance sheet'!$C$5:$C$38,'balance sheet'!$B$5:$B$38),XLOOKUP(E51,'balance sheet'!$C$5:$C$38,'balance sheet'!$B$5:$B$38)),"")</f>
        <v>602</v>
      </c>
      <c r="D51" s="113" t="s">
        <v>28</v>
      </c>
      <c r="E51" s="114"/>
      <c r="F51" s="115">
        <v>500000.0</v>
      </c>
      <c r="G51" s="116"/>
      <c r="H51" s="105"/>
      <c r="J51" s="104"/>
      <c r="K51" s="112">
        <f t="array" ref="K51">IFERROR(IF(L51&lt;&gt;"",XLOOKUP(L51,'balance sheet'!$C$5:$C$38,'balance sheet'!$B$5:$B$38),XLOOKUP(M51,'balance sheet'!$C$5:$C$38,'balance sheet'!$B$5:$B$38)),"")</f>
        <v>610</v>
      </c>
      <c r="L51" s="113" t="s">
        <v>35</v>
      </c>
      <c r="M51" s="114"/>
      <c r="N51" s="115">
        <v>80000.0</v>
      </c>
      <c r="O51" s="116"/>
      <c r="P51" s="105"/>
    </row>
    <row r="52" ht="15.75" customHeight="1">
      <c r="B52" s="104"/>
      <c r="C52" s="112">
        <f t="array" ref="C52">IFERROR(IF(D52&lt;&gt;"",XLOOKUP(D52,'balance sheet'!$C$5:$C$38,'balance sheet'!$B$5:$B$38),XLOOKUP(E52,'balance sheet'!$C$5:$C$38,'balance sheet'!$B$5:$B$38)),"")</f>
        <v>105</v>
      </c>
      <c r="D52" s="113"/>
      <c r="E52" s="114" t="s">
        <v>9</v>
      </c>
      <c r="F52" s="115"/>
      <c r="G52" s="116">
        <v>500000.0</v>
      </c>
      <c r="H52" s="105"/>
      <c r="J52" s="104"/>
      <c r="K52" s="112">
        <f t="array" ref="K52">IFERROR(IF(L52&lt;&gt;"",XLOOKUP(L52,'balance sheet'!$C$5:$C$38,'balance sheet'!$B$5:$B$38),XLOOKUP(M52,'balance sheet'!$C$5:$C$38,'balance sheet'!$B$5:$B$38)),"")</f>
        <v>201</v>
      </c>
      <c r="L52" s="113"/>
      <c r="M52" s="114" t="s">
        <v>15</v>
      </c>
      <c r="N52" s="115"/>
      <c r="O52" s="116">
        <v>80000.0</v>
      </c>
      <c r="P52" s="105"/>
    </row>
    <row r="53" ht="15.75" customHeight="1">
      <c r="B53" s="104"/>
      <c r="C53" s="117"/>
      <c r="D53" s="117"/>
      <c r="E53" s="114"/>
      <c r="F53" s="116"/>
      <c r="G53" s="116"/>
      <c r="H53" s="105"/>
      <c r="J53" s="104"/>
      <c r="K53" s="117"/>
      <c r="L53" s="117"/>
      <c r="M53" s="114"/>
      <c r="N53" s="116"/>
      <c r="O53" s="116"/>
      <c r="P53" s="105"/>
    </row>
    <row r="54" ht="15.75" customHeight="1">
      <c r="B54" s="104"/>
      <c r="C54" s="112" t="str">
        <f t="array" ref="C54">IFERROR(IF(D54&lt;&gt;"",XLOOKUP(D54,'balance sheet'!$C$5:$C$38,'balance sheet'!$B$5:$B$38),XLOOKUP(E54,'balance sheet'!$C$5:$C$38,'balance sheet'!$B$5:$B$38)),"")</f>
        <v/>
      </c>
      <c r="D54" s="117"/>
      <c r="E54" s="118"/>
      <c r="F54" s="116"/>
      <c r="G54" s="115"/>
      <c r="H54" s="105"/>
      <c r="J54" s="104"/>
      <c r="K54" s="112" t="str">
        <f t="array" ref="K54">IFERROR(IF(L54&lt;&gt;"",XLOOKUP(L54,'balance sheet'!$C$5:$C$38,'balance sheet'!$B$5:$B$38),XLOOKUP(M54,'balance sheet'!$C$5:$C$38,'balance sheet'!$B$5:$B$38)),"")</f>
        <v/>
      </c>
      <c r="L54" s="117"/>
      <c r="M54" s="118"/>
      <c r="N54" s="116"/>
      <c r="O54" s="115"/>
      <c r="P54" s="105"/>
    </row>
    <row r="55" ht="15.75" customHeight="1">
      <c r="B55" s="104"/>
      <c r="C55" s="54"/>
      <c r="D55" s="54"/>
      <c r="E55" s="54"/>
      <c r="F55" s="54"/>
      <c r="G55" s="54"/>
      <c r="H55" s="105"/>
      <c r="J55" s="104"/>
      <c r="K55" s="54"/>
      <c r="L55" s="54"/>
      <c r="M55" s="54"/>
      <c r="N55" s="54"/>
      <c r="O55" s="54"/>
      <c r="P55" s="105"/>
    </row>
    <row r="56" ht="15.75" customHeight="1">
      <c r="B56" s="104"/>
      <c r="C56" s="107" t="s">
        <v>64</v>
      </c>
      <c r="E56" s="107" t="s">
        <v>65</v>
      </c>
      <c r="F56" s="54"/>
      <c r="G56" s="107" t="s">
        <v>66</v>
      </c>
      <c r="H56" s="105"/>
      <c r="J56" s="104"/>
      <c r="K56" s="107" t="s">
        <v>64</v>
      </c>
      <c r="M56" s="107" t="s">
        <v>65</v>
      </c>
      <c r="N56" s="54"/>
      <c r="O56" s="107" t="s">
        <v>66</v>
      </c>
      <c r="P56" s="105"/>
    </row>
    <row r="57" ht="15.75" customHeight="1">
      <c r="B57" s="104"/>
      <c r="C57" s="54"/>
      <c r="D57" s="54"/>
      <c r="E57" s="54"/>
      <c r="F57" s="54"/>
      <c r="G57" s="54"/>
      <c r="H57" s="105"/>
      <c r="J57" s="104"/>
      <c r="K57" s="54"/>
      <c r="L57" s="54"/>
      <c r="M57" s="54"/>
      <c r="N57" s="54"/>
      <c r="O57" s="54"/>
      <c r="P57" s="105"/>
    </row>
    <row r="58" ht="15.75" customHeight="1">
      <c r="B58" s="104"/>
      <c r="C58" s="67"/>
      <c r="D58" s="54"/>
      <c r="E58" s="67"/>
      <c r="F58" s="54"/>
      <c r="G58" s="67"/>
      <c r="H58" s="105"/>
      <c r="J58" s="104"/>
      <c r="K58" s="67"/>
      <c r="L58" s="54"/>
      <c r="M58" s="67"/>
      <c r="N58" s="54"/>
      <c r="O58" s="67"/>
      <c r="P58" s="105"/>
    </row>
    <row r="59" ht="15.75" customHeight="1">
      <c r="B59" s="117"/>
      <c r="C59" s="67"/>
      <c r="D59" s="67"/>
      <c r="E59" s="67"/>
      <c r="F59" s="67"/>
      <c r="G59" s="67"/>
      <c r="H59" s="114"/>
      <c r="J59" s="117"/>
      <c r="K59" s="67"/>
      <c r="L59" s="67"/>
      <c r="M59" s="67"/>
      <c r="N59" s="67"/>
      <c r="O59" s="67"/>
      <c r="P59" s="114"/>
    </row>
    <row r="60" ht="15.75" customHeight="1"/>
    <row r="61" ht="15.75" customHeight="1">
      <c r="B61" s="24"/>
      <c r="C61" s="25" t="s">
        <v>50</v>
      </c>
      <c r="D61" s="26"/>
      <c r="E61" s="26"/>
      <c r="F61" s="26"/>
      <c r="G61" s="26"/>
      <c r="H61" s="27"/>
      <c r="J61" s="101"/>
      <c r="K61" s="102" t="s">
        <v>50</v>
      </c>
      <c r="L61" s="26"/>
      <c r="M61" s="26"/>
      <c r="N61" s="26"/>
      <c r="O61" s="26"/>
      <c r="P61" s="103"/>
    </row>
    <row r="62" ht="15.75" customHeight="1">
      <c r="B62" s="28"/>
      <c r="C62" s="23"/>
      <c r="D62" s="23"/>
      <c r="E62" s="23"/>
      <c r="F62" s="23"/>
      <c r="G62" s="23"/>
      <c r="H62" s="29"/>
      <c r="J62" s="104"/>
      <c r="K62" s="54"/>
      <c r="L62" s="54"/>
      <c r="M62" s="54"/>
      <c r="N62" s="54"/>
      <c r="O62" s="54"/>
      <c r="P62" s="105"/>
    </row>
    <row r="63" ht="15.75" customHeight="1">
      <c r="B63" s="28"/>
      <c r="C63" s="23"/>
      <c r="D63" s="23"/>
      <c r="E63" s="23"/>
      <c r="F63" s="30" t="s">
        <v>118</v>
      </c>
      <c r="G63" s="31"/>
      <c r="H63" s="29"/>
      <c r="J63" s="104"/>
      <c r="K63" s="54"/>
      <c r="L63" s="54"/>
      <c r="M63" s="54"/>
      <c r="N63" s="106" t="s">
        <v>119</v>
      </c>
      <c r="O63" s="31"/>
      <c r="P63" s="105"/>
    </row>
    <row r="64" ht="15.75" customHeight="1">
      <c r="B64" s="28"/>
      <c r="C64" s="23" t="s">
        <v>53</v>
      </c>
      <c r="D64" s="32">
        <v>43585.0</v>
      </c>
      <c r="E64" s="31"/>
      <c r="F64" s="31"/>
      <c r="G64" s="31"/>
      <c r="H64" s="29"/>
      <c r="J64" s="104"/>
      <c r="K64" s="107" t="s">
        <v>53</v>
      </c>
      <c r="L64" s="108">
        <v>43585.0</v>
      </c>
      <c r="M64" s="31"/>
      <c r="N64" s="31"/>
      <c r="O64" s="31"/>
      <c r="P64" s="105"/>
    </row>
    <row r="65" ht="15.75" customHeight="1">
      <c r="B65" s="28"/>
      <c r="C65" s="23" t="s">
        <v>54</v>
      </c>
      <c r="D65" s="33" t="s">
        <v>120</v>
      </c>
      <c r="E65" s="31"/>
      <c r="F65" s="31"/>
      <c r="G65" s="31"/>
      <c r="H65" s="29"/>
      <c r="J65" s="104"/>
      <c r="K65" s="107" t="s">
        <v>54</v>
      </c>
      <c r="L65" s="109" t="s">
        <v>121</v>
      </c>
      <c r="M65" s="31"/>
      <c r="N65" s="31"/>
      <c r="O65" s="31"/>
      <c r="P65" s="105"/>
    </row>
    <row r="66" ht="15.75" customHeight="1">
      <c r="B66" s="28"/>
      <c r="C66" s="23"/>
      <c r="D66" s="33"/>
      <c r="E66" s="31"/>
      <c r="F66" s="31"/>
      <c r="G66" s="31"/>
      <c r="H66" s="29"/>
      <c r="J66" s="104"/>
      <c r="K66" s="54"/>
      <c r="L66" s="67"/>
      <c r="M66" s="31"/>
      <c r="N66" s="31"/>
      <c r="O66" s="31"/>
      <c r="P66" s="105"/>
    </row>
    <row r="67" ht="15.75" customHeight="1">
      <c r="B67" s="28"/>
      <c r="C67" s="23"/>
      <c r="D67" s="34"/>
      <c r="E67" s="34"/>
      <c r="F67" s="34"/>
      <c r="G67" s="34"/>
      <c r="H67" s="29"/>
      <c r="J67" s="104"/>
      <c r="K67" s="54"/>
      <c r="L67" s="54"/>
      <c r="M67" s="54"/>
      <c r="N67" s="54"/>
      <c r="O67" s="54"/>
      <c r="P67" s="105"/>
    </row>
    <row r="68" ht="15.75" customHeight="1">
      <c r="B68" s="28"/>
      <c r="C68" s="35" t="s">
        <v>57</v>
      </c>
      <c r="D68" s="35" t="s">
        <v>58</v>
      </c>
      <c r="E68" s="3"/>
      <c r="F68" s="36" t="s">
        <v>59</v>
      </c>
      <c r="G68" s="36" t="s">
        <v>60</v>
      </c>
      <c r="H68" s="29"/>
      <c r="J68" s="104"/>
      <c r="K68" s="110" t="s">
        <v>57</v>
      </c>
      <c r="L68" s="110" t="s">
        <v>58</v>
      </c>
      <c r="M68" s="3"/>
      <c r="N68" s="111" t="s">
        <v>59</v>
      </c>
      <c r="O68" s="111" t="s">
        <v>60</v>
      </c>
      <c r="P68" s="105"/>
    </row>
    <row r="69" ht="15.75" customHeight="1">
      <c r="B69" s="28"/>
      <c r="C69" s="37">
        <f t="array" ref="C69">IFERROR(IF(D69&lt;&gt;"",XLOOKUP(D69,'balance sheet'!$C$5:$C$38,'balance sheet'!$B$5:$B$38),XLOOKUP(E69,'balance sheet'!$C$5:$C$38,'balance sheet'!$B$5:$B$38)),"")</f>
        <v>604</v>
      </c>
      <c r="D69" s="38" t="s">
        <v>30</v>
      </c>
      <c r="E69" s="39"/>
      <c r="F69" s="98">
        <v>25000.0</v>
      </c>
      <c r="G69" s="98"/>
      <c r="H69" s="29"/>
      <c r="J69" s="104"/>
      <c r="K69" s="112">
        <f t="array" ref="K69">IFERROR(IF(L69&lt;&gt;"",XLOOKUP(L69,'balance sheet'!$C$5:$C$38,'balance sheet'!$B$5:$B$38),XLOOKUP(M69,'balance sheet'!$C$5:$C$38,'balance sheet'!$B$5:$B$38)),"")</f>
        <v>605</v>
      </c>
      <c r="L69" s="113" t="s">
        <v>31</v>
      </c>
      <c r="M69" s="114"/>
      <c r="N69" s="115">
        <v>3.366E8</v>
      </c>
      <c r="O69" s="116"/>
      <c r="P69" s="105"/>
    </row>
    <row r="70" ht="15.75" customHeight="1">
      <c r="B70" s="28"/>
      <c r="C70" s="37">
        <f t="array" ref="C70">IFERROR(IF(D70&lt;&gt;"",XLOOKUP(D70,'balance sheet'!$C$5:$C$38,'balance sheet'!$B$5:$B$38),XLOOKUP(E70,'balance sheet'!$C$5:$C$38,'balance sheet'!$B$5:$B$38)),"")</f>
        <v>107</v>
      </c>
      <c r="D70" s="38"/>
      <c r="E70" s="39" t="s">
        <v>11</v>
      </c>
      <c r="F70" s="98"/>
      <c r="G70" s="98">
        <v>25000.0</v>
      </c>
      <c r="H70" s="29"/>
      <c r="J70" s="104"/>
      <c r="K70" s="112">
        <f t="array" ref="K70">IFERROR(IF(L70&lt;&gt;"",XLOOKUP(L70,'balance sheet'!$C$5:$C$38,'balance sheet'!$B$5:$B$38),XLOOKUP(M70,'balance sheet'!$C$5:$C$38,'balance sheet'!$B$5:$B$38)),"")</f>
        <v>109</v>
      </c>
      <c r="L70" s="113"/>
      <c r="M70" s="114" t="s">
        <v>13</v>
      </c>
      <c r="N70" s="115"/>
      <c r="O70" s="116">
        <v>3.366E8</v>
      </c>
      <c r="P70" s="105"/>
    </row>
    <row r="71" ht="15.75" customHeight="1">
      <c r="B71" s="28"/>
      <c r="C71" s="37" t="str">
        <f t="array" ref="C71">IFERROR(IF(D71&lt;&gt;"",XLOOKUP(D71,'balance sheet'!$C$5:$C$38,'balance sheet'!$B$5:$B$38),XLOOKUP(E71,'balance sheet'!$C$5:$C$38,'balance sheet'!$B$5:$B$38)),"")</f>
        <v/>
      </c>
      <c r="D71" s="38"/>
      <c r="E71" s="39"/>
      <c r="F71" s="98"/>
      <c r="G71" s="98"/>
      <c r="H71" s="29"/>
      <c r="J71" s="104"/>
      <c r="K71" s="117"/>
      <c r="L71" s="117"/>
      <c r="M71" s="114"/>
      <c r="N71" s="116"/>
      <c r="O71" s="116"/>
      <c r="P71" s="105"/>
    </row>
    <row r="72" ht="15.75" customHeight="1">
      <c r="B72" s="28"/>
      <c r="C72" s="37" t="str">
        <f t="array" ref="C72">IFERROR(IF(D72&lt;&gt;"",XLOOKUP(D72,'balance sheet'!$C$5:$C$38,'balance sheet'!$B$5:$B$38),XLOOKUP(E72,'balance sheet'!$C$5:$C$38,'balance sheet'!$B$5:$B$38)),"")</f>
        <v/>
      </c>
      <c r="D72" s="41"/>
      <c r="E72" s="39"/>
      <c r="F72" s="98"/>
      <c r="G72" s="98"/>
      <c r="H72" s="29"/>
      <c r="J72" s="104"/>
      <c r="K72" s="112" t="str">
        <f t="array" ref="K72">IFERROR(IF(L72&lt;&gt;"",XLOOKUP(L72,'balance sheet'!$C$5:$C$38,'balance sheet'!$B$5:$B$38),XLOOKUP(M72,'balance sheet'!$C$5:$C$38,'balance sheet'!$B$5:$B$38)),"")</f>
        <v/>
      </c>
      <c r="L72" s="117"/>
      <c r="M72" s="118"/>
      <c r="N72" s="116"/>
      <c r="O72" s="115"/>
      <c r="P72" s="105"/>
    </row>
    <row r="73" ht="15.75" customHeight="1">
      <c r="B73" s="28"/>
      <c r="C73" s="23"/>
      <c r="D73" s="23"/>
      <c r="E73" s="23"/>
      <c r="F73" s="23"/>
      <c r="G73" s="23"/>
      <c r="H73" s="29"/>
      <c r="J73" s="104"/>
      <c r="K73" s="54"/>
      <c r="L73" s="54"/>
      <c r="M73" s="54"/>
      <c r="N73" s="54"/>
      <c r="O73" s="54"/>
      <c r="P73" s="105"/>
    </row>
    <row r="74" ht="15.75" customHeight="1">
      <c r="B74" s="28"/>
      <c r="C74" s="23" t="s">
        <v>64</v>
      </c>
      <c r="E74" s="23" t="s">
        <v>65</v>
      </c>
      <c r="F74" s="23"/>
      <c r="G74" s="23" t="s">
        <v>66</v>
      </c>
      <c r="H74" s="29"/>
      <c r="J74" s="104"/>
      <c r="K74" s="107" t="s">
        <v>64</v>
      </c>
      <c r="M74" s="107" t="s">
        <v>65</v>
      </c>
      <c r="N74" s="54"/>
      <c r="O74" s="107" t="s">
        <v>66</v>
      </c>
      <c r="P74" s="105"/>
    </row>
    <row r="75" ht="15.75" customHeight="1">
      <c r="B75" s="28"/>
      <c r="C75" s="23"/>
      <c r="D75" s="23"/>
      <c r="E75" s="23"/>
      <c r="F75" s="23"/>
      <c r="G75" s="23"/>
      <c r="H75" s="29"/>
      <c r="J75" s="104"/>
      <c r="K75" s="54"/>
      <c r="L75" s="54"/>
      <c r="M75" s="54"/>
      <c r="N75" s="54"/>
      <c r="O75" s="54"/>
      <c r="P75" s="105"/>
    </row>
    <row r="76" ht="15.75" customHeight="1">
      <c r="B76" s="28"/>
      <c r="C76" s="42"/>
      <c r="D76" s="23"/>
      <c r="E76" s="42"/>
      <c r="F76" s="23"/>
      <c r="G76" s="42"/>
      <c r="H76" s="29"/>
      <c r="J76" s="104"/>
      <c r="K76" s="67"/>
      <c r="L76" s="54"/>
      <c r="M76" s="67"/>
      <c r="N76" s="54"/>
      <c r="O76" s="67"/>
      <c r="P76" s="105"/>
    </row>
    <row r="77" ht="15.75" customHeight="1">
      <c r="B77" s="41"/>
      <c r="C77" s="42"/>
      <c r="D77" s="42"/>
      <c r="E77" s="42"/>
      <c r="F77" s="42"/>
      <c r="G77" s="42"/>
      <c r="H77" s="39"/>
      <c r="J77" s="117"/>
      <c r="K77" s="67"/>
      <c r="L77" s="67"/>
      <c r="M77" s="67"/>
      <c r="N77" s="67"/>
      <c r="O77" s="67"/>
      <c r="P77" s="114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7">
    <mergeCell ref="F63:G63"/>
    <mergeCell ref="D64:G64"/>
    <mergeCell ref="D65:G65"/>
    <mergeCell ref="D66:G66"/>
    <mergeCell ref="D68:E68"/>
    <mergeCell ref="C74:D74"/>
    <mergeCell ref="F45:G45"/>
    <mergeCell ref="D46:G46"/>
    <mergeCell ref="D47:G47"/>
    <mergeCell ref="D48:G48"/>
    <mergeCell ref="D50:E50"/>
    <mergeCell ref="C56:D56"/>
    <mergeCell ref="C61:G61"/>
    <mergeCell ref="L5:O5"/>
    <mergeCell ref="L6:O6"/>
    <mergeCell ref="C2:G2"/>
    <mergeCell ref="K2:O2"/>
    <mergeCell ref="R2:T2"/>
    <mergeCell ref="F4:G4"/>
    <mergeCell ref="N4:O4"/>
    <mergeCell ref="D5:G5"/>
    <mergeCell ref="D6:G6"/>
    <mergeCell ref="D7:G7"/>
    <mergeCell ref="L7:O7"/>
    <mergeCell ref="D9:E9"/>
    <mergeCell ref="L9:M9"/>
    <mergeCell ref="C15:D15"/>
    <mergeCell ref="K15:L15"/>
    <mergeCell ref="K25:O25"/>
    <mergeCell ref="L29:O29"/>
    <mergeCell ref="L30:O30"/>
    <mergeCell ref="C25:G25"/>
    <mergeCell ref="F27:G27"/>
    <mergeCell ref="N27:O27"/>
    <mergeCell ref="D28:G28"/>
    <mergeCell ref="L28:O28"/>
    <mergeCell ref="D29:G29"/>
    <mergeCell ref="D30:G30"/>
    <mergeCell ref="D32:E32"/>
    <mergeCell ref="L32:M32"/>
    <mergeCell ref="C38:D38"/>
    <mergeCell ref="K38:L38"/>
    <mergeCell ref="C43:G43"/>
    <mergeCell ref="K43:O43"/>
    <mergeCell ref="N45:O45"/>
    <mergeCell ref="L64:O64"/>
    <mergeCell ref="L65:O65"/>
    <mergeCell ref="L66:O66"/>
    <mergeCell ref="L68:M68"/>
    <mergeCell ref="K74:L74"/>
    <mergeCell ref="L46:O46"/>
    <mergeCell ref="L47:O47"/>
    <mergeCell ref="L48:O48"/>
    <mergeCell ref="L50:M50"/>
    <mergeCell ref="K56:L56"/>
    <mergeCell ref="K61:O61"/>
    <mergeCell ref="N63:O63"/>
  </mergeCells>
  <dataValidations>
    <dataValidation type="list" allowBlank="1" showErrorMessage="1" sqref="D10:E13 L10:M13 D33:E36 L33:M36 D51:E54 L51:M54 D69:E72 L69:M72">
      <formula1>'balance sheet'!$C$5:$C$38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7.25"/>
    <col customWidth="1" min="3" max="3" width="14.75"/>
    <col customWidth="1" min="4" max="6" width="12.63"/>
  </cols>
  <sheetData>
    <row r="1" ht="15.75" customHeight="1"/>
    <row r="2" ht="15.75" customHeight="1">
      <c r="A2" s="119" t="s">
        <v>0</v>
      </c>
      <c r="E2" s="119"/>
    </row>
    <row r="3" ht="15.75" customHeight="1">
      <c r="E3" s="119"/>
    </row>
    <row r="4" ht="15.75" customHeight="1">
      <c r="A4" s="2" t="s">
        <v>1</v>
      </c>
      <c r="B4" s="3"/>
      <c r="C4" s="4" t="s">
        <v>2</v>
      </c>
      <c r="D4" s="4" t="s">
        <v>3</v>
      </c>
      <c r="E4" s="47"/>
    </row>
    <row r="5" ht="15.75" customHeight="1">
      <c r="A5" s="5">
        <v>100.0</v>
      </c>
      <c r="B5" s="6" t="s">
        <v>4</v>
      </c>
      <c r="C5" s="120">
        <f>Lajur!K5</f>
        <v>136000000</v>
      </c>
      <c r="D5" s="121" t="str">
        <f>Lajur!L5</f>
        <v/>
      </c>
      <c r="E5" s="23"/>
    </row>
    <row r="6" ht="15.75" customHeight="1">
      <c r="A6" s="5">
        <v>101.0</v>
      </c>
      <c r="B6" s="9" t="s">
        <v>5</v>
      </c>
      <c r="C6" s="120">
        <f>Lajur!K6</f>
        <v>3170000</v>
      </c>
      <c r="D6" s="121" t="str">
        <f>Lajur!L6</f>
        <v/>
      </c>
      <c r="E6" s="23"/>
    </row>
    <row r="7" ht="15.75" customHeight="1">
      <c r="A7" s="5">
        <v>102.0</v>
      </c>
      <c r="B7" s="9" t="s">
        <v>6</v>
      </c>
      <c r="C7" s="120">
        <f>Lajur!K7</f>
        <v>2640000</v>
      </c>
      <c r="D7" s="121" t="str">
        <f>Lajur!L7</f>
        <v/>
      </c>
      <c r="E7" s="23"/>
    </row>
    <row r="8" ht="15.75" customHeight="1">
      <c r="A8" s="5">
        <v>103.0</v>
      </c>
      <c r="B8" s="9" t="s">
        <v>7</v>
      </c>
      <c r="C8" s="120">
        <f>Lajur!K8</f>
        <v>20850000</v>
      </c>
      <c r="D8" s="121" t="str">
        <f>Lajur!L8</f>
        <v/>
      </c>
      <c r="E8" s="23"/>
    </row>
    <row r="9" ht="15.75" customHeight="1">
      <c r="A9" s="5">
        <v>104.0</v>
      </c>
      <c r="B9" s="9" t="s">
        <v>8</v>
      </c>
      <c r="C9" s="120">
        <f>Lajur!K9</f>
        <v>700000</v>
      </c>
      <c r="D9" s="121" t="str">
        <f>Lajur!L9</f>
        <v/>
      </c>
      <c r="E9" s="23"/>
    </row>
    <row r="10" ht="15.75" customHeight="1">
      <c r="A10" s="5">
        <v>105.0</v>
      </c>
      <c r="B10" s="9" t="s">
        <v>9</v>
      </c>
      <c r="C10" s="120">
        <f>Lajur!K10</f>
        <v>0</v>
      </c>
      <c r="D10" s="121" t="str">
        <f>Lajur!L10</f>
        <v/>
      </c>
      <c r="E10" s="23"/>
    </row>
    <row r="11" ht="15.75" customHeight="1">
      <c r="A11" s="5">
        <v>106.0</v>
      </c>
      <c r="B11" s="9" t="s">
        <v>10</v>
      </c>
      <c r="C11" s="120">
        <f>Lajur!K11</f>
        <v>100000</v>
      </c>
      <c r="D11" s="121" t="str">
        <f>Lajur!L11</f>
        <v/>
      </c>
      <c r="E11" s="23"/>
    </row>
    <row r="12" ht="15.75" customHeight="1">
      <c r="A12" s="5">
        <v>107.0</v>
      </c>
      <c r="B12" s="9" t="s">
        <v>11</v>
      </c>
      <c r="C12" s="120">
        <f>Lajur!K12</f>
        <v>275000</v>
      </c>
      <c r="D12" s="121" t="str">
        <f>Lajur!L12</f>
        <v/>
      </c>
      <c r="E12" s="23"/>
    </row>
    <row r="13" ht="15.75" customHeight="1">
      <c r="A13" s="5">
        <v>108.0</v>
      </c>
      <c r="B13" s="9" t="s">
        <v>12</v>
      </c>
      <c r="C13" s="120">
        <f>Lajur!K13</f>
        <v>3424000000</v>
      </c>
      <c r="D13" s="121" t="str">
        <f>Lajur!L13</f>
        <v/>
      </c>
      <c r="E13" s="23"/>
    </row>
    <row r="14" ht="15.75" customHeight="1">
      <c r="A14" s="5">
        <v>109.0</v>
      </c>
      <c r="B14" s="9" t="s">
        <v>13</v>
      </c>
      <c r="C14" s="120" t="str">
        <f>Lajur!K14</f>
        <v/>
      </c>
      <c r="D14" s="121">
        <f>Lajur!L14</f>
        <v>1401000000</v>
      </c>
      <c r="E14" s="23"/>
    </row>
    <row r="15" ht="15.75" customHeight="1">
      <c r="A15" s="5">
        <v>200.0</v>
      </c>
      <c r="B15" s="9" t="s">
        <v>14</v>
      </c>
      <c r="C15" s="120">
        <f>Lajur!K15</f>
        <v>0</v>
      </c>
      <c r="D15" s="121">
        <f>Lajur!L15</f>
        <v>431200</v>
      </c>
      <c r="E15" s="23"/>
    </row>
    <row r="16" ht="15.75" customHeight="1">
      <c r="A16" s="5">
        <v>201.0</v>
      </c>
      <c r="B16" s="9" t="s">
        <v>15</v>
      </c>
      <c r="C16" s="120" t="str">
        <f>Lajur!K16</f>
        <v/>
      </c>
      <c r="D16" s="121">
        <f>Lajur!L16</f>
        <v>80000</v>
      </c>
      <c r="E16" s="23"/>
    </row>
    <row r="17" ht="15.75" customHeight="1">
      <c r="A17" s="5">
        <v>202.0</v>
      </c>
      <c r="B17" s="9" t="s">
        <v>16</v>
      </c>
      <c r="C17" s="120">
        <f>Lajur!K17</f>
        <v>0</v>
      </c>
      <c r="D17" s="121">
        <f>Lajur!L17</f>
        <v>0</v>
      </c>
      <c r="E17" s="23"/>
    </row>
    <row r="18" ht="15.75" customHeight="1">
      <c r="A18" s="5">
        <v>203.0</v>
      </c>
      <c r="B18" s="9" t="s">
        <v>17</v>
      </c>
      <c r="C18" s="120">
        <f>Lajur!K18</f>
        <v>0</v>
      </c>
      <c r="D18" s="121">
        <f>Lajur!L18</f>
        <v>0</v>
      </c>
      <c r="E18" s="23"/>
    </row>
    <row r="19" ht="15.75" customHeight="1">
      <c r="A19" s="5">
        <v>300.0</v>
      </c>
      <c r="B19" s="9" t="s">
        <v>18</v>
      </c>
      <c r="C19" s="120">
        <f>Lajur!K19</f>
        <v>0</v>
      </c>
      <c r="D19" s="121">
        <f>Lajur!L19</f>
        <v>1000000000</v>
      </c>
      <c r="E19" s="23"/>
    </row>
    <row r="20" ht="15.75" customHeight="1">
      <c r="A20" s="5">
        <v>301.0</v>
      </c>
      <c r="B20" s="9" t="s">
        <v>19</v>
      </c>
      <c r="C20" s="120">
        <f>Lajur!K20</f>
        <v>0</v>
      </c>
      <c r="D20" s="121">
        <f>Lajur!L20</f>
        <v>156830000</v>
      </c>
      <c r="E20" s="23"/>
    </row>
    <row r="21" ht="15.75" customHeight="1">
      <c r="A21" s="5">
        <v>302.0</v>
      </c>
      <c r="B21" s="9" t="s">
        <v>20</v>
      </c>
      <c r="C21" s="120">
        <f>Lajur!K21</f>
        <v>0</v>
      </c>
      <c r="D21" s="121">
        <f>Lajur!L21</f>
        <v>400000000</v>
      </c>
      <c r="E21" s="23"/>
    </row>
    <row r="22" ht="15.75" customHeight="1">
      <c r="A22" s="5">
        <v>303.0</v>
      </c>
      <c r="B22" s="9" t="s">
        <v>21</v>
      </c>
      <c r="C22" s="120">
        <f>Lajur!K22</f>
        <v>2150000</v>
      </c>
      <c r="D22" s="121" t="str">
        <f>Lajur!L22</f>
        <v/>
      </c>
      <c r="E22" s="23"/>
    </row>
    <row r="23" ht="15.75" customHeight="1">
      <c r="A23" s="5">
        <v>400.0</v>
      </c>
      <c r="B23" s="9" t="s">
        <v>22</v>
      </c>
      <c r="C23" s="120">
        <f>Lajur!K23</f>
        <v>0</v>
      </c>
      <c r="D23" s="121">
        <f>Lajur!L23</f>
        <v>4287640000</v>
      </c>
      <c r="E23" s="23"/>
    </row>
    <row r="24" ht="15.75" customHeight="1">
      <c r="A24" s="5">
        <v>401.0</v>
      </c>
      <c r="B24" s="9" t="s">
        <v>23</v>
      </c>
      <c r="C24" s="120">
        <f>Lajur!K24</f>
        <v>5000000</v>
      </c>
      <c r="D24" s="121" t="str">
        <f>Lajur!L24</f>
        <v/>
      </c>
      <c r="E24" s="23"/>
    </row>
    <row r="25" ht="15.75" customHeight="1">
      <c r="A25" s="5">
        <v>500.0</v>
      </c>
      <c r="B25" s="9" t="s">
        <v>24</v>
      </c>
      <c r="C25" s="120">
        <f>Lajur!K25</f>
        <v>2857431200</v>
      </c>
      <c r="D25" s="121" t="str">
        <f>Lajur!L25</f>
        <v/>
      </c>
      <c r="E25" s="23"/>
    </row>
    <row r="26" ht="15.75" customHeight="1">
      <c r="A26" s="5">
        <v>501.0</v>
      </c>
      <c r="B26" s="9" t="s">
        <v>25</v>
      </c>
      <c r="C26" s="120">
        <f>Lajur!K26</f>
        <v>0</v>
      </c>
      <c r="D26" s="121">
        <f>Lajur!L26</f>
        <v>7000000</v>
      </c>
      <c r="E26" s="23"/>
    </row>
    <row r="27" ht="15.75" customHeight="1">
      <c r="A27" s="5">
        <v>600.0</v>
      </c>
      <c r="B27" s="9" t="s">
        <v>26</v>
      </c>
      <c r="C27" s="120">
        <f>Lajur!K27</f>
        <v>780000</v>
      </c>
      <c r="D27" s="121" t="str">
        <f>Lajur!L27</f>
        <v/>
      </c>
      <c r="E27" s="23"/>
    </row>
    <row r="28" ht="15.75" customHeight="1">
      <c r="A28" s="5">
        <v>601.0</v>
      </c>
      <c r="B28" s="9" t="s">
        <v>27</v>
      </c>
      <c r="C28" s="120">
        <f>Lajur!K28</f>
        <v>520000</v>
      </c>
      <c r="D28" s="121" t="str">
        <f>Lajur!L28</f>
        <v/>
      </c>
      <c r="E28" s="23"/>
    </row>
    <row r="29" ht="15.75" customHeight="1">
      <c r="A29" s="5">
        <v>602.0</v>
      </c>
      <c r="B29" s="9" t="s">
        <v>28</v>
      </c>
      <c r="C29" s="120">
        <f>Lajur!K29</f>
        <v>500000</v>
      </c>
      <c r="D29" s="121" t="str">
        <f>Lajur!L29</f>
        <v/>
      </c>
      <c r="E29" s="23"/>
    </row>
    <row r="30" ht="15.75" customHeight="1">
      <c r="A30" s="5">
        <v>603.0</v>
      </c>
      <c r="B30" s="9" t="s">
        <v>29</v>
      </c>
      <c r="C30" s="120">
        <f>Lajur!K30</f>
        <v>400000</v>
      </c>
      <c r="D30" s="121" t="str">
        <f>Lajur!L30</f>
        <v/>
      </c>
      <c r="E30" s="23"/>
    </row>
    <row r="31" ht="15.75" customHeight="1">
      <c r="A31" s="5">
        <v>604.0</v>
      </c>
      <c r="B31" s="9" t="s">
        <v>30</v>
      </c>
      <c r="C31" s="120">
        <f>Lajur!K31</f>
        <v>25000</v>
      </c>
      <c r="D31" s="121" t="str">
        <f>Lajur!L31</f>
        <v/>
      </c>
      <c r="E31" s="23"/>
    </row>
    <row r="32" ht="15.75" customHeight="1">
      <c r="A32" s="5">
        <v>605.0</v>
      </c>
      <c r="B32" s="9" t="s">
        <v>31</v>
      </c>
      <c r="C32" s="120">
        <f>Lajur!K32</f>
        <v>336600000</v>
      </c>
      <c r="D32" s="121" t="str">
        <f>Lajur!L32</f>
        <v/>
      </c>
      <c r="E32" s="23"/>
    </row>
    <row r="33" ht="15.75" customHeight="1">
      <c r="A33" s="5">
        <v>606.0</v>
      </c>
      <c r="B33" s="9" t="s">
        <v>32</v>
      </c>
      <c r="C33" s="120">
        <f>Lajur!K33</f>
        <v>280500000</v>
      </c>
      <c r="D33" s="121" t="str">
        <f>Lajur!L33</f>
        <v/>
      </c>
      <c r="E33" s="23"/>
    </row>
    <row r="34" ht="15.75" customHeight="1">
      <c r="A34" s="5">
        <v>607.0</v>
      </c>
      <c r="B34" s="9" t="s">
        <v>30</v>
      </c>
      <c r="C34" s="120">
        <f>Lajur!K34</f>
        <v>187000000</v>
      </c>
      <c r="D34" s="121" t="str">
        <f>Lajur!L34</f>
        <v/>
      </c>
      <c r="E34" s="23"/>
    </row>
    <row r="35" ht="15.75" customHeight="1">
      <c r="A35" s="5">
        <v>608.0</v>
      </c>
      <c r="B35" s="9" t="s">
        <v>33</v>
      </c>
      <c r="C35" s="120">
        <f>Lajur!K35</f>
        <v>10250000</v>
      </c>
      <c r="D35" s="121" t="str">
        <f>Lajur!L35</f>
        <v/>
      </c>
      <c r="E35" s="23"/>
    </row>
    <row r="36" ht="15.75" customHeight="1">
      <c r="A36" s="5">
        <v>609.0</v>
      </c>
      <c r="B36" s="9" t="s">
        <v>34</v>
      </c>
      <c r="C36" s="120">
        <f>Lajur!K36</f>
        <v>1010000</v>
      </c>
      <c r="D36" s="121" t="str">
        <f>Lajur!L36</f>
        <v/>
      </c>
      <c r="E36" s="23"/>
    </row>
    <row r="37" ht="15.75" customHeight="1">
      <c r="A37" s="5">
        <v>610.0</v>
      </c>
      <c r="B37" s="9" t="s">
        <v>35</v>
      </c>
      <c r="C37" s="120">
        <f>Lajur!K37</f>
        <v>80000</v>
      </c>
      <c r="D37" s="121" t="str">
        <f>Lajur!L37</f>
        <v/>
      </c>
      <c r="E37" s="23"/>
    </row>
    <row r="38" ht="15.75" customHeight="1">
      <c r="A38" s="5">
        <v>700.0</v>
      </c>
      <c r="B38" s="9" t="s">
        <v>36</v>
      </c>
      <c r="C38" s="120" t="str">
        <f>Lajur!K38</f>
        <v/>
      </c>
      <c r="D38" s="121">
        <f>Lajur!L38</f>
        <v>17000000</v>
      </c>
      <c r="E38" s="122"/>
    </row>
    <row r="39" ht="15.75" customHeight="1">
      <c r="A39" s="123"/>
      <c r="B39" s="23"/>
      <c r="C39" s="124">
        <f t="shared" ref="C39:D39" si="1">SUM(C5:C38)</f>
        <v>7269981200</v>
      </c>
      <c r="D39" s="122">
        <f t="shared" si="1"/>
        <v>7269981200</v>
      </c>
      <c r="E39" s="12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D3"/>
    <mergeCell ref="A4:B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7.75"/>
    <col customWidth="1" min="2" max="2" width="27.5"/>
    <col customWidth="1" min="3" max="3" width="18.25"/>
    <col customWidth="1" min="4" max="4" width="17.13"/>
    <col customWidth="1" min="5" max="5" width="14.75"/>
    <col customWidth="1" min="6" max="6" width="12.63"/>
    <col customWidth="1" min="7" max="8" width="17.13"/>
    <col customWidth="1" min="10" max="10" width="16.0"/>
    <col customWidth="1" min="11" max="11" width="21.0"/>
    <col customWidth="1" min="12" max="12" width="17.25"/>
    <col customWidth="1" min="13" max="13" width="17.38"/>
  </cols>
  <sheetData>
    <row r="1" ht="15.75" customHeight="1">
      <c r="A1" s="54"/>
      <c r="B1" s="54"/>
      <c r="C1" s="125" t="s">
        <v>122</v>
      </c>
      <c r="I1" s="54"/>
      <c r="J1" s="54"/>
      <c r="K1" s="54"/>
      <c r="L1" s="54"/>
      <c r="M1" s="54"/>
      <c r="N1" s="54"/>
      <c r="O1" s="54"/>
      <c r="P1" s="54"/>
      <c r="Q1" s="54"/>
      <c r="R1" s="54"/>
    </row>
    <row r="2" ht="15.75" customHeight="1">
      <c r="A2" s="54"/>
      <c r="B2" s="54"/>
      <c r="C2" s="126" t="s">
        <v>123</v>
      </c>
      <c r="I2" s="54"/>
      <c r="J2" s="54"/>
      <c r="K2" s="127"/>
      <c r="L2" s="127"/>
      <c r="M2" s="127"/>
      <c r="N2" s="127"/>
      <c r="O2" s="127"/>
      <c r="P2" s="127"/>
      <c r="Q2" s="127"/>
      <c r="R2" s="127"/>
    </row>
    <row r="3" ht="15.75" customHeight="1">
      <c r="A3" s="128" t="s">
        <v>124</v>
      </c>
      <c r="B3" s="129" t="s">
        <v>98</v>
      </c>
      <c r="C3" s="130" t="s">
        <v>125</v>
      </c>
      <c r="D3" s="131"/>
      <c r="E3" s="130" t="s">
        <v>126</v>
      </c>
      <c r="F3" s="131"/>
      <c r="G3" s="130" t="s">
        <v>127</v>
      </c>
      <c r="H3" s="131"/>
      <c r="I3" s="130" t="s">
        <v>128</v>
      </c>
      <c r="J3" s="131"/>
      <c r="K3" s="130" t="s">
        <v>129</v>
      </c>
      <c r="L3" s="131"/>
      <c r="M3" s="130" t="s">
        <v>130</v>
      </c>
      <c r="N3" s="131"/>
      <c r="O3" s="130" t="s">
        <v>131</v>
      </c>
      <c r="P3" s="131"/>
      <c r="Q3" s="130" t="s">
        <v>127</v>
      </c>
      <c r="R3" s="131"/>
    </row>
    <row r="4" ht="15.75" customHeight="1">
      <c r="A4" s="14"/>
      <c r="B4" s="31"/>
      <c r="C4" s="132" t="s">
        <v>2</v>
      </c>
      <c r="D4" s="133" t="s">
        <v>132</v>
      </c>
      <c r="E4" s="132" t="s">
        <v>2</v>
      </c>
      <c r="F4" s="133" t="s">
        <v>132</v>
      </c>
      <c r="G4" s="134" t="s">
        <v>2</v>
      </c>
      <c r="H4" s="135" t="s">
        <v>132</v>
      </c>
      <c r="I4" s="132" t="s">
        <v>2</v>
      </c>
      <c r="J4" s="133" t="s">
        <v>132</v>
      </c>
      <c r="K4" s="132" t="s">
        <v>2</v>
      </c>
      <c r="L4" s="133" t="s">
        <v>132</v>
      </c>
      <c r="M4" s="134" t="s">
        <v>2</v>
      </c>
      <c r="N4" s="135" t="s">
        <v>132</v>
      </c>
      <c r="O4" s="132" t="s">
        <v>2</v>
      </c>
      <c r="P4" s="133" t="s">
        <v>132</v>
      </c>
      <c r="Q4" s="136" t="s">
        <v>2</v>
      </c>
      <c r="R4" s="133" t="s">
        <v>132</v>
      </c>
    </row>
    <row r="5" ht="15.75" customHeight="1">
      <c r="A5" s="137">
        <f t="array" ref="A5:D38">'balance sheet'!B5:E38</f>
        <v>100</v>
      </c>
      <c r="B5" s="67" t="s">
        <v>4</v>
      </c>
      <c r="C5" s="138">
        <v>1.25E8</v>
      </c>
      <c r="D5" s="139"/>
      <c r="E5" s="140">
        <f t="array" ref="E5:F5">IFERROR(XLOOKUP(A5,'Jurnal Umum'!$C$119:$C$129,'Jurnal Umum'!$D$119:$E$129),"")</f>
        <v>11550000</v>
      </c>
      <c r="F5" s="141">
        <v>1540000.0</v>
      </c>
      <c r="G5" s="140">
        <f t="shared" ref="G5:G38" si="2">IF(D5="",IF(C5+E5-F5&lt;0,"",C5+E5-F5),"")</f>
        <v>135010000</v>
      </c>
      <c r="H5" s="142" t="str">
        <f t="shared" ref="H5:H38" si="3">IF(C5="",IF(D5-E5+F5&lt;0,"",D5-E5+F5),"")</f>
        <v/>
      </c>
      <c r="I5" s="143">
        <f t="array" ref="I5:J5">IFERROR(XLOOKUP(A5,'Jurnal Penyesuai'!$R$4:$R$21,'Jurnal Penyesuai'!$S$4:$T$21),"")</f>
        <v>990000</v>
      </c>
      <c r="J5" s="142">
        <v>0.0</v>
      </c>
      <c r="K5" s="143">
        <f t="shared" ref="K5:K38" si="4">IF(G5+I5-J5&lt;0,"",G5+I5-J5)</f>
        <v>136000000</v>
      </c>
      <c r="L5" s="142" t="str">
        <f t="shared" ref="L5:L8" si="5">IF(H5-I5+J5&lt;0,"",IF((H5-I5+J5)-(G5+I5-J5)&lt;0,"",(H5-I5+J5)-(G5+I5-J5)))</f>
        <v/>
      </c>
      <c r="M5" s="140"/>
      <c r="N5" s="142"/>
      <c r="O5" s="143"/>
      <c r="P5" s="142"/>
      <c r="Q5" s="144">
        <f t="shared" ref="Q5:R5" si="1">IF(AND(M5="",O5=""),K5,"")</f>
        <v>136000000</v>
      </c>
      <c r="R5" s="144" t="str">
        <f t="shared" si="1"/>
        <v/>
      </c>
    </row>
    <row r="6" ht="15.75" customHeight="1">
      <c r="A6" s="145">
        <v>101.0</v>
      </c>
      <c r="B6" s="146" t="s">
        <v>5</v>
      </c>
      <c r="C6" s="138">
        <v>5000000.0</v>
      </c>
      <c r="D6" s="147"/>
      <c r="E6" s="140">
        <f t="array" ref="E6:F6">IFERROR(XLOOKUP(A6,'Jurnal Umum'!$C$119:$C$129,'Jurnal Umum'!$D$119:$E$129),"")</f>
        <v>0</v>
      </c>
      <c r="F6" s="141">
        <v>1830000.0</v>
      </c>
      <c r="G6" s="140">
        <f t="shared" si="2"/>
        <v>3170000</v>
      </c>
      <c r="H6" s="142" t="str">
        <f t="shared" si="3"/>
        <v/>
      </c>
      <c r="I6" s="143" t="str">
        <f t="array" ref="I6">IFERROR(XLOOKUP(A6,'Jurnal Penyesuai'!$R$4:$R$21,'Jurnal Penyesuai'!$S$4:$T$21),"")</f>
        <v/>
      </c>
      <c r="J6" s="141"/>
      <c r="K6" s="143">
        <f t="shared" si="4"/>
        <v>3170000</v>
      </c>
      <c r="L6" s="141" t="str">
        <f t="shared" si="5"/>
        <v/>
      </c>
      <c r="M6" s="140"/>
      <c r="N6" s="142"/>
      <c r="O6" s="143"/>
      <c r="P6" s="141"/>
      <c r="Q6" s="144">
        <f t="shared" ref="Q6:R6" si="6">IF(AND(M6="",O6=""),K6,"")</f>
        <v>3170000</v>
      </c>
      <c r="R6" s="144" t="str">
        <f t="shared" si="6"/>
        <v/>
      </c>
    </row>
    <row r="7" ht="15.75" customHeight="1">
      <c r="A7" s="145">
        <v>102.0</v>
      </c>
      <c r="B7" s="146" t="s">
        <v>6</v>
      </c>
      <c r="C7" s="138">
        <v>1.155E7</v>
      </c>
      <c r="D7" s="147"/>
      <c r="E7" s="140">
        <f t="array" ref="E7:F7">IFERROR(XLOOKUP(A7,'Jurnal Umum'!$C$119:$C$129,'Jurnal Umum'!$D$119:$E$129),"")</f>
        <v>2640000</v>
      </c>
      <c r="F7" s="141">
        <v>1.155E7</v>
      </c>
      <c r="G7" s="140">
        <f t="shared" si="2"/>
        <v>2640000</v>
      </c>
      <c r="H7" s="142" t="str">
        <f t="shared" si="3"/>
        <v/>
      </c>
      <c r="I7" s="143" t="str">
        <f t="array" ref="I7">IFERROR(XLOOKUP(A7,'Jurnal Penyesuai'!$R$4:$R$21,'Jurnal Penyesuai'!$S$4:$T$21),"")</f>
        <v/>
      </c>
      <c r="J7" s="142"/>
      <c r="K7" s="143">
        <f t="shared" si="4"/>
        <v>2640000</v>
      </c>
      <c r="L7" s="142" t="str">
        <f t="shared" si="5"/>
        <v/>
      </c>
      <c r="M7" s="140"/>
      <c r="N7" s="142"/>
      <c r="O7" s="143"/>
      <c r="P7" s="142"/>
      <c r="Q7" s="144">
        <f t="shared" ref="Q7:R7" si="7">IF(AND(M7="",O7=""),K7,"")</f>
        <v>2640000</v>
      </c>
      <c r="R7" s="144" t="str">
        <f t="shared" si="7"/>
        <v/>
      </c>
    </row>
    <row r="8" ht="15.75" customHeight="1">
      <c r="A8" s="145">
        <v>103.0</v>
      </c>
      <c r="B8" s="146" t="s">
        <v>7</v>
      </c>
      <c r="C8" s="138">
        <v>2.3E7</v>
      </c>
      <c r="D8" s="147"/>
      <c r="E8" s="140" t="str">
        <f t="array" ref="E8">IFERROR(XLOOKUP(A8,'Jurnal Umum'!$C$119:$C$129,'Jurnal Umum'!$D$119:$E$129),"")</f>
        <v/>
      </c>
      <c r="F8" s="141"/>
      <c r="G8" s="140">
        <f t="shared" si="2"/>
        <v>23000000</v>
      </c>
      <c r="H8" s="142" t="str">
        <f t="shared" si="3"/>
        <v/>
      </c>
      <c r="I8" s="143">
        <f t="array" ref="I8:J8">IFERROR(XLOOKUP(A8,'Jurnal Penyesuai'!$R$4:$R$21,'Jurnal Penyesuai'!$S$4:$T$21),"")</f>
        <v>20300000</v>
      </c>
      <c r="J8" s="141">
        <v>2.245E7</v>
      </c>
      <c r="K8" s="143">
        <f t="shared" si="4"/>
        <v>20850000</v>
      </c>
      <c r="L8" s="141" t="str">
        <f t="shared" si="5"/>
        <v/>
      </c>
      <c r="M8" s="140"/>
      <c r="N8" s="142"/>
      <c r="O8" s="143"/>
      <c r="P8" s="141"/>
      <c r="Q8" s="144">
        <f t="shared" ref="Q8:R8" si="8">IF(AND(M8="",O8=""),K8,"")</f>
        <v>20850000</v>
      </c>
      <c r="R8" s="144" t="str">
        <f t="shared" si="8"/>
        <v/>
      </c>
    </row>
    <row r="9" ht="15.75" customHeight="1">
      <c r="A9" s="145">
        <v>104.0</v>
      </c>
      <c r="B9" s="146" t="s">
        <v>8</v>
      </c>
      <c r="C9" s="148">
        <v>2000000.0</v>
      </c>
      <c r="D9" s="149"/>
      <c r="E9" s="140" t="str">
        <f t="array" ref="E9">IFERROR(XLOOKUP(A9,'Jurnal Umum'!$C$119:$C$129,'Jurnal Umum'!$D$119:$E$129),"")</f>
        <v/>
      </c>
      <c r="F9" s="142"/>
      <c r="G9" s="140">
        <f t="shared" si="2"/>
        <v>2000000</v>
      </c>
      <c r="H9" s="142" t="str">
        <f t="shared" si="3"/>
        <v/>
      </c>
      <c r="I9" s="143">
        <f t="array" ref="I9:J9">IFERROR(XLOOKUP(A9,'Jurnal Penyesuai'!$R$4:$R$21,'Jurnal Penyesuai'!$S$4:$T$21),"")</f>
        <v>0</v>
      </c>
      <c r="J9" s="141">
        <v>1300000.0</v>
      </c>
      <c r="K9" s="143">
        <f t="shared" si="4"/>
        <v>700000</v>
      </c>
      <c r="L9" s="141" t="str">
        <f>IF(OR(H9-I9+J9&gt;0,K9=""),"",IF((H9-I9+J9)-(G9+I9-J9)&lt;0,"",(H9-I9+J9)-(G9+I9-J9)))</f>
        <v/>
      </c>
      <c r="M9" s="140"/>
      <c r="N9" s="142"/>
      <c r="O9" s="143"/>
      <c r="P9" s="141"/>
      <c r="Q9" s="144">
        <f t="shared" ref="Q9:R9" si="9">IF(AND(M9="",O9=""),K9,"")</f>
        <v>700000</v>
      </c>
      <c r="R9" s="144" t="str">
        <f t="shared" si="9"/>
        <v/>
      </c>
    </row>
    <row r="10" ht="15.75" customHeight="1">
      <c r="A10" s="145">
        <v>105.0</v>
      </c>
      <c r="B10" s="146" t="s">
        <v>9</v>
      </c>
      <c r="C10" s="138"/>
      <c r="D10" s="147"/>
      <c r="E10" s="140">
        <f t="array" ref="E10:F10">IFERROR(XLOOKUP(A10,'Jurnal Umum'!$C$119:$C$129,'Jurnal Umum'!$D$119:$E$129),"")</f>
        <v>500000</v>
      </c>
      <c r="F10" s="141">
        <v>0.0</v>
      </c>
      <c r="G10" s="140">
        <f t="shared" si="2"/>
        <v>500000</v>
      </c>
      <c r="H10" s="142" t="str">
        <f t="shared" si="3"/>
        <v/>
      </c>
      <c r="I10" s="143">
        <f t="array" ref="I10:J10">IFERROR(XLOOKUP(A10,'Jurnal Penyesuai'!$R$4:$R$21,'Jurnal Penyesuai'!$S$4:$T$21),"")</f>
        <v>0</v>
      </c>
      <c r="J10" s="142">
        <v>500000.0</v>
      </c>
      <c r="K10" s="143">
        <f t="shared" si="4"/>
        <v>0</v>
      </c>
      <c r="L10" s="142"/>
      <c r="M10" s="140"/>
      <c r="N10" s="142"/>
      <c r="O10" s="143"/>
      <c r="P10" s="142"/>
      <c r="Q10" s="144">
        <f t="shared" ref="Q10:R10" si="10">IF(AND(M10="",O10=""),K10,"")</f>
        <v>0</v>
      </c>
      <c r="R10" s="144" t="str">
        <f t="shared" si="10"/>
        <v/>
      </c>
    </row>
    <row r="11" ht="15.75" customHeight="1">
      <c r="A11" s="145">
        <v>106.0</v>
      </c>
      <c r="B11" s="146" t="s">
        <v>10</v>
      </c>
      <c r="C11" s="148"/>
      <c r="D11" s="147"/>
      <c r="E11" s="140">
        <f t="array" ref="E11:F11">IFERROR(XLOOKUP(A11,'Jurnal Umum'!$C$119:$C$129,'Jurnal Umum'!$D$119:$E$129),"")</f>
        <v>500000</v>
      </c>
      <c r="F11" s="142">
        <v>0.0</v>
      </c>
      <c r="G11" s="140">
        <f t="shared" si="2"/>
        <v>500000</v>
      </c>
      <c r="H11" s="142" t="str">
        <f t="shared" si="3"/>
        <v/>
      </c>
      <c r="I11" s="143">
        <f t="array" ref="I11:J11">IFERROR(XLOOKUP(A11,'Jurnal Penyesuai'!$R$4:$R$21,'Jurnal Penyesuai'!$S$4:$T$21),"")</f>
        <v>0</v>
      </c>
      <c r="J11" s="142">
        <v>400000.0</v>
      </c>
      <c r="K11" s="143">
        <f t="shared" si="4"/>
        <v>100000</v>
      </c>
      <c r="L11" s="142"/>
      <c r="M11" s="140"/>
      <c r="N11" s="142"/>
      <c r="O11" s="143"/>
      <c r="P11" s="142"/>
      <c r="Q11" s="144">
        <f t="shared" ref="Q11:R11" si="11">IF(AND(M11="",O11=""),K11,"")</f>
        <v>100000</v>
      </c>
      <c r="R11" s="144" t="str">
        <f t="shared" si="11"/>
        <v/>
      </c>
    </row>
    <row r="12" ht="15.75" customHeight="1">
      <c r="A12" s="145">
        <v>107.0</v>
      </c>
      <c r="B12" s="146" t="s">
        <v>11</v>
      </c>
      <c r="C12" s="138"/>
      <c r="D12" s="147"/>
      <c r="E12" s="140">
        <f t="array" ref="E12:F12">IFERROR(XLOOKUP(A12,'Jurnal Umum'!$C$119:$C$129,'Jurnal Umum'!$D$119:$E$129),"")</f>
        <v>300000</v>
      </c>
      <c r="F12" s="141">
        <v>0.0</v>
      </c>
      <c r="G12" s="140">
        <f t="shared" si="2"/>
        <v>300000</v>
      </c>
      <c r="H12" s="142" t="str">
        <f t="shared" si="3"/>
        <v/>
      </c>
      <c r="I12" s="143">
        <f t="array" ref="I12:J12">IFERROR(XLOOKUP(A12,'Jurnal Penyesuai'!$R$4:$R$21,'Jurnal Penyesuai'!$S$4:$T$21),"")</f>
        <v>0</v>
      </c>
      <c r="J12" s="142">
        <v>25000.0</v>
      </c>
      <c r="K12" s="143">
        <f t="shared" si="4"/>
        <v>275000</v>
      </c>
      <c r="L12" s="142" t="str">
        <f t="shared" ref="L12:L13" si="13">IF(H12-I12+J12&lt;0,"",IF((H12-I12+J12)-(G12+I12-J12)&lt;0,"",(H12-I12+J12)-(G12+I12-J12)))</f>
        <v/>
      </c>
      <c r="M12" s="140"/>
      <c r="N12" s="142"/>
      <c r="O12" s="143"/>
      <c r="P12" s="142"/>
      <c r="Q12" s="144">
        <f t="shared" ref="Q12:R12" si="12">IF(AND(M12="",O12=""),K12,"")</f>
        <v>275000</v>
      </c>
      <c r="R12" s="144" t="str">
        <f t="shared" si="12"/>
        <v/>
      </c>
    </row>
    <row r="13" ht="15.75" customHeight="1">
      <c r="A13" s="145">
        <v>108.0</v>
      </c>
      <c r="B13" s="146" t="s">
        <v>12</v>
      </c>
      <c r="C13" s="138">
        <v>3.424E9</v>
      </c>
      <c r="D13" s="147"/>
      <c r="E13" s="140" t="str">
        <f t="array" ref="E13">IFERROR(XLOOKUP(A13,'Jurnal Umum'!$C$119:$C$129,'Jurnal Umum'!$D$119:$E$129),"")</f>
        <v/>
      </c>
      <c r="F13" s="141"/>
      <c r="G13" s="140">
        <f t="shared" si="2"/>
        <v>3424000000</v>
      </c>
      <c r="H13" s="142" t="str">
        <f t="shared" si="3"/>
        <v/>
      </c>
      <c r="I13" s="143" t="str">
        <f t="array" ref="I13">IFERROR(XLOOKUP(A13,'Jurnal Penyesuai'!$R$4:$R$21,'Jurnal Penyesuai'!$S$4:$T$21),"")</f>
        <v/>
      </c>
      <c r="J13" s="141"/>
      <c r="K13" s="143">
        <f t="shared" si="4"/>
        <v>3424000000</v>
      </c>
      <c r="L13" s="141" t="str">
        <f t="shared" si="13"/>
        <v/>
      </c>
      <c r="M13" s="140"/>
      <c r="N13" s="142"/>
      <c r="O13" s="143"/>
      <c r="P13" s="141"/>
      <c r="Q13" s="144">
        <f t="shared" ref="Q13:R13" si="14">IF(AND(M13="",O13=""),K13,"")</f>
        <v>3424000000</v>
      </c>
      <c r="R13" s="144" t="str">
        <f t="shared" si="14"/>
        <v/>
      </c>
    </row>
    <row r="14" ht="15.75" customHeight="1">
      <c r="A14" s="145">
        <v>109.0</v>
      </c>
      <c r="B14" s="146" t="s">
        <v>13</v>
      </c>
      <c r="C14" s="138"/>
      <c r="D14" s="147">
        <v>1.0644E9</v>
      </c>
      <c r="E14" s="140" t="str">
        <f t="array" ref="E14">IFERROR(XLOOKUP(A14,'Jurnal Umum'!$C$119:$C$129,'Jurnal Umum'!$D$119:$E$129),"")</f>
        <v/>
      </c>
      <c r="F14" s="141"/>
      <c r="G14" s="140" t="str">
        <f t="shared" si="2"/>
        <v/>
      </c>
      <c r="H14" s="142">
        <f t="shared" si="3"/>
        <v>1064400000</v>
      </c>
      <c r="I14" s="143">
        <f t="array" ref="I14:J14">IFERROR(XLOOKUP(A14,'Jurnal Penyesuai'!$R$4:$R$21,'Jurnal Penyesuai'!$S$4:$T$21),"")</f>
        <v>0</v>
      </c>
      <c r="J14" s="141">
        <v>3.366E8</v>
      </c>
      <c r="K14" s="143" t="str">
        <f t="shared" si="4"/>
        <v/>
      </c>
      <c r="L14" s="141">
        <f>H14+J14</f>
        <v>1401000000</v>
      </c>
      <c r="M14" s="140"/>
      <c r="N14" s="142"/>
      <c r="O14" s="143"/>
      <c r="P14" s="141"/>
      <c r="Q14" s="144" t="str">
        <f t="shared" ref="Q14:R14" si="15">IF(AND(M14="",O14=""),K14,"")</f>
        <v/>
      </c>
      <c r="R14" s="144">
        <f t="shared" si="15"/>
        <v>1401000000</v>
      </c>
    </row>
    <row r="15" ht="15.75" customHeight="1">
      <c r="A15" s="145">
        <v>200.0</v>
      </c>
      <c r="B15" s="146" t="s">
        <v>14</v>
      </c>
      <c r="C15" s="138"/>
      <c r="D15" s="147">
        <v>1540000.0</v>
      </c>
      <c r="E15" s="140">
        <f t="array" ref="E15:F15">IFERROR(XLOOKUP(A15,'Jurnal Umum'!$C$119:$C$129,'Jurnal Umum'!$D$119:$E$129),"")</f>
        <v>1540000</v>
      </c>
      <c r="F15" s="141">
        <v>431200.0</v>
      </c>
      <c r="G15" s="140" t="str">
        <f t="shared" si="2"/>
        <v/>
      </c>
      <c r="H15" s="142">
        <f t="shared" si="3"/>
        <v>431200</v>
      </c>
      <c r="I15" s="143" t="str">
        <f t="array" ref="I15">IFERROR(XLOOKUP(A15,'Jurnal Penyesuai'!$R$4:$R$21,'Jurnal Penyesuai'!$S$4:$T$21),"")</f>
        <v/>
      </c>
      <c r="J15" s="142"/>
      <c r="K15" s="143">
        <f t="shared" si="4"/>
        <v>0</v>
      </c>
      <c r="L15" s="142">
        <f>IF(H15-I15+J15&lt;0,"",IF((H15-I15+J15)-(G15+I15-J15)&lt;0,"",(H15-I15+J15)-(G15+I15-J15)))</f>
        <v>431200</v>
      </c>
      <c r="M15" s="140"/>
      <c r="N15" s="142"/>
      <c r="O15" s="143"/>
      <c r="P15" s="142"/>
      <c r="Q15" s="144">
        <f t="shared" ref="Q15:R15" si="16">IF(AND(M15="",O15=""),K15,"")</f>
        <v>0</v>
      </c>
      <c r="R15" s="144">
        <f t="shared" si="16"/>
        <v>431200</v>
      </c>
    </row>
    <row r="16" ht="15.75" customHeight="1">
      <c r="A16" s="145">
        <v>201.0</v>
      </c>
      <c r="B16" s="146" t="s">
        <v>15</v>
      </c>
      <c r="C16" s="138"/>
      <c r="D16" s="147">
        <v>80000.0</v>
      </c>
      <c r="E16" s="140">
        <f t="array" ref="E16:F16">IFERROR(XLOOKUP(A16,'Jurnal Umum'!$C$119:$C$129,'Jurnal Umum'!$D$119:$E$129),"")</f>
        <v>80000</v>
      </c>
      <c r="F16" s="141">
        <v>0.0</v>
      </c>
      <c r="G16" s="140" t="str">
        <f t="shared" si="2"/>
        <v/>
      </c>
      <c r="H16" s="142">
        <f t="shared" si="3"/>
        <v>0</v>
      </c>
      <c r="I16" s="143">
        <f t="array" ref="I16:J16">IFERROR(XLOOKUP(A16,'Jurnal Penyesuai'!$R$4:$R$21,'Jurnal Penyesuai'!$S$4:$T$21),"")</f>
        <v>0</v>
      </c>
      <c r="J16" s="141">
        <v>80000.0</v>
      </c>
      <c r="K16" s="143" t="str">
        <f t="shared" si="4"/>
        <v/>
      </c>
      <c r="L16" s="141">
        <f>J16</f>
        <v>80000</v>
      </c>
      <c r="M16" s="140"/>
      <c r="N16" s="142"/>
      <c r="O16" s="143"/>
      <c r="P16" s="141"/>
      <c r="Q16" s="144" t="str">
        <f t="shared" ref="Q16:R16" si="17">IF(AND(M16="",O16=""),K16,"")</f>
        <v/>
      </c>
      <c r="R16" s="144">
        <f t="shared" si="17"/>
        <v>80000</v>
      </c>
    </row>
    <row r="17" ht="15.75" customHeight="1">
      <c r="A17" s="145">
        <v>202.0</v>
      </c>
      <c r="B17" s="146" t="s">
        <v>16</v>
      </c>
      <c r="C17" s="138"/>
      <c r="D17" s="147"/>
      <c r="E17" s="140" t="str">
        <f t="array" ref="E17">IFERROR(XLOOKUP(A17,'Jurnal Umum'!$C$119:$C$129,'Jurnal Umum'!$D$119:$E$129),"")</f>
        <v/>
      </c>
      <c r="F17" s="142"/>
      <c r="G17" s="140">
        <f t="shared" si="2"/>
        <v>0</v>
      </c>
      <c r="H17" s="142">
        <f t="shared" si="3"/>
        <v>0</v>
      </c>
      <c r="I17" s="143" t="str">
        <f t="array" ref="I17">IFERROR(XLOOKUP(A17,'Jurnal Penyesuai'!$R$4:$R$21,'Jurnal Penyesuai'!$S$4:$T$21),"")</f>
        <v/>
      </c>
      <c r="J17" s="141"/>
      <c r="K17" s="143">
        <f t="shared" si="4"/>
        <v>0</v>
      </c>
      <c r="L17" s="141">
        <f t="shared" ref="L17:L37" si="19">IF(H17-I17+J17&lt;0,"",IF((H17-I17+J17)-(G17+I17-J17)&lt;0,"",(H17-I17+J17)-(G17+I17-J17)))</f>
        <v>0</v>
      </c>
      <c r="M17" s="140"/>
      <c r="N17" s="142"/>
      <c r="O17" s="143"/>
      <c r="P17" s="141"/>
      <c r="Q17" s="144">
        <f t="shared" ref="Q17:R17" si="18">IF(AND(M17="",O17=""),K17,"")</f>
        <v>0</v>
      </c>
      <c r="R17" s="144">
        <f t="shared" si="18"/>
        <v>0</v>
      </c>
    </row>
    <row r="18" ht="15.75" customHeight="1">
      <c r="A18" s="145">
        <v>203.0</v>
      </c>
      <c r="B18" s="146" t="s">
        <v>17</v>
      </c>
      <c r="C18" s="138"/>
      <c r="D18" s="147"/>
      <c r="E18" s="140" t="str">
        <f t="array" ref="E18">IFERROR(XLOOKUP(A18,'Jurnal Umum'!$C$119:$C$129,'Jurnal Umum'!$D$119:$E$129),"")</f>
        <v/>
      </c>
      <c r="F18" s="142"/>
      <c r="G18" s="140">
        <f t="shared" si="2"/>
        <v>0</v>
      </c>
      <c r="H18" s="142">
        <f t="shared" si="3"/>
        <v>0</v>
      </c>
      <c r="I18" s="143" t="str">
        <f t="array" ref="I18">IFERROR(XLOOKUP(A18,'Jurnal Penyesuai'!$R$4:$R$21,'Jurnal Penyesuai'!$S$4:$T$21),"")</f>
        <v/>
      </c>
      <c r="J18" s="141"/>
      <c r="K18" s="143">
        <f t="shared" si="4"/>
        <v>0</v>
      </c>
      <c r="L18" s="141">
        <f t="shared" si="19"/>
        <v>0</v>
      </c>
      <c r="M18" s="140"/>
      <c r="N18" s="142"/>
      <c r="O18" s="143"/>
      <c r="P18" s="141"/>
      <c r="Q18" s="144">
        <f t="shared" ref="Q18:R18" si="20">IF(AND(M18="",O18=""),K18,"")</f>
        <v>0</v>
      </c>
      <c r="R18" s="144">
        <f t="shared" si="20"/>
        <v>0</v>
      </c>
    </row>
    <row r="19" ht="15.75" customHeight="1">
      <c r="A19" s="145">
        <v>300.0</v>
      </c>
      <c r="B19" s="146" t="s">
        <v>18</v>
      </c>
      <c r="C19" s="138"/>
      <c r="D19" s="147">
        <v>1.0E9</v>
      </c>
      <c r="E19" s="140" t="str">
        <f t="array" ref="E19">IFERROR(XLOOKUP(A19,'Jurnal Umum'!$C$119:$C$129,'Jurnal Umum'!$D$119:$E$129),"")</f>
        <v/>
      </c>
      <c r="F19" s="142"/>
      <c r="G19" s="140" t="str">
        <f t="shared" si="2"/>
        <v/>
      </c>
      <c r="H19" s="142">
        <f t="shared" si="3"/>
        <v>1000000000</v>
      </c>
      <c r="I19" s="143" t="str">
        <f t="array" ref="I19">IFERROR(XLOOKUP(A19,'Jurnal Penyesuai'!$R$4:$R$21,'Jurnal Penyesuai'!$S$4:$T$21),"")</f>
        <v/>
      </c>
      <c r="J19" s="141"/>
      <c r="K19" s="143">
        <f t="shared" si="4"/>
        <v>0</v>
      </c>
      <c r="L19" s="141">
        <f t="shared" si="19"/>
        <v>1000000000</v>
      </c>
      <c r="M19" s="140"/>
      <c r="N19" s="142"/>
      <c r="O19" s="143"/>
      <c r="P19" s="141"/>
      <c r="Q19" s="144">
        <f t="shared" ref="Q19:R19" si="21">IF(AND(M19="",O19=""),K19,"")</f>
        <v>0</v>
      </c>
      <c r="R19" s="144">
        <f t="shared" si="21"/>
        <v>1000000000</v>
      </c>
    </row>
    <row r="20" ht="15.75" customHeight="1">
      <c r="A20" s="145">
        <v>301.0</v>
      </c>
      <c r="B20" s="146" t="s">
        <v>19</v>
      </c>
      <c r="C20" s="138"/>
      <c r="D20" s="147">
        <v>1.5683E8</v>
      </c>
      <c r="E20" s="140" t="str">
        <f t="array" ref="E20">IFERROR(XLOOKUP(A20,'Jurnal Umum'!$C$119:$C$129,'Jurnal Umum'!$D$119:$E$129),"")</f>
        <v/>
      </c>
      <c r="F20" s="142"/>
      <c r="G20" s="140" t="str">
        <f t="shared" si="2"/>
        <v/>
      </c>
      <c r="H20" s="142">
        <f t="shared" si="3"/>
        <v>156830000</v>
      </c>
      <c r="I20" s="143" t="str">
        <f t="array" ref="I20">IFERROR(XLOOKUP(A20,'Jurnal Penyesuai'!$R$4:$R$21,'Jurnal Penyesuai'!$S$4:$T$21),"")</f>
        <v/>
      </c>
      <c r="J20" s="141"/>
      <c r="K20" s="143">
        <f t="shared" si="4"/>
        <v>0</v>
      </c>
      <c r="L20" s="141">
        <f t="shared" si="19"/>
        <v>156830000</v>
      </c>
      <c r="M20" s="140"/>
      <c r="N20" s="142"/>
      <c r="O20" s="143"/>
      <c r="P20" s="141"/>
      <c r="Q20" s="144">
        <f t="shared" ref="Q20:R20" si="22">IF(AND(M20="",O20=""),K20,"")</f>
        <v>0</v>
      </c>
      <c r="R20" s="144">
        <f t="shared" si="22"/>
        <v>156830000</v>
      </c>
    </row>
    <row r="21" ht="15.75" customHeight="1">
      <c r="A21" s="145">
        <v>302.0</v>
      </c>
      <c r="B21" s="146" t="s">
        <v>20</v>
      </c>
      <c r="C21" s="138"/>
      <c r="D21" s="147">
        <v>4.0E8</v>
      </c>
      <c r="E21" s="140" t="str">
        <f t="array" ref="E21">IFERROR(XLOOKUP(A21,'Jurnal Umum'!$C$119:$C$129,'Jurnal Umum'!$D$119:$E$129),"")</f>
        <v/>
      </c>
      <c r="F21" s="142"/>
      <c r="G21" s="140" t="str">
        <f t="shared" si="2"/>
        <v/>
      </c>
      <c r="H21" s="142">
        <f t="shared" si="3"/>
        <v>400000000</v>
      </c>
      <c r="I21" s="143" t="str">
        <f t="array" ref="I21">IFERROR(XLOOKUP(A21,'Jurnal Penyesuai'!$R$4:$R$21,'Jurnal Penyesuai'!$S$4:$T$21),"")</f>
        <v/>
      </c>
      <c r="J21" s="141"/>
      <c r="K21" s="143">
        <f t="shared" si="4"/>
        <v>0</v>
      </c>
      <c r="L21" s="141">
        <f t="shared" si="19"/>
        <v>400000000</v>
      </c>
      <c r="M21" s="140"/>
      <c r="N21" s="142"/>
      <c r="O21" s="143"/>
      <c r="P21" s="141"/>
      <c r="Q21" s="144">
        <f t="shared" ref="Q21:R21" si="23">IF(AND(M21="",O21=""),K21,"")</f>
        <v>0</v>
      </c>
      <c r="R21" s="144">
        <f t="shared" si="23"/>
        <v>400000000</v>
      </c>
    </row>
    <row r="22" ht="15.75" customHeight="1">
      <c r="A22" s="145">
        <v>303.0</v>
      </c>
      <c r="B22" s="146" t="s">
        <v>21</v>
      </c>
      <c r="C22" s="138"/>
      <c r="D22" s="147"/>
      <c r="E22" s="140" t="str">
        <f t="array" ref="E22">IFERROR(XLOOKUP(A22,'Jurnal Umum'!$C$119:$C$129,'Jurnal Umum'!$D$119:$E$129),"")</f>
        <v/>
      </c>
      <c r="F22" s="142"/>
      <c r="G22" s="140">
        <f t="shared" si="2"/>
        <v>0</v>
      </c>
      <c r="H22" s="142">
        <f t="shared" si="3"/>
        <v>0</v>
      </c>
      <c r="I22" s="143">
        <f t="array" ref="I22:J22">IFERROR(XLOOKUP(A22,'Jurnal Penyesuai'!$R$4:$R$21,'Jurnal Penyesuai'!$S$4:$T$21),"")</f>
        <v>22450000</v>
      </c>
      <c r="J22" s="141">
        <v>2.03E7</v>
      </c>
      <c r="K22" s="143">
        <f t="shared" si="4"/>
        <v>2150000</v>
      </c>
      <c r="L22" s="141" t="str">
        <f t="shared" si="19"/>
        <v/>
      </c>
      <c r="M22" s="140"/>
      <c r="N22" s="142"/>
      <c r="O22" s="143"/>
      <c r="P22" s="141"/>
      <c r="Q22" s="144">
        <f t="shared" ref="Q22:R22" si="24">IF(AND(M22="",O22=""),K22,"")</f>
        <v>2150000</v>
      </c>
      <c r="R22" s="144" t="str">
        <f t="shared" si="24"/>
        <v/>
      </c>
    </row>
    <row r="23" ht="15.75" customHeight="1">
      <c r="A23" s="145">
        <v>400.0</v>
      </c>
      <c r="B23" s="146" t="s">
        <v>22</v>
      </c>
      <c r="C23" s="138"/>
      <c r="D23" s="147">
        <v>4.285E9</v>
      </c>
      <c r="E23" s="140">
        <f t="array" ref="E23:F23">IFERROR(XLOOKUP(A23,'Jurnal Umum'!$C$119:$C$129,'Jurnal Umum'!$D$119:$E$129),"")</f>
        <v>0</v>
      </c>
      <c r="F23" s="142">
        <v>2640000.0</v>
      </c>
      <c r="G23" s="140" t="str">
        <f t="shared" si="2"/>
        <v/>
      </c>
      <c r="H23" s="142">
        <f t="shared" si="3"/>
        <v>4287640000</v>
      </c>
      <c r="I23" s="143" t="str">
        <f t="array" ref="I23">IFERROR(XLOOKUP(A23,'Jurnal Penyesuai'!$R$4:$R$21,'Jurnal Penyesuai'!$S$4:$T$21),"")</f>
        <v/>
      </c>
      <c r="J23" s="141"/>
      <c r="K23" s="143">
        <f t="shared" si="4"/>
        <v>0</v>
      </c>
      <c r="L23" s="141">
        <f t="shared" si="19"/>
        <v>4287640000</v>
      </c>
      <c r="M23" s="140">
        <f t="shared" ref="M23:N23" si="25">K23</f>
        <v>0</v>
      </c>
      <c r="N23" s="142">
        <f t="shared" si="25"/>
        <v>4287640000</v>
      </c>
      <c r="O23" s="143"/>
      <c r="P23" s="141"/>
      <c r="Q23" s="144" t="str">
        <f t="shared" ref="Q23:R23" si="26">IF(AND(M23="",O23=""),K23,"")</f>
        <v/>
      </c>
      <c r="R23" s="144" t="str">
        <f t="shared" si="26"/>
        <v/>
      </c>
    </row>
    <row r="24" ht="15.75" customHeight="1">
      <c r="A24" s="145">
        <v>401.0</v>
      </c>
      <c r="B24" s="146" t="s">
        <v>23</v>
      </c>
      <c r="C24" s="138">
        <v>5000000.0</v>
      </c>
      <c r="D24" s="147"/>
      <c r="E24" s="140" t="str">
        <f t="array" ref="E24">IFERROR(XLOOKUP(A24,'Jurnal Umum'!$C$119:$C$129,'Jurnal Umum'!$D$119:$E$129),"")</f>
        <v/>
      </c>
      <c r="F24" s="142"/>
      <c r="G24" s="140">
        <f t="shared" si="2"/>
        <v>5000000</v>
      </c>
      <c r="H24" s="142" t="str">
        <f t="shared" si="3"/>
        <v/>
      </c>
      <c r="I24" s="143" t="str">
        <f t="array" ref="I24">IFERROR(XLOOKUP(A24,'Jurnal Penyesuai'!$R$4:$R$21,'Jurnal Penyesuai'!$S$4:$T$21),"")</f>
        <v/>
      </c>
      <c r="J24" s="141"/>
      <c r="K24" s="143">
        <f t="shared" si="4"/>
        <v>5000000</v>
      </c>
      <c r="L24" s="141" t="str">
        <f t="shared" si="19"/>
        <v/>
      </c>
      <c r="M24" s="140">
        <f t="shared" ref="M24:N24" si="27">K24</f>
        <v>5000000</v>
      </c>
      <c r="N24" s="142" t="str">
        <f t="shared" si="27"/>
        <v/>
      </c>
      <c r="O24" s="143"/>
      <c r="P24" s="141"/>
      <c r="Q24" s="144" t="str">
        <f t="shared" ref="Q24:R24" si="28">IF(AND(M24="",O24=""),K24,"")</f>
        <v/>
      </c>
      <c r="R24" s="144" t="str">
        <f t="shared" si="28"/>
        <v/>
      </c>
    </row>
    <row r="25" ht="15.75" customHeight="1">
      <c r="A25" s="145">
        <v>500.0</v>
      </c>
      <c r="B25" s="146" t="s">
        <v>24</v>
      </c>
      <c r="C25" s="138">
        <v>2.857E9</v>
      </c>
      <c r="D25" s="147"/>
      <c r="E25" s="140">
        <f t="array" ref="E25:F25">IFERROR(XLOOKUP(A25,'Jurnal Umum'!$C$119:$C$129,'Jurnal Umum'!$D$119:$E$129),"")</f>
        <v>431200</v>
      </c>
      <c r="F25" s="142">
        <v>0.0</v>
      </c>
      <c r="G25" s="140">
        <f t="shared" si="2"/>
        <v>2857431200</v>
      </c>
      <c r="H25" s="142" t="str">
        <f t="shared" si="3"/>
        <v/>
      </c>
      <c r="I25" s="143" t="str">
        <f t="array" ref="I25">IFERROR(XLOOKUP(A25,'Jurnal Penyesuai'!$R$4:$R$21,'Jurnal Penyesuai'!$S$4:$T$21),"")</f>
        <v/>
      </c>
      <c r="J25" s="141"/>
      <c r="K25" s="143">
        <f t="shared" si="4"/>
        <v>2857431200</v>
      </c>
      <c r="L25" s="141" t="str">
        <f t="shared" si="19"/>
        <v/>
      </c>
      <c r="M25" s="140">
        <f t="shared" ref="M25:N25" si="29">K25</f>
        <v>2857431200</v>
      </c>
      <c r="N25" s="142" t="str">
        <f t="shared" si="29"/>
        <v/>
      </c>
      <c r="O25" s="143"/>
      <c r="P25" s="141"/>
      <c r="Q25" s="144" t="str">
        <f t="shared" ref="Q25:R25" si="30">IF(AND(M25="",O25=""),K25,"")</f>
        <v/>
      </c>
      <c r="R25" s="144" t="str">
        <f t="shared" si="30"/>
        <v/>
      </c>
    </row>
    <row r="26" ht="15.75" customHeight="1">
      <c r="A26" s="145">
        <v>501.0</v>
      </c>
      <c r="B26" s="146" t="s">
        <v>25</v>
      </c>
      <c r="C26" s="138"/>
      <c r="D26" s="147">
        <v>7000000.0</v>
      </c>
      <c r="E26" s="140" t="str">
        <f t="array" ref="E26">IFERROR(XLOOKUP(A26,'Jurnal Umum'!$C$119:$C$129,'Jurnal Umum'!$D$119:$E$129),"")</f>
        <v/>
      </c>
      <c r="F26" s="142"/>
      <c r="G26" s="140" t="str">
        <f t="shared" si="2"/>
        <v/>
      </c>
      <c r="H26" s="142">
        <f t="shared" si="3"/>
        <v>7000000</v>
      </c>
      <c r="I26" s="143" t="str">
        <f t="array" ref="I26">IFERROR(XLOOKUP(A26,'Jurnal Penyesuai'!$R$4:$R$21,'Jurnal Penyesuai'!$S$4:$T$21),"")</f>
        <v/>
      </c>
      <c r="J26" s="141"/>
      <c r="K26" s="143">
        <f t="shared" si="4"/>
        <v>0</v>
      </c>
      <c r="L26" s="141">
        <f t="shared" si="19"/>
        <v>7000000</v>
      </c>
      <c r="M26" s="140">
        <f t="shared" ref="M26:N26" si="31">K26</f>
        <v>0</v>
      </c>
      <c r="N26" s="142">
        <f t="shared" si="31"/>
        <v>7000000</v>
      </c>
      <c r="O26" s="143"/>
      <c r="P26" s="141"/>
      <c r="Q26" s="144" t="str">
        <f t="shared" ref="Q26:R26" si="32">IF(AND(M26="",O26=""),K26,"")</f>
        <v/>
      </c>
      <c r="R26" s="144" t="str">
        <f t="shared" si="32"/>
        <v/>
      </c>
    </row>
    <row r="27" ht="15.75" customHeight="1">
      <c r="A27" s="145">
        <v>600.0</v>
      </c>
      <c r="B27" s="146" t="s">
        <v>26</v>
      </c>
      <c r="C27" s="138"/>
      <c r="D27" s="147"/>
      <c r="E27" s="140" t="str">
        <f t="array" ref="E27">IFERROR(XLOOKUP(A27,'Jurnal Umum'!$C$119:$C$129,'Jurnal Umum'!$D$119:$E$129),"")</f>
        <v/>
      </c>
      <c r="F27" s="142"/>
      <c r="G27" s="140">
        <f t="shared" si="2"/>
        <v>0</v>
      </c>
      <c r="H27" s="142">
        <f t="shared" si="3"/>
        <v>0</v>
      </c>
      <c r="I27" s="143">
        <f t="array" ref="I27:J27">IFERROR(XLOOKUP(A27,'Jurnal Penyesuai'!$R$4:$R$21,'Jurnal Penyesuai'!$S$4:$T$21),"")</f>
        <v>780000</v>
      </c>
      <c r="J27" s="141">
        <v>0.0</v>
      </c>
      <c r="K27" s="143">
        <f t="shared" si="4"/>
        <v>780000</v>
      </c>
      <c r="L27" s="141" t="str">
        <f t="shared" si="19"/>
        <v/>
      </c>
      <c r="M27" s="140">
        <f t="shared" ref="M27:N27" si="33">K27</f>
        <v>780000</v>
      </c>
      <c r="N27" s="142" t="str">
        <f t="shared" si="33"/>
        <v/>
      </c>
      <c r="O27" s="143"/>
      <c r="P27" s="141"/>
      <c r="Q27" s="144" t="str">
        <f t="shared" ref="Q27:R27" si="34">IF(AND(M27="",O27=""),K27,"")</f>
        <v/>
      </c>
      <c r="R27" s="144" t="str">
        <f t="shared" si="34"/>
        <v/>
      </c>
    </row>
    <row r="28" ht="15.75" customHeight="1">
      <c r="A28" s="145">
        <v>601.0</v>
      </c>
      <c r="B28" s="146" t="s">
        <v>27</v>
      </c>
      <c r="C28" s="138"/>
      <c r="D28" s="147"/>
      <c r="E28" s="140" t="str">
        <f t="array" ref="E28">IFERROR(XLOOKUP(A28,'Jurnal Umum'!$C$119:$C$129,'Jurnal Umum'!$D$119:$E$129),"")</f>
        <v/>
      </c>
      <c r="F28" s="142"/>
      <c r="G28" s="140">
        <f t="shared" si="2"/>
        <v>0</v>
      </c>
      <c r="H28" s="142">
        <f t="shared" si="3"/>
        <v>0</v>
      </c>
      <c r="I28" s="143">
        <f t="array" ref="I28:J28">IFERROR(XLOOKUP(A28,'Jurnal Penyesuai'!$R$4:$R$21,'Jurnal Penyesuai'!$S$4:$T$21),"")</f>
        <v>520000</v>
      </c>
      <c r="J28" s="141">
        <v>0.0</v>
      </c>
      <c r="K28" s="143">
        <f t="shared" si="4"/>
        <v>520000</v>
      </c>
      <c r="L28" s="141" t="str">
        <f t="shared" si="19"/>
        <v/>
      </c>
      <c r="M28" s="140">
        <f t="shared" ref="M28:N28" si="35">K28</f>
        <v>520000</v>
      </c>
      <c r="N28" s="142" t="str">
        <f t="shared" si="35"/>
        <v/>
      </c>
      <c r="O28" s="143"/>
      <c r="P28" s="141"/>
      <c r="Q28" s="144" t="str">
        <f t="shared" ref="Q28:R28" si="36">IF(AND(M28="",O28=""),K28,"")</f>
        <v/>
      </c>
      <c r="R28" s="144" t="str">
        <f t="shared" si="36"/>
        <v/>
      </c>
    </row>
    <row r="29" ht="15.75" customHeight="1">
      <c r="A29" s="145">
        <v>602.0</v>
      </c>
      <c r="B29" s="146" t="s">
        <v>28</v>
      </c>
      <c r="C29" s="138"/>
      <c r="D29" s="147"/>
      <c r="E29" s="140" t="str">
        <f t="array" ref="E29">IFERROR(XLOOKUP(A29,'Jurnal Umum'!$C$119:$C$129,'Jurnal Umum'!$D$119:$E$129),"")</f>
        <v/>
      </c>
      <c r="F29" s="142"/>
      <c r="G29" s="140">
        <f t="shared" si="2"/>
        <v>0</v>
      </c>
      <c r="H29" s="142">
        <f t="shared" si="3"/>
        <v>0</v>
      </c>
      <c r="I29" s="143">
        <f t="array" ref="I29:J29">IFERROR(XLOOKUP(A29,'Jurnal Penyesuai'!$R$4:$R$21,'Jurnal Penyesuai'!$S$4:$T$21),"")</f>
        <v>500000</v>
      </c>
      <c r="J29" s="141">
        <v>0.0</v>
      </c>
      <c r="K29" s="143">
        <f t="shared" si="4"/>
        <v>500000</v>
      </c>
      <c r="L29" s="141" t="str">
        <f t="shared" si="19"/>
        <v/>
      </c>
      <c r="M29" s="140">
        <f t="shared" ref="M29:N29" si="37">K29</f>
        <v>500000</v>
      </c>
      <c r="N29" s="142" t="str">
        <f t="shared" si="37"/>
        <v/>
      </c>
      <c r="O29" s="143"/>
      <c r="P29" s="141"/>
      <c r="Q29" s="144" t="str">
        <f t="shared" ref="Q29:R29" si="38">IF(AND(M29="",O29=""),K29,"")</f>
        <v/>
      </c>
      <c r="R29" s="144" t="str">
        <f t="shared" si="38"/>
        <v/>
      </c>
    </row>
    <row r="30" ht="15.75" customHeight="1">
      <c r="A30" s="145">
        <v>603.0</v>
      </c>
      <c r="B30" s="146" t="s">
        <v>29</v>
      </c>
      <c r="C30" s="138"/>
      <c r="D30" s="147"/>
      <c r="E30" s="140" t="str">
        <f t="array" ref="E30">IFERROR(XLOOKUP(A30,'Jurnal Umum'!$C$119:$C$129,'Jurnal Umum'!$D$119:$E$129),"")</f>
        <v/>
      </c>
      <c r="F30" s="142"/>
      <c r="G30" s="140">
        <f t="shared" si="2"/>
        <v>0</v>
      </c>
      <c r="H30" s="142">
        <f t="shared" si="3"/>
        <v>0</v>
      </c>
      <c r="I30" s="143">
        <f t="array" ref="I30:J30">IFERROR(XLOOKUP(A30,'Jurnal Penyesuai'!$R$4:$R$21,'Jurnal Penyesuai'!$S$4:$T$21),"")</f>
        <v>400000</v>
      </c>
      <c r="J30" s="141">
        <v>0.0</v>
      </c>
      <c r="K30" s="143">
        <f t="shared" si="4"/>
        <v>400000</v>
      </c>
      <c r="L30" s="141" t="str">
        <f t="shared" si="19"/>
        <v/>
      </c>
      <c r="M30" s="140">
        <f t="shared" ref="M30:N30" si="39">K30</f>
        <v>400000</v>
      </c>
      <c r="N30" s="142" t="str">
        <f t="shared" si="39"/>
        <v/>
      </c>
      <c r="O30" s="143"/>
      <c r="P30" s="141"/>
      <c r="Q30" s="144" t="str">
        <f t="shared" ref="Q30:R30" si="40">IF(AND(M30="",O30=""),K30,"")</f>
        <v/>
      </c>
      <c r="R30" s="144" t="str">
        <f t="shared" si="40"/>
        <v/>
      </c>
    </row>
    <row r="31" ht="15.75" customHeight="1">
      <c r="A31" s="145">
        <v>604.0</v>
      </c>
      <c r="B31" s="146" t="s">
        <v>30</v>
      </c>
      <c r="C31" s="138"/>
      <c r="D31" s="147"/>
      <c r="E31" s="140" t="str">
        <f t="array" ref="E31">IFERROR(XLOOKUP(A31,'Jurnal Umum'!$C$119:$C$129,'Jurnal Umum'!$D$119:$E$129),"")</f>
        <v/>
      </c>
      <c r="F31" s="142"/>
      <c r="G31" s="140">
        <f t="shared" si="2"/>
        <v>0</v>
      </c>
      <c r="H31" s="142">
        <f t="shared" si="3"/>
        <v>0</v>
      </c>
      <c r="I31" s="143">
        <f t="array" ref="I31:J31">IFERROR(XLOOKUP(A31,'Jurnal Penyesuai'!$R$4:$R$21,'Jurnal Penyesuai'!$S$4:$T$21),"")</f>
        <v>25000</v>
      </c>
      <c r="J31" s="141">
        <v>0.0</v>
      </c>
      <c r="K31" s="143">
        <f t="shared" si="4"/>
        <v>25000</v>
      </c>
      <c r="L31" s="141" t="str">
        <f t="shared" si="19"/>
        <v/>
      </c>
      <c r="M31" s="140">
        <f t="shared" ref="M31:N31" si="41">K31</f>
        <v>25000</v>
      </c>
      <c r="N31" s="142" t="str">
        <f t="shared" si="41"/>
        <v/>
      </c>
      <c r="O31" s="143"/>
      <c r="P31" s="141"/>
      <c r="Q31" s="144" t="str">
        <f t="shared" ref="Q31:R31" si="42">IF(AND(M31="",O31=""),K31,"")</f>
        <v/>
      </c>
      <c r="R31" s="144" t="str">
        <f t="shared" si="42"/>
        <v/>
      </c>
    </row>
    <row r="32" ht="15.75" customHeight="1">
      <c r="A32" s="145">
        <v>605.0</v>
      </c>
      <c r="B32" s="146" t="s">
        <v>31</v>
      </c>
      <c r="C32" s="138"/>
      <c r="D32" s="147"/>
      <c r="E32" s="140" t="str">
        <f t="array" ref="E32">IFERROR(XLOOKUP(A32,'Jurnal Umum'!$C$119:$C$129,'Jurnal Umum'!$D$119:$E$129),"")</f>
        <v/>
      </c>
      <c r="F32" s="142"/>
      <c r="G32" s="140">
        <f t="shared" si="2"/>
        <v>0</v>
      </c>
      <c r="H32" s="142">
        <f t="shared" si="3"/>
        <v>0</v>
      </c>
      <c r="I32" s="143">
        <f t="array" ref="I32:J32">IFERROR(XLOOKUP(A32,'Jurnal Penyesuai'!$R$4:$R$21,'Jurnal Penyesuai'!$S$4:$T$21),"")</f>
        <v>336600000</v>
      </c>
      <c r="J32" s="141">
        <v>0.0</v>
      </c>
      <c r="K32" s="143">
        <f t="shared" si="4"/>
        <v>336600000</v>
      </c>
      <c r="L32" s="141" t="str">
        <f t="shared" si="19"/>
        <v/>
      </c>
      <c r="M32" s="140">
        <f t="shared" ref="M32:N32" si="43">K32</f>
        <v>336600000</v>
      </c>
      <c r="N32" s="142" t="str">
        <f t="shared" si="43"/>
        <v/>
      </c>
      <c r="O32" s="143"/>
      <c r="P32" s="141"/>
      <c r="Q32" s="144" t="str">
        <f t="shared" ref="Q32:R32" si="44">IF(AND(M32="",O32=""),K32,"")</f>
        <v/>
      </c>
      <c r="R32" s="144" t="str">
        <f t="shared" si="44"/>
        <v/>
      </c>
    </row>
    <row r="33" ht="15.75" customHeight="1">
      <c r="A33" s="145">
        <v>606.0</v>
      </c>
      <c r="B33" s="146" t="s">
        <v>32</v>
      </c>
      <c r="C33" s="138">
        <v>2.805E8</v>
      </c>
      <c r="D33" s="147"/>
      <c r="E33" s="140" t="str">
        <f t="array" ref="E33">IFERROR(XLOOKUP(A33,'Jurnal Umum'!$C$119:$C$129,'Jurnal Umum'!$D$119:$E$129),"")</f>
        <v/>
      </c>
      <c r="F33" s="142"/>
      <c r="G33" s="140">
        <f t="shared" si="2"/>
        <v>280500000</v>
      </c>
      <c r="H33" s="142" t="str">
        <f t="shared" si="3"/>
        <v/>
      </c>
      <c r="I33" s="143" t="str">
        <f t="array" ref="I33">IFERROR(XLOOKUP(A33,'Jurnal Penyesuai'!$R$4:$R$21,'Jurnal Penyesuai'!$S$4:$T$21),"")</f>
        <v/>
      </c>
      <c r="J33" s="141"/>
      <c r="K33" s="143">
        <f t="shared" si="4"/>
        <v>280500000</v>
      </c>
      <c r="L33" s="141" t="str">
        <f t="shared" si="19"/>
        <v/>
      </c>
      <c r="M33" s="140">
        <f t="shared" ref="M33:N33" si="45">K33</f>
        <v>280500000</v>
      </c>
      <c r="N33" s="142" t="str">
        <f t="shared" si="45"/>
        <v/>
      </c>
      <c r="O33" s="143"/>
      <c r="P33" s="141"/>
      <c r="Q33" s="144" t="str">
        <f t="shared" ref="Q33:R33" si="46">IF(AND(M33="",O33=""),K33,"")</f>
        <v/>
      </c>
      <c r="R33" s="144" t="str">
        <f t="shared" si="46"/>
        <v/>
      </c>
    </row>
    <row r="34" ht="15.75" customHeight="1">
      <c r="A34" s="145">
        <v>607.0</v>
      </c>
      <c r="B34" s="146" t="s">
        <v>30</v>
      </c>
      <c r="C34" s="138">
        <v>1.87E8</v>
      </c>
      <c r="D34" s="147"/>
      <c r="E34" s="140" t="str">
        <f t="array" ref="E34">IFERROR(XLOOKUP(A34,'Jurnal Umum'!$C$119:$C$129,'Jurnal Umum'!$D$119:$E$129),"")</f>
        <v/>
      </c>
      <c r="F34" s="142"/>
      <c r="G34" s="140">
        <f t="shared" si="2"/>
        <v>187000000</v>
      </c>
      <c r="H34" s="142" t="str">
        <f t="shared" si="3"/>
        <v/>
      </c>
      <c r="I34" s="143" t="str">
        <f t="array" ref="I34">IFERROR(XLOOKUP(A34,'Jurnal Penyesuai'!$R$4:$R$21,'Jurnal Penyesuai'!$S$4:$T$21),"")</f>
        <v/>
      </c>
      <c r="J34" s="141"/>
      <c r="K34" s="143">
        <f t="shared" si="4"/>
        <v>187000000</v>
      </c>
      <c r="L34" s="141" t="str">
        <f t="shared" si="19"/>
        <v/>
      </c>
      <c r="M34" s="140">
        <f t="shared" ref="M34:N34" si="47">K34</f>
        <v>187000000</v>
      </c>
      <c r="N34" s="142" t="str">
        <f t="shared" si="47"/>
        <v/>
      </c>
      <c r="O34" s="143"/>
      <c r="P34" s="141"/>
      <c r="Q34" s="144" t="str">
        <f t="shared" ref="Q34:R34" si="48">IF(AND(M34="",O34=""),K34,"")</f>
        <v/>
      </c>
      <c r="R34" s="144" t="str">
        <f t="shared" si="48"/>
        <v/>
      </c>
    </row>
    <row r="35" ht="15.75" customHeight="1">
      <c r="A35" s="145">
        <v>608.0</v>
      </c>
      <c r="B35" s="146" t="s">
        <v>33</v>
      </c>
      <c r="C35" s="138">
        <v>9800000.0</v>
      </c>
      <c r="D35" s="147"/>
      <c r="E35" s="140">
        <f t="array" ref="E35:F35">IFERROR(XLOOKUP(A35,'Jurnal Umum'!$C$119:$C$129,'Jurnal Umum'!$D$119:$E$129),"")</f>
        <v>450000</v>
      </c>
      <c r="F35" s="142">
        <v>0.0</v>
      </c>
      <c r="G35" s="140">
        <f t="shared" si="2"/>
        <v>10250000</v>
      </c>
      <c r="H35" s="142" t="str">
        <f t="shared" si="3"/>
        <v/>
      </c>
      <c r="I35" s="143" t="str">
        <f t="array" ref="I35">IFERROR(XLOOKUP(A35,'Jurnal Penyesuai'!$R$4:$R$21,'Jurnal Penyesuai'!$S$4:$T$21),"")</f>
        <v/>
      </c>
      <c r="J35" s="141"/>
      <c r="K35" s="143">
        <f t="shared" si="4"/>
        <v>10250000</v>
      </c>
      <c r="L35" s="141" t="str">
        <f t="shared" si="19"/>
        <v/>
      </c>
      <c r="M35" s="140">
        <f t="shared" ref="M35:N35" si="49">K35</f>
        <v>10250000</v>
      </c>
      <c r="N35" s="142" t="str">
        <f t="shared" si="49"/>
        <v/>
      </c>
      <c r="O35" s="143"/>
      <c r="P35" s="141"/>
      <c r="Q35" s="144" t="str">
        <f t="shared" ref="Q35:R35" si="50">IF(AND(M35="",O35=""),K35,"")</f>
        <v/>
      </c>
      <c r="R35" s="144" t="str">
        <f t="shared" si="50"/>
        <v/>
      </c>
    </row>
    <row r="36" ht="15.75" customHeight="1">
      <c r="A36" s="145">
        <v>609.0</v>
      </c>
      <c r="B36" s="146" t="s">
        <v>34</v>
      </c>
      <c r="C36" s="138"/>
      <c r="D36" s="147"/>
      <c r="E36" s="140" t="str">
        <f t="array" ref="E36">IFERROR(XLOOKUP(A36,'Jurnal Umum'!$C$119:$C$129,'Jurnal Umum'!$D$119:$E$129),"")</f>
        <v/>
      </c>
      <c r="F36" s="142"/>
      <c r="G36" s="140">
        <f t="shared" si="2"/>
        <v>0</v>
      </c>
      <c r="H36" s="142">
        <f t="shared" si="3"/>
        <v>0</v>
      </c>
      <c r="I36" s="143">
        <f t="array" ref="I36:J36">IFERROR(XLOOKUP(A36,'Jurnal Penyesuai'!$R$4:$R$21,'Jurnal Penyesuai'!$S$4:$T$21),"")</f>
        <v>1010000</v>
      </c>
      <c r="J36" s="141">
        <v>0.0</v>
      </c>
      <c r="K36" s="143">
        <f t="shared" si="4"/>
        <v>1010000</v>
      </c>
      <c r="L36" s="141" t="str">
        <f t="shared" si="19"/>
        <v/>
      </c>
      <c r="M36" s="140">
        <f t="shared" ref="M36:N36" si="51">K36</f>
        <v>1010000</v>
      </c>
      <c r="N36" s="142" t="str">
        <f t="shared" si="51"/>
        <v/>
      </c>
      <c r="O36" s="143"/>
      <c r="P36" s="141"/>
      <c r="Q36" s="144" t="str">
        <f t="shared" ref="Q36:R36" si="52">IF(AND(M36="",O36=""),K36,"")</f>
        <v/>
      </c>
      <c r="R36" s="144" t="str">
        <f t="shared" si="52"/>
        <v/>
      </c>
    </row>
    <row r="37" ht="15.75" customHeight="1">
      <c r="A37" s="145">
        <v>610.0</v>
      </c>
      <c r="B37" s="146" t="s">
        <v>35</v>
      </c>
      <c r="C37" s="138"/>
      <c r="D37" s="147"/>
      <c r="E37" s="140" t="str">
        <f t="array" ref="E37">IFERROR(XLOOKUP(A37,'Jurnal Umum'!$C$119:$C$129,'Jurnal Umum'!$D$119:$E$129),"")</f>
        <v/>
      </c>
      <c r="F37" s="142"/>
      <c r="G37" s="140">
        <f t="shared" si="2"/>
        <v>0</v>
      </c>
      <c r="H37" s="142">
        <f t="shared" si="3"/>
        <v>0</v>
      </c>
      <c r="I37" s="143">
        <f t="array" ref="I37:J37">IFERROR(XLOOKUP(A37,'Jurnal Penyesuai'!$R$4:$R$21,'Jurnal Penyesuai'!$S$4:$T$21),"")</f>
        <v>80000</v>
      </c>
      <c r="J37" s="141">
        <v>0.0</v>
      </c>
      <c r="K37" s="143">
        <f t="shared" si="4"/>
        <v>80000</v>
      </c>
      <c r="L37" s="141" t="str">
        <f t="shared" si="19"/>
        <v/>
      </c>
      <c r="M37" s="140">
        <f t="shared" ref="M37:N37" si="53">K37</f>
        <v>80000</v>
      </c>
      <c r="N37" s="142" t="str">
        <f t="shared" si="53"/>
        <v/>
      </c>
      <c r="O37" s="143"/>
      <c r="P37" s="141"/>
      <c r="Q37" s="144" t="str">
        <f t="shared" ref="Q37:R37" si="54">IF(AND(M37="",O37=""),K37,"")</f>
        <v/>
      </c>
      <c r="R37" s="144" t="str">
        <f t="shared" si="54"/>
        <v/>
      </c>
    </row>
    <row r="38" ht="15.75" customHeight="1">
      <c r="A38" s="150">
        <v>700.0</v>
      </c>
      <c r="B38" s="101" t="s">
        <v>36</v>
      </c>
      <c r="C38" s="151"/>
      <c r="D38" s="152">
        <v>1.5E7</v>
      </c>
      <c r="E38" s="153" t="str">
        <f t="array" ref="E38">IFERROR(XLOOKUP(A38,'Jurnal Umum'!$C$119:$C$129,'Jurnal Umum'!$D$119:$E$129),"")</f>
        <v/>
      </c>
      <c r="F38" s="154"/>
      <c r="G38" s="153" t="str">
        <f t="shared" si="2"/>
        <v/>
      </c>
      <c r="H38" s="154">
        <f t="shared" si="3"/>
        <v>15000000</v>
      </c>
      <c r="I38" s="155">
        <f t="array" ref="I38:J38">IFERROR(XLOOKUP(A38,'Jurnal Penyesuai'!$R$4:$R$21,'Jurnal Penyesuai'!$S$4:$T$21),"")</f>
        <v>0</v>
      </c>
      <c r="J38" s="156">
        <v>2000000.0</v>
      </c>
      <c r="K38" s="155" t="str">
        <f t="shared" si="4"/>
        <v/>
      </c>
      <c r="L38" s="156">
        <f>J38+H38</f>
        <v>17000000</v>
      </c>
      <c r="M38" s="153" t="str">
        <f t="shared" ref="M38:N38" si="55">K38</f>
        <v/>
      </c>
      <c r="N38" s="154">
        <f t="shared" si="55"/>
        <v>17000000</v>
      </c>
      <c r="O38" s="155"/>
      <c r="P38" s="156"/>
      <c r="Q38" s="157" t="str">
        <f t="shared" ref="Q38:R38" si="56">IF(AND(M38="",O38=""),K38,"")</f>
        <v/>
      </c>
      <c r="R38" s="157" t="str">
        <f t="shared" si="56"/>
        <v/>
      </c>
    </row>
    <row r="39" ht="15.75" customHeight="1">
      <c r="A39" s="158" t="s">
        <v>133</v>
      </c>
      <c r="B39" s="159"/>
      <c r="C39" s="160">
        <f t="shared" ref="C39:E39" si="57">SUM(C3:C38)</f>
        <v>6929850000</v>
      </c>
      <c r="D39" s="160">
        <f t="shared" si="57"/>
        <v>6929850000</v>
      </c>
      <c r="E39" s="160">
        <f t="shared" si="57"/>
        <v>17991200</v>
      </c>
      <c r="F39" s="160">
        <f>SUM(F2:F38)</f>
        <v>17991200</v>
      </c>
      <c r="G39" s="160">
        <f t="shared" ref="G39:L39" si="58">SUM(G5:G38)</f>
        <v>6931301200</v>
      </c>
      <c r="H39" s="160">
        <f t="shared" si="58"/>
        <v>6931301200</v>
      </c>
      <c r="I39" s="160">
        <f t="shared" si="58"/>
        <v>383655000</v>
      </c>
      <c r="J39" s="160">
        <f t="shared" si="58"/>
        <v>383655000</v>
      </c>
      <c r="K39" s="160">
        <f t="shared" si="58"/>
        <v>7269981200</v>
      </c>
      <c r="L39" s="160">
        <f t="shared" si="58"/>
        <v>7269981200</v>
      </c>
      <c r="M39" s="160">
        <f t="shared" ref="M39:R39" si="59">SUM(M2:M38)</f>
        <v>3680096200</v>
      </c>
      <c r="N39" s="160">
        <f t="shared" si="59"/>
        <v>4311640000</v>
      </c>
      <c r="O39" s="160">
        <f t="shared" si="59"/>
        <v>0</v>
      </c>
      <c r="P39" s="160">
        <f t="shared" si="59"/>
        <v>0</v>
      </c>
      <c r="Q39" s="160">
        <f t="shared" si="59"/>
        <v>3589885000</v>
      </c>
      <c r="R39" s="160">
        <f t="shared" si="59"/>
        <v>2958341200</v>
      </c>
    </row>
    <row r="40" ht="15.75" customHeight="1">
      <c r="A40" s="161"/>
      <c r="B40" s="54"/>
      <c r="C40" s="162"/>
      <c r="D40" s="162"/>
      <c r="E40" s="162"/>
      <c r="F40" s="162"/>
      <c r="G40" s="162"/>
      <c r="H40" s="162"/>
      <c r="I40" s="162"/>
      <c r="J40" s="163" t="str">
        <f>IF(M40=R40,"Retained Earnings",if(N40=Q40,"Retained Loss","Wrong"))</f>
        <v>Retained Earnings</v>
      </c>
      <c r="K40" s="62"/>
      <c r="L40" s="63"/>
      <c r="M40" s="164">
        <f>IF(N39-M39&lt;0,"",N39-M39)</f>
        <v>631543800</v>
      </c>
      <c r="N40" s="164" t="str">
        <f>IF(M39-N39&lt;0,"",M39-N39)</f>
        <v/>
      </c>
      <c r="O40" s="165"/>
      <c r="P40" s="165"/>
      <c r="Q40" s="165" t="str">
        <f>IF(R39-Q39&lt;0,"",R39-Q39)</f>
        <v/>
      </c>
      <c r="R40" s="164">
        <f>IF(Q39-R39&lt;0,"",Q39-R39)</f>
        <v>631543800</v>
      </c>
    </row>
    <row r="41" ht="15.75" customHeight="1">
      <c r="A41" s="161"/>
      <c r="B41" s="54"/>
      <c r="C41" s="162"/>
      <c r="D41" s="162"/>
      <c r="E41" s="162"/>
      <c r="F41" s="162"/>
      <c r="G41" s="162"/>
      <c r="H41" s="162"/>
      <c r="I41" s="162"/>
      <c r="J41" s="166"/>
      <c r="K41" s="167"/>
      <c r="L41" s="168"/>
      <c r="M41" s="169"/>
      <c r="N41" s="169"/>
      <c r="O41" s="169"/>
      <c r="P41" s="169"/>
      <c r="Q41" s="169"/>
      <c r="R41" s="169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I3:J3"/>
    <mergeCell ref="K3:L3"/>
    <mergeCell ref="M3:N3"/>
    <mergeCell ref="O3:P3"/>
    <mergeCell ref="Q3:R3"/>
    <mergeCell ref="J40:L40"/>
    <mergeCell ref="C1:H1"/>
    <mergeCell ref="C2:H2"/>
    <mergeCell ref="A3:A4"/>
    <mergeCell ref="B3:B4"/>
    <mergeCell ref="C3:D3"/>
    <mergeCell ref="E3:F3"/>
    <mergeCell ref="G3:H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4.63"/>
    <col customWidth="1" min="3" max="3" width="14.88"/>
    <col customWidth="1" min="4" max="4" width="12.63"/>
    <col customWidth="1" min="5" max="5" width="14.88"/>
    <col customWidth="1" min="6" max="6" width="12.63"/>
    <col customWidth="1" min="7" max="7" width="11.88"/>
    <col customWidth="1" min="8" max="8" width="27.25"/>
    <col customWidth="1" min="9" max="9" width="13.88"/>
    <col customWidth="1" min="10" max="10" width="17.25"/>
  </cols>
  <sheetData>
    <row r="1" ht="15.75" customHeight="1"/>
    <row r="2" ht="15.75" customHeight="1">
      <c r="B2" s="170" t="s">
        <v>134</v>
      </c>
      <c r="C2" s="171"/>
      <c r="D2" s="171"/>
      <c r="E2" s="172"/>
      <c r="G2" s="173" t="s">
        <v>134</v>
      </c>
      <c r="H2" s="174"/>
      <c r="I2" s="174"/>
      <c r="J2" s="131"/>
    </row>
    <row r="3" ht="15.75" customHeight="1">
      <c r="B3" s="175" t="s">
        <v>135</v>
      </c>
      <c r="C3" s="10"/>
      <c r="D3" s="10"/>
      <c r="E3" s="176"/>
      <c r="G3" s="175" t="s">
        <v>135</v>
      </c>
      <c r="H3" s="10"/>
      <c r="I3" s="10"/>
      <c r="J3" s="176"/>
    </row>
    <row r="4" ht="15.75" customHeight="1">
      <c r="B4" s="175" t="s">
        <v>68</v>
      </c>
      <c r="C4" s="10"/>
      <c r="D4" s="10"/>
      <c r="E4" s="176"/>
      <c r="G4" s="175" t="s">
        <v>68</v>
      </c>
      <c r="H4" s="10"/>
      <c r="I4" s="10"/>
      <c r="J4" s="176"/>
    </row>
    <row r="5" ht="15.75" customHeight="1">
      <c r="B5" s="177" t="s">
        <v>36</v>
      </c>
      <c r="C5" s="18" t="str">
        <f t="array" ref="C5:D5">XLOOKUP(B5,'NERACA penyesuai'!B5:B38,'NERACA penyesuai'!C5:D38)</f>
        <v/>
      </c>
      <c r="D5" s="18">
        <v>1.7E7</v>
      </c>
      <c r="E5" s="178"/>
      <c r="G5" s="177" t="s">
        <v>136</v>
      </c>
      <c r="H5" s="19"/>
      <c r="I5" s="19"/>
      <c r="J5" s="178"/>
    </row>
    <row r="6" ht="15.75" customHeight="1">
      <c r="B6" s="177" t="s">
        <v>22</v>
      </c>
      <c r="C6" s="18">
        <f t="array" ref="C6:D6">XLOOKUP(B6,'NERACA penyesuai'!B6:B39,'NERACA penyesuai'!C6:D39)</f>
        <v>0</v>
      </c>
      <c r="D6" s="18">
        <v>4.28764E9</v>
      </c>
      <c r="E6" s="178"/>
      <c r="G6" s="177"/>
      <c r="H6" s="19" t="s">
        <v>18</v>
      </c>
      <c r="I6" s="20">
        <f t="array" ref="I6:J6">XLOOKUP(H6,'NERACA penyesuai'!$B$5:$B$38,'NERACA penyesuai'!$C$5:$D$38)</f>
        <v>0</v>
      </c>
      <c r="J6" s="179">
        <v>1.0E9</v>
      </c>
    </row>
    <row r="7" ht="15.75" customHeight="1">
      <c r="B7" s="177" t="s">
        <v>23</v>
      </c>
      <c r="C7" s="18">
        <f t="array" ref="C7:D7">XLOOKUP(B7,'NERACA penyesuai'!B7:B40,'NERACA penyesuai'!C7:D40)</f>
        <v>5000000</v>
      </c>
      <c r="D7" s="18" t="s">
        <v>137</v>
      </c>
      <c r="E7" s="178"/>
      <c r="G7" s="177" t="s">
        <v>138</v>
      </c>
      <c r="H7" s="19"/>
      <c r="I7" s="20"/>
      <c r="J7" s="179"/>
    </row>
    <row r="8" ht="15.75" customHeight="1">
      <c r="B8" s="177"/>
      <c r="C8" s="19"/>
      <c r="D8" s="19"/>
      <c r="E8" s="180">
        <f>D5+D6-C7</f>
        <v>4299640000</v>
      </c>
      <c r="G8" s="177"/>
      <c r="H8" s="19" t="s">
        <v>19</v>
      </c>
      <c r="I8" s="20">
        <f t="array" ref="I8:J8">XLOOKUP(H8,'NERACA penyesuai'!$B$5:$B$38,'NERACA penyesuai'!$C$5:$D$38)</f>
        <v>0</v>
      </c>
      <c r="J8" s="179">
        <v>1.5683E8</v>
      </c>
    </row>
    <row r="9" ht="15.75" customHeight="1">
      <c r="B9" s="181" t="s">
        <v>139</v>
      </c>
      <c r="C9" s="19"/>
      <c r="D9" s="19"/>
      <c r="E9" s="178"/>
      <c r="G9" s="177"/>
      <c r="H9" s="19" t="s">
        <v>20</v>
      </c>
      <c r="I9" s="20">
        <v>0.0</v>
      </c>
      <c r="J9" s="179">
        <f>400000000+Lajur!M40</f>
        <v>1031543800</v>
      </c>
    </row>
    <row r="10" ht="15.75" customHeight="1">
      <c r="B10" s="177" t="s">
        <v>140</v>
      </c>
      <c r="C10" s="18">
        <f t="array" ref="C10:D10">XLOOKUP("Persediaan Barang Dagang",'NERACA penyesuai'!B:B,'NERACA penyesuai'!C:D)</f>
        <v>20850000</v>
      </c>
      <c r="D10" s="18" t="s">
        <v>137</v>
      </c>
      <c r="E10" s="178"/>
      <c r="G10" s="177"/>
      <c r="H10" s="19" t="s">
        <v>21</v>
      </c>
      <c r="I10" s="20">
        <f t="array" ref="I10:J10">XLOOKUP(H10,'NERACA penyesuai'!$B$5:$B$38,'NERACA penyesuai'!$C$5:$D$38)</f>
        <v>2150000</v>
      </c>
      <c r="J10" s="179" t="s">
        <v>137</v>
      </c>
    </row>
    <row r="11" ht="15.75" customHeight="1">
      <c r="B11" s="177" t="s">
        <v>24</v>
      </c>
      <c r="C11" s="18">
        <f t="array" ref="C11:D11">XLOOKUP(B11,'NERACA penyesuai'!B:B,'NERACA penyesuai'!C:D)</f>
        <v>2857431200</v>
      </c>
      <c r="D11" s="18" t="s">
        <v>137</v>
      </c>
      <c r="E11" s="178"/>
      <c r="G11" s="182" t="s">
        <v>141</v>
      </c>
      <c r="H11" s="183"/>
      <c r="I11" s="184"/>
      <c r="J11" s="185">
        <f>sum(J5:J10,-I10)</f>
        <v>2186223800</v>
      </c>
    </row>
    <row r="12" ht="15.75" customHeight="1">
      <c r="B12" s="177" t="s">
        <v>25</v>
      </c>
      <c r="C12" s="18">
        <f t="array" ref="C12:D12">XLOOKUP(B12,'NERACA penyesuai'!B:B,'NERACA penyesuai'!C:D)</f>
        <v>0</v>
      </c>
      <c r="D12" s="18">
        <v>7000000.0</v>
      </c>
      <c r="E12" s="178"/>
    </row>
    <row r="13" ht="15.75" customHeight="1">
      <c r="B13" s="177"/>
      <c r="C13" s="19"/>
      <c r="D13" s="19"/>
      <c r="E13" s="180">
        <f>sum(C10,C11,-D12)</f>
        <v>2871281200</v>
      </c>
    </row>
    <row r="14" ht="15.75" customHeight="1">
      <c r="B14" s="177"/>
      <c r="C14" s="19"/>
      <c r="D14" s="19"/>
      <c r="E14" s="178"/>
      <c r="G14" s="119" t="s">
        <v>0</v>
      </c>
    </row>
    <row r="15" ht="15.75" customHeight="1">
      <c r="B15" s="181" t="s">
        <v>142</v>
      </c>
      <c r="C15" s="19"/>
      <c r="D15" s="19"/>
      <c r="E15" s="178"/>
    </row>
    <row r="16" ht="15.75" customHeight="1">
      <c r="B16" s="177" t="s">
        <v>26</v>
      </c>
      <c r="C16" s="18">
        <f t="array" ref="C16:D16">XLOOKUP(B16,'NERACA penyesuai'!B:B,'NERACA penyesuai'!C:D)</f>
        <v>780000</v>
      </c>
      <c r="D16" s="18" t="s">
        <v>137</v>
      </c>
      <c r="E16" s="178"/>
      <c r="G16" s="186" t="s">
        <v>1</v>
      </c>
      <c r="H16" s="3"/>
      <c r="I16" s="4" t="s">
        <v>2</v>
      </c>
      <c r="J16" s="4" t="s">
        <v>3</v>
      </c>
    </row>
    <row r="17" ht="15.75" customHeight="1">
      <c r="B17" s="177" t="s">
        <v>27</v>
      </c>
      <c r="C17" s="18">
        <f t="array" ref="C17:D17">XLOOKUP(B17,'NERACA penyesuai'!B:B,'NERACA penyesuai'!C:D)</f>
        <v>520000</v>
      </c>
      <c r="D17" s="18" t="s">
        <v>137</v>
      </c>
      <c r="E17" s="178"/>
      <c r="G17" s="5">
        <v>100.0</v>
      </c>
      <c r="H17" s="6" t="s">
        <v>4</v>
      </c>
      <c r="I17" s="120">
        <f>Lajur!Q5</f>
        <v>136000000</v>
      </c>
      <c r="J17" s="120" t="str">
        <f>Lajur!R5</f>
        <v/>
      </c>
    </row>
    <row r="18" ht="15.75" customHeight="1">
      <c r="B18" s="177" t="s">
        <v>28</v>
      </c>
      <c r="C18" s="18">
        <f t="array" ref="C18:D18">XLOOKUP(B18,'NERACA penyesuai'!B:B,'NERACA penyesuai'!C:D)</f>
        <v>500000</v>
      </c>
      <c r="D18" s="18" t="s">
        <v>137</v>
      </c>
      <c r="E18" s="178"/>
      <c r="G18" s="5">
        <v>101.0</v>
      </c>
      <c r="H18" s="9" t="s">
        <v>5</v>
      </c>
      <c r="I18" s="120">
        <f>Lajur!Q6</f>
        <v>3170000</v>
      </c>
      <c r="J18" s="120" t="str">
        <f>Lajur!R6</f>
        <v/>
      </c>
    </row>
    <row r="19" ht="15.75" customHeight="1">
      <c r="B19" s="177" t="s">
        <v>29</v>
      </c>
      <c r="C19" s="18">
        <f t="array" ref="C19:D19">XLOOKUP(B19,'NERACA penyesuai'!B:B,'NERACA penyesuai'!C:D)</f>
        <v>400000</v>
      </c>
      <c r="D19" s="18" t="s">
        <v>137</v>
      </c>
      <c r="E19" s="178"/>
      <c r="G19" s="5">
        <v>102.0</v>
      </c>
      <c r="H19" s="9" t="s">
        <v>6</v>
      </c>
      <c r="I19" s="120">
        <f>Lajur!Q7</f>
        <v>2640000</v>
      </c>
      <c r="J19" s="120" t="str">
        <f>Lajur!R7</f>
        <v/>
      </c>
    </row>
    <row r="20" ht="15.75" customHeight="1">
      <c r="B20" s="177" t="s">
        <v>31</v>
      </c>
      <c r="C20" s="18">
        <f t="array" ref="C20:D20">XLOOKUP(B20,'NERACA penyesuai'!B:B,'NERACA penyesuai'!C:D)</f>
        <v>336600000</v>
      </c>
      <c r="D20" s="18" t="s">
        <v>137</v>
      </c>
      <c r="E20" s="178"/>
      <c r="G20" s="5">
        <v>103.0</v>
      </c>
      <c r="H20" s="9" t="s">
        <v>7</v>
      </c>
      <c r="I20" s="120">
        <f>Lajur!Q8</f>
        <v>20850000</v>
      </c>
      <c r="J20" s="120" t="str">
        <f>Lajur!R8</f>
        <v/>
      </c>
    </row>
    <row r="21" ht="15.75" customHeight="1">
      <c r="B21" s="177" t="s">
        <v>30</v>
      </c>
      <c r="C21" s="18">
        <v>1.87E8</v>
      </c>
      <c r="D21" s="19"/>
      <c r="E21" s="178"/>
      <c r="G21" s="5">
        <v>104.0</v>
      </c>
      <c r="H21" s="9" t="s">
        <v>8</v>
      </c>
      <c r="I21" s="120">
        <f>Lajur!Q9</f>
        <v>700000</v>
      </c>
      <c r="J21" s="120" t="str">
        <f>Lajur!R9</f>
        <v/>
      </c>
    </row>
    <row r="22" ht="15.75" customHeight="1">
      <c r="B22" s="177" t="s">
        <v>32</v>
      </c>
      <c r="C22" s="18">
        <f t="array" ref="C22:D22">XLOOKUP(B22,'NERACA penyesuai'!B:B,'NERACA penyesuai'!C:D)</f>
        <v>280500000</v>
      </c>
      <c r="D22" s="18" t="s">
        <v>137</v>
      </c>
      <c r="E22" s="178"/>
      <c r="G22" s="5">
        <v>105.0</v>
      </c>
      <c r="H22" s="9" t="s">
        <v>9</v>
      </c>
      <c r="I22" s="120">
        <f>Lajur!Q10</f>
        <v>0</v>
      </c>
      <c r="J22" s="120" t="str">
        <f>Lajur!R10</f>
        <v/>
      </c>
    </row>
    <row r="23" ht="15.75" customHeight="1">
      <c r="B23" s="177" t="s">
        <v>30</v>
      </c>
      <c r="C23" s="18">
        <f t="array" ref="C23:D23">XLOOKUP(B23,'NERACA penyesuai'!B:B,'NERACA penyesuai'!C:D)</f>
        <v>25000</v>
      </c>
      <c r="D23" s="18" t="s">
        <v>137</v>
      </c>
      <c r="E23" s="178"/>
      <c r="G23" s="5">
        <v>106.0</v>
      </c>
      <c r="H23" s="9" t="s">
        <v>10</v>
      </c>
      <c r="I23" s="120">
        <f>Lajur!Q11</f>
        <v>100000</v>
      </c>
      <c r="J23" s="120" t="str">
        <f>Lajur!R11</f>
        <v/>
      </c>
    </row>
    <row r="24" ht="15.75" customHeight="1">
      <c r="B24" s="177" t="s">
        <v>33</v>
      </c>
      <c r="C24" s="18">
        <f t="array" ref="C24:D24">XLOOKUP(B24,'NERACA penyesuai'!B:B,'NERACA penyesuai'!C:D)</f>
        <v>10250000</v>
      </c>
      <c r="D24" s="18" t="s">
        <v>137</v>
      </c>
      <c r="E24" s="178"/>
      <c r="G24" s="5">
        <v>107.0</v>
      </c>
      <c r="H24" s="9" t="s">
        <v>11</v>
      </c>
      <c r="I24" s="120">
        <f>Lajur!Q12</f>
        <v>275000</v>
      </c>
      <c r="J24" s="120" t="str">
        <f>Lajur!R12</f>
        <v/>
      </c>
    </row>
    <row r="25" ht="15.75" customHeight="1">
      <c r="B25" s="177" t="s">
        <v>34</v>
      </c>
      <c r="C25" s="18">
        <f t="array" ref="C25:D25">XLOOKUP(B25,'NERACA penyesuai'!B:B,'NERACA penyesuai'!C:D)</f>
        <v>1010000</v>
      </c>
      <c r="D25" s="18" t="s">
        <v>137</v>
      </c>
      <c r="E25" s="178"/>
      <c r="G25" s="5">
        <v>108.0</v>
      </c>
      <c r="H25" s="9" t="s">
        <v>12</v>
      </c>
      <c r="I25" s="120">
        <f>Lajur!Q13</f>
        <v>3424000000</v>
      </c>
      <c r="J25" s="120" t="str">
        <f>Lajur!R13</f>
        <v/>
      </c>
    </row>
    <row r="26" ht="15.75" customHeight="1">
      <c r="B26" s="177" t="s">
        <v>143</v>
      </c>
      <c r="C26" s="18">
        <f t="array" ref="C26:D26">XLOOKUP(B26,'NERACA penyesuai'!B:B,'NERACA penyesuai'!C:D)</f>
        <v>80000</v>
      </c>
      <c r="D26" s="18" t="s">
        <v>137</v>
      </c>
      <c r="E26" s="178"/>
      <c r="G26" s="5">
        <v>109.0</v>
      </c>
      <c r="H26" s="9" t="s">
        <v>13</v>
      </c>
      <c r="I26" s="120" t="str">
        <f>Lajur!Q14</f>
        <v/>
      </c>
      <c r="J26" s="120">
        <f>Lajur!R14</f>
        <v>1401000000</v>
      </c>
    </row>
    <row r="27" ht="15.75" customHeight="1">
      <c r="B27" s="177"/>
      <c r="C27" s="19"/>
      <c r="D27" s="19"/>
      <c r="E27" s="180">
        <f>SUM(C16:C26)</f>
        <v>817665000</v>
      </c>
      <c r="G27" s="5">
        <v>200.0</v>
      </c>
      <c r="H27" s="9" t="s">
        <v>14</v>
      </c>
      <c r="I27" s="120">
        <f>Lajur!Q15</f>
        <v>0</v>
      </c>
      <c r="J27" s="120">
        <f>Lajur!R15</f>
        <v>431200</v>
      </c>
    </row>
    <row r="28" ht="15.75" customHeight="1">
      <c r="B28" s="187"/>
      <c r="C28" s="188"/>
      <c r="D28" s="188"/>
      <c r="E28" s="189">
        <f>SUM(E8:E23,-E27)</f>
        <v>6353256200</v>
      </c>
      <c r="G28" s="5">
        <v>201.0</v>
      </c>
      <c r="H28" s="9" t="s">
        <v>15</v>
      </c>
      <c r="I28" s="120" t="str">
        <f>Lajur!Q16</f>
        <v/>
      </c>
      <c r="J28" s="120">
        <f>Lajur!R16</f>
        <v>80000</v>
      </c>
    </row>
    <row r="29" ht="15.75" customHeight="1">
      <c r="G29" s="5">
        <v>202.0</v>
      </c>
      <c r="H29" s="9" t="s">
        <v>16</v>
      </c>
      <c r="I29" s="120">
        <f>Lajur!Q17</f>
        <v>0</v>
      </c>
      <c r="J29" s="120">
        <f>Lajur!R17</f>
        <v>0</v>
      </c>
    </row>
    <row r="30" ht="15.75" customHeight="1">
      <c r="G30" s="5">
        <v>203.0</v>
      </c>
      <c r="H30" s="9" t="s">
        <v>17</v>
      </c>
      <c r="I30" s="120">
        <f>Lajur!Q18</f>
        <v>0</v>
      </c>
      <c r="J30" s="120">
        <f>Lajur!R18</f>
        <v>0</v>
      </c>
    </row>
    <row r="31" ht="15.75" customHeight="1">
      <c r="G31" s="5">
        <v>300.0</v>
      </c>
      <c r="H31" s="9" t="s">
        <v>18</v>
      </c>
      <c r="I31" s="120">
        <f>Lajur!Q19</f>
        <v>0</v>
      </c>
      <c r="J31" s="120">
        <f>Lajur!R19</f>
        <v>1000000000</v>
      </c>
    </row>
    <row r="32" ht="15.75" customHeight="1">
      <c r="G32" s="5">
        <v>301.0</v>
      </c>
      <c r="H32" s="9" t="s">
        <v>19</v>
      </c>
      <c r="I32" s="120">
        <f>Lajur!Q20</f>
        <v>0</v>
      </c>
      <c r="J32" s="120">
        <f>Lajur!R20</f>
        <v>156830000</v>
      </c>
    </row>
    <row r="33" ht="15.75" customHeight="1">
      <c r="G33" s="5">
        <v>302.0</v>
      </c>
      <c r="H33" s="9" t="s">
        <v>20</v>
      </c>
      <c r="I33" s="120">
        <f>Lajur!Q21</f>
        <v>0</v>
      </c>
      <c r="J33" s="120">
        <f>Lajur!R21+Lajur!M40</f>
        <v>1031543800</v>
      </c>
    </row>
    <row r="34" ht="15.75" customHeight="1">
      <c r="G34" s="5">
        <v>303.0</v>
      </c>
      <c r="H34" s="9" t="s">
        <v>21</v>
      </c>
      <c r="I34" s="120">
        <f>Lajur!Q22</f>
        <v>2150000</v>
      </c>
      <c r="J34" s="120"/>
    </row>
    <row r="35" ht="15.75" customHeight="1">
      <c r="I35" s="52">
        <f t="shared" ref="I35:J35" si="1">SUM(I17:I34)</f>
        <v>3589885000</v>
      </c>
      <c r="J35" s="52">
        <f t="shared" si="1"/>
        <v>3589885000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E2"/>
    <mergeCell ref="G2:J2"/>
    <mergeCell ref="B3:E3"/>
    <mergeCell ref="G3:J3"/>
    <mergeCell ref="B4:E4"/>
    <mergeCell ref="G4:J4"/>
    <mergeCell ref="G14:J15"/>
    <mergeCell ref="G16:H1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7.13"/>
    <col customWidth="1" min="4" max="4" width="12.63"/>
    <col customWidth="1" min="5" max="5" width="17.75"/>
    <col customWidth="1" min="6" max="6" width="21.0"/>
    <col customWidth="1" min="7" max="7" width="21.13"/>
  </cols>
  <sheetData>
    <row r="1" ht="15.75" customHeight="1"/>
    <row r="2" ht="15.75" customHeight="1"/>
    <row r="3" ht="15.75" customHeight="1"/>
    <row r="4" ht="15.75" customHeight="1">
      <c r="B4" s="190" t="s">
        <v>134</v>
      </c>
    </row>
    <row r="5" ht="15.75" customHeight="1">
      <c r="B5" s="191" t="s">
        <v>135</v>
      </c>
    </row>
    <row r="6" ht="15.75" customHeight="1">
      <c r="B6" s="126" t="s">
        <v>144</v>
      </c>
    </row>
    <row r="7" ht="15.75" customHeight="1">
      <c r="B7" s="127"/>
      <c r="C7" s="127"/>
      <c r="D7" s="127"/>
      <c r="E7" s="127"/>
      <c r="F7" s="192"/>
      <c r="G7" s="193"/>
    </row>
    <row r="8" ht="15.75" customHeight="1">
      <c r="B8" s="194" t="s">
        <v>145</v>
      </c>
      <c r="C8" s="195" t="s">
        <v>146</v>
      </c>
      <c r="D8" s="196" t="s">
        <v>147</v>
      </c>
      <c r="E8" s="73"/>
      <c r="F8" s="197" t="s">
        <v>2</v>
      </c>
      <c r="G8" s="198" t="s">
        <v>132</v>
      </c>
    </row>
    <row r="9" ht="15.75" customHeight="1">
      <c r="B9" s="199"/>
      <c r="C9" s="16"/>
      <c r="D9" s="31"/>
      <c r="E9" s="16"/>
      <c r="F9" s="16"/>
      <c r="G9" s="200"/>
    </row>
    <row r="10" ht="15.75" customHeight="1">
      <c r="B10" s="201">
        <v>45412.0</v>
      </c>
      <c r="C10" s="202">
        <f t="array" ref="C10">iferror(if(D10&lt;&gt;"",XLOOKUP(D10,Lajur!B:B,Lajur!A:A),if(E10&lt;&gt;"",XLOOKUP(E10,Lajur!B:B,Lajur!A:A),"")),"")</f>
        <v>700</v>
      </c>
      <c r="D10" s="203" t="s">
        <v>36</v>
      </c>
      <c r="E10" s="203"/>
      <c r="F10" s="204">
        <v>1.7E7</v>
      </c>
      <c r="G10" s="205"/>
    </row>
    <row r="11" ht="15.75" customHeight="1">
      <c r="B11" s="206"/>
      <c r="C11" s="202">
        <f t="array" ref="C11">iferror(if(D11&lt;&gt;"",XLOOKUP(D11,Lajur!B:B,Lajur!A:A),if(E11&lt;&gt;"",XLOOKUP(E11,Lajur!B:B,Lajur!A:A),"")),"")</f>
        <v>400</v>
      </c>
      <c r="D11" s="207" t="s">
        <v>22</v>
      </c>
      <c r="E11" s="207"/>
      <c r="F11" s="100">
        <v>4.28764E9</v>
      </c>
      <c r="G11" s="208"/>
    </row>
    <row r="12" ht="15.75" customHeight="1">
      <c r="B12" s="206"/>
      <c r="C12" s="202">
        <f t="array" ref="C12">iferror(if(D12&lt;&gt;"",XLOOKUP(D12,Lajur!B:B,Lajur!A:A),if(E12&lt;&gt;"",XLOOKUP(E12,Lajur!B:B,Lajur!A:A),"")),"")</f>
        <v>501</v>
      </c>
      <c r="D12" s="207" t="s">
        <v>25</v>
      </c>
      <c r="E12" s="207"/>
      <c r="F12" s="209">
        <v>7000000.0</v>
      </c>
      <c r="G12" s="208"/>
    </row>
    <row r="13" ht="15.75" customHeight="1">
      <c r="B13" s="210"/>
      <c r="C13" s="211">
        <f t="array" ref="C13">iferror(if(D13&lt;&gt;"",XLOOKUP(D13,Lajur!B:B,Lajur!A:A),if(E13&lt;&gt;"",XLOOKUP(E13,Lajur!B:B,Lajur!A:A),"")),"")</f>
        <v>303</v>
      </c>
      <c r="D13" s="212"/>
      <c r="E13" s="212" t="s">
        <v>21</v>
      </c>
      <c r="F13" s="213"/>
      <c r="G13" s="214">
        <f>sum(F10:F12)</f>
        <v>4311640000</v>
      </c>
    </row>
    <row r="14" ht="15.75" customHeight="1">
      <c r="B14" s="215"/>
      <c r="C14" s="202">
        <f t="array" ref="C14">iferror(if(D14&lt;&gt;"",XLOOKUP(D14,Lajur!B:B,Lajur!A:A),if(E14&lt;&gt;"",XLOOKUP(E14,Lajur!B:B,Lajur!A:A),"")),"")</f>
        <v>303</v>
      </c>
      <c r="D14" s="216" t="s">
        <v>21</v>
      </c>
      <c r="E14" s="217"/>
      <c r="F14" s="204">
        <f>sum(G15:G28)</f>
        <v>3680096200</v>
      </c>
      <c r="G14" s="218"/>
    </row>
    <row r="15" ht="15.75" customHeight="1">
      <c r="B15" s="206">
        <v>45412.0</v>
      </c>
      <c r="C15" s="202">
        <f t="array" ref="C15">iferror(if(D15&lt;&gt;"",XLOOKUP(D15,Lajur!B:B,Lajur!A:A),if(E15&lt;&gt;"",XLOOKUP(E15,Lajur!B:B,Lajur!A:A),"")),"")</f>
        <v>401</v>
      </c>
      <c r="D15" s="207"/>
      <c r="E15" s="207" t="s">
        <v>23</v>
      </c>
      <c r="F15" s="209"/>
      <c r="G15" s="218">
        <f t="array" ref="G15">XLOOKUP(C15,Lajur!A:A,Lajur!M:M)</f>
        <v>5000000</v>
      </c>
    </row>
    <row r="16" ht="15.75" customHeight="1">
      <c r="B16" s="206"/>
      <c r="C16" s="202">
        <f t="array" ref="C16">iferror(if(D16&lt;&gt;"",XLOOKUP(D16,Lajur!B:B,Lajur!A:A),if(E16&lt;&gt;"",XLOOKUP(E16,Lajur!B:B,Lajur!A:A),"")),"")</f>
        <v>500</v>
      </c>
      <c r="D16" s="207"/>
      <c r="E16" s="207" t="s">
        <v>24</v>
      </c>
      <c r="F16" s="209"/>
      <c r="G16" s="218">
        <f t="array" ref="G16">XLOOKUP(C16,Lajur!A:A,Lajur!M:M)</f>
        <v>2857431200</v>
      </c>
    </row>
    <row r="17" ht="15.75" customHeight="1">
      <c r="B17" s="206"/>
      <c r="C17" s="202">
        <f t="array" ref="C17">iferror(if(D17&lt;&gt;"",XLOOKUP(D17,Lajur!B:B,Lajur!A:A),if(E17&lt;&gt;"",XLOOKUP(E17,Lajur!B:B,Lajur!A:A),"")),"")</f>
        <v>103</v>
      </c>
      <c r="D17" s="207"/>
      <c r="E17" s="207" t="s">
        <v>7</v>
      </c>
      <c r="F17" s="209"/>
      <c r="G17" s="218" t="str">
        <f t="array" ref="G17">XLOOKUP(C17,Lajur!A:A,Lajur!M:M)</f>
        <v/>
      </c>
    </row>
    <row r="18" ht="15.75" customHeight="1">
      <c r="B18" s="219"/>
      <c r="C18" s="202">
        <f t="array" ref="C18">iferror(if(D18&lt;&gt;"",XLOOKUP(D18,Lajur!B:B,Lajur!A:A),if(E18&lt;&gt;"",XLOOKUP(E18,Lajur!B:B,Lajur!A:A),"")),"")</f>
        <v>600</v>
      </c>
      <c r="D18" s="207"/>
      <c r="E18" s="207" t="s">
        <v>26</v>
      </c>
      <c r="F18" s="100"/>
      <c r="G18" s="218">
        <f t="array" ref="G18">XLOOKUP(C18,Lajur!A:A,Lajur!M:M)</f>
        <v>780000</v>
      </c>
    </row>
    <row r="19" ht="15.75" customHeight="1">
      <c r="B19" s="206"/>
      <c r="C19" s="202">
        <f t="array" ref="C19">iferror(if(D19&lt;&gt;"",XLOOKUP(D19,Lajur!B:B,Lajur!A:A),if(E19&lt;&gt;"",XLOOKUP(E19,Lajur!B:B,Lajur!A:A),"")),"")</f>
        <v>601</v>
      </c>
      <c r="D19" s="207"/>
      <c r="E19" s="207" t="s">
        <v>27</v>
      </c>
      <c r="F19" s="209"/>
      <c r="G19" s="218">
        <f t="array" ref="G19">XLOOKUP(C19,Lajur!A:A,Lajur!M:M)</f>
        <v>520000</v>
      </c>
    </row>
    <row r="20" ht="15.75" customHeight="1">
      <c r="B20" s="219"/>
      <c r="C20" s="202">
        <f t="array" ref="C20">iferror(if(D20&lt;&gt;"",XLOOKUP(D20,Lajur!B:B,Lajur!A:A),if(E20&lt;&gt;"",XLOOKUP(E20,Lajur!B:B,Lajur!A:A),"")),"")</f>
        <v>602</v>
      </c>
      <c r="D20" s="207"/>
      <c r="E20" s="207" t="s">
        <v>28</v>
      </c>
      <c r="F20" s="100"/>
      <c r="G20" s="218">
        <f t="array" ref="G20">XLOOKUP(C20,Lajur!A:A,Lajur!M:M)</f>
        <v>500000</v>
      </c>
    </row>
    <row r="21" ht="15.75" customHeight="1">
      <c r="B21" s="206"/>
      <c r="C21" s="202">
        <f t="array" ref="C21">iferror(if(D21&lt;&gt;"",XLOOKUP(D21,Lajur!B:B,Lajur!A:A),if(E21&lt;&gt;"",XLOOKUP(E21,Lajur!B:B,Lajur!A:A),"")),"")</f>
        <v>603</v>
      </c>
      <c r="D21" s="207"/>
      <c r="E21" s="207" t="s">
        <v>29</v>
      </c>
      <c r="F21" s="209"/>
      <c r="G21" s="218">
        <f t="array" ref="G21">XLOOKUP(C21,Lajur!A:A,Lajur!M:M)</f>
        <v>400000</v>
      </c>
    </row>
    <row r="22" ht="15.75" customHeight="1">
      <c r="B22" s="206"/>
      <c r="C22" s="202">
        <f t="array" ref="C22">iferror(if(D22&lt;&gt;"",XLOOKUP(D22,Lajur!B:B,Lajur!A:A),if(E22&lt;&gt;"",XLOOKUP(E22,Lajur!B:B,Lajur!A:A),"")),"")</f>
        <v>604</v>
      </c>
      <c r="D22" s="207"/>
      <c r="E22" s="207" t="s">
        <v>30</v>
      </c>
      <c r="F22" s="209"/>
      <c r="G22" s="218">
        <f t="array" ref="G22">XLOOKUP(C22,Lajur!A:A,Lajur!M:M)</f>
        <v>25000</v>
      </c>
    </row>
    <row r="23" ht="15.75" customHeight="1">
      <c r="B23" s="219"/>
      <c r="C23" s="202">
        <f t="array" ref="C23">iferror(if(D23&lt;&gt;"",XLOOKUP(D23,Lajur!B:B,Lajur!A:A),if(E23&lt;&gt;"",XLOOKUP(E23,Lajur!B:B,Lajur!A:A),"")),"")</f>
        <v>605</v>
      </c>
      <c r="D23" s="207"/>
      <c r="E23" s="207" t="s">
        <v>31</v>
      </c>
      <c r="F23" s="100"/>
      <c r="G23" s="218">
        <f t="array" ref="G23">XLOOKUP(C23,Lajur!A:A,Lajur!M:M)</f>
        <v>336600000</v>
      </c>
    </row>
    <row r="24" ht="15.75" customHeight="1">
      <c r="B24" s="206"/>
      <c r="C24" s="202">
        <f t="array" ref="C24">iferror(if(D24&lt;&gt;"",XLOOKUP(D24,Lajur!B:B,Lajur!A:A),if(E24&lt;&gt;"",XLOOKUP(E24,Lajur!B:B,Lajur!A:A),"")),"")</f>
        <v>606</v>
      </c>
      <c r="D24" s="207"/>
      <c r="E24" s="207" t="s">
        <v>32</v>
      </c>
      <c r="F24" s="209"/>
      <c r="G24" s="218">
        <f t="array" ref="G24">XLOOKUP(C24,Lajur!A:A,Lajur!M:M)</f>
        <v>280500000</v>
      </c>
    </row>
    <row r="25" ht="15.75" customHeight="1">
      <c r="B25" s="206"/>
      <c r="C25" s="202">
        <v>607.0</v>
      </c>
      <c r="D25" s="207"/>
      <c r="E25" s="207" t="s">
        <v>30</v>
      </c>
      <c r="F25" s="209"/>
      <c r="G25" s="218">
        <f t="array" ref="G25">XLOOKUP(C25,Lajur!A:A,Lajur!M:M)</f>
        <v>187000000</v>
      </c>
    </row>
    <row r="26" ht="15.75" customHeight="1">
      <c r="B26" s="219"/>
      <c r="C26" s="202">
        <f t="array" ref="C26">iferror(if(D26&lt;&gt;"",XLOOKUP(D26,Lajur!B:B,Lajur!A:A),if(E26&lt;&gt;"",XLOOKUP(E26,Lajur!B:B,Lajur!A:A),"")),"")</f>
        <v>608</v>
      </c>
      <c r="D26" s="207"/>
      <c r="E26" s="207" t="s">
        <v>33</v>
      </c>
      <c r="F26" s="100"/>
      <c r="G26" s="218">
        <f t="array" ref="G26">XLOOKUP(C26,Lajur!A:A,Lajur!M:M)</f>
        <v>10250000</v>
      </c>
    </row>
    <row r="27" ht="15.75" customHeight="1">
      <c r="B27" s="206"/>
      <c r="C27" s="202">
        <f t="array" ref="C27">iferror(if(D27&lt;&gt;"",XLOOKUP(D27,Lajur!B:B,Lajur!A:A),if(E27&lt;&gt;"",XLOOKUP(E27,Lajur!B:B,Lajur!A:A),"")),"")</f>
        <v>609</v>
      </c>
      <c r="D27" s="207"/>
      <c r="E27" s="207" t="s">
        <v>34</v>
      </c>
      <c r="F27" s="209"/>
      <c r="G27" s="218">
        <f t="array" ref="G27">XLOOKUP(C27,Lajur!A:A,Lajur!M:M)</f>
        <v>1010000</v>
      </c>
    </row>
    <row r="28" ht="15.75" customHeight="1">
      <c r="B28" s="220"/>
      <c r="C28" s="211">
        <f t="array" ref="C28">iferror(if(D28&lt;&gt;"",XLOOKUP(D28,Lajur!B:B,Lajur!A:A),if(E28&lt;&gt;"",XLOOKUP(E28,Lajur!B:B,Lajur!A:A),"")),"")</f>
        <v>610</v>
      </c>
      <c r="D28" s="212"/>
      <c r="E28" s="212" t="s">
        <v>35</v>
      </c>
      <c r="F28" s="221"/>
      <c r="G28" s="221">
        <f t="array" ref="G28">XLOOKUP(C28,Lajur!A:A,Lajur!M:M)</f>
        <v>80000</v>
      </c>
    </row>
    <row r="29" ht="15.75" customHeight="1">
      <c r="B29" s="222"/>
      <c r="C29" s="223"/>
      <c r="D29" s="127"/>
      <c r="E29" s="92"/>
      <c r="F29" s="224">
        <f t="shared" ref="F29:G29" si="1">SUM(F10:F28)</f>
        <v>7991736200</v>
      </c>
      <c r="G29" s="225">
        <f t="shared" si="1"/>
        <v>7991736200</v>
      </c>
    </row>
    <row r="30" ht="15.75" customHeight="1">
      <c r="B30" s="226"/>
      <c r="C30" s="54"/>
      <c r="D30" s="54"/>
      <c r="E30" s="54"/>
      <c r="F30" s="193"/>
      <c r="G30" s="193"/>
    </row>
    <row r="31" ht="15.75" customHeight="1">
      <c r="B31" s="227" t="s">
        <v>148</v>
      </c>
      <c r="C31" s="228">
        <v>25000.0</v>
      </c>
      <c r="D31" s="54"/>
      <c r="E31" s="54"/>
      <c r="F31" s="193"/>
      <c r="G31" s="193"/>
    </row>
    <row r="32" ht="15.75" customHeight="1">
      <c r="B32" s="227" t="s">
        <v>149</v>
      </c>
      <c r="C32" s="228">
        <f>960000+120000</f>
        <v>1080000</v>
      </c>
      <c r="D32" s="54"/>
      <c r="E32" s="54"/>
      <c r="F32" s="229"/>
      <c r="G32" s="229"/>
    </row>
    <row r="33" ht="15.75" customHeight="1">
      <c r="B33" s="227" t="s">
        <v>150</v>
      </c>
      <c r="C33" s="228">
        <v>150000.0</v>
      </c>
      <c r="D33" s="54"/>
      <c r="E33" s="230" t="s">
        <v>151</v>
      </c>
      <c r="F33" s="10"/>
      <c r="G33" s="3"/>
    </row>
    <row r="34" ht="15.75" customHeight="1">
      <c r="B34" s="54"/>
      <c r="C34" s="54"/>
      <c r="D34" s="54"/>
      <c r="E34" s="231" t="s">
        <v>152</v>
      </c>
      <c r="F34" s="232" t="s">
        <v>2</v>
      </c>
      <c r="G34" s="232" t="s">
        <v>132</v>
      </c>
    </row>
    <row r="35" ht="15.75" customHeight="1">
      <c r="B35" s="54"/>
      <c r="C35" s="54"/>
      <c r="D35" s="54"/>
      <c r="E35" s="145">
        <f t="array" ref="E35:E52">tocol(SORT(UNIQUE(C10:C28),1,TRUE),1,0)</f>
        <v>103</v>
      </c>
      <c r="F35" s="100">
        <f>SUMIF($C$7:$C$28,E34,$F$7:$F$28)</f>
        <v>0</v>
      </c>
      <c r="G35" s="100">
        <f t="shared" ref="G35:G52" si="2">SUMIF($C$7:$C$28,E35,$G$7:$G$28)</f>
        <v>0</v>
      </c>
    </row>
    <row r="36" ht="15.75" customHeight="1">
      <c r="B36" s="54"/>
      <c r="C36" s="54"/>
      <c r="D36" s="54"/>
      <c r="E36" s="145">
        <v>303.0</v>
      </c>
      <c r="F36" s="100">
        <f t="shared" ref="F36:F52" si="3">SUMIF($C$7:$C$28,E36,$F$7:$F$28)</f>
        <v>3680096200</v>
      </c>
      <c r="G36" s="100">
        <f t="shared" si="2"/>
        <v>4311640000</v>
      </c>
    </row>
    <row r="37" ht="15.75" customHeight="1">
      <c r="B37" s="54"/>
      <c r="C37" s="54"/>
      <c r="D37" s="54"/>
      <c r="E37" s="145">
        <v>400.0</v>
      </c>
      <c r="F37" s="100">
        <f t="shared" si="3"/>
        <v>4287640000</v>
      </c>
      <c r="G37" s="100">
        <f t="shared" si="2"/>
        <v>0</v>
      </c>
    </row>
    <row r="38" ht="15.75" customHeight="1">
      <c r="B38" s="54"/>
      <c r="C38" s="54"/>
      <c r="D38" s="54"/>
      <c r="E38" s="145">
        <v>401.0</v>
      </c>
      <c r="F38" s="100">
        <f t="shared" si="3"/>
        <v>0</v>
      </c>
      <c r="G38" s="100">
        <f t="shared" si="2"/>
        <v>5000000</v>
      </c>
    </row>
    <row r="39" ht="15.75" customHeight="1">
      <c r="B39" s="54"/>
      <c r="C39" s="54"/>
      <c r="D39" s="54"/>
      <c r="E39" s="145">
        <v>500.0</v>
      </c>
      <c r="F39" s="100">
        <f t="shared" si="3"/>
        <v>0</v>
      </c>
      <c r="G39" s="100">
        <f t="shared" si="2"/>
        <v>2857431200</v>
      </c>
    </row>
    <row r="40" ht="15.75" customHeight="1">
      <c r="B40" s="54"/>
      <c r="C40" s="54"/>
      <c r="D40" s="54"/>
      <c r="E40" s="145">
        <v>501.0</v>
      </c>
      <c r="F40" s="100">
        <f t="shared" si="3"/>
        <v>7000000</v>
      </c>
      <c r="G40" s="100">
        <f t="shared" si="2"/>
        <v>0</v>
      </c>
    </row>
    <row r="41" ht="15.75" customHeight="1">
      <c r="B41" s="54"/>
      <c r="C41" s="54"/>
      <c r="D41" s="54"/>
      <c r="E41" s="145">
        <v>600.0</v>
      </c>
      <c r="F41" s="100">
        <f t="shared" si="3"/>
        <v>0</v>
      </c>
      <c r="G41" s="100">
        <f t="shared" si="2"/>
        <v>780000</v>
      </c>
    </row>
    <row r="42" ht="15.75" customHeight="1">
      <c r="B42" s="54"/>
      <c r="C42" s="54"/>
      <c r="D42" s="54"/>
      <c r="E42" s="145">
        <v>601.0</v>
      </c>
      <c r="F42" s="100">
        <f t="shared" si="3"/>
        <v>0</v>
      </c>
      <c r="G42" s="100">
        <f t="shared" si="2"/>
        <v>520000</v>
      </c>
    </row>
    <row r="43" ht="15.75" customHeight="1">
      <c r="B43" s="54"/>
      <c r="C43" s="54"/>
      <c r="D43" s="54"/>
      <c r="E43" s="145">
        <v>602.0</v>
      </c>
      <c r="F43" s="100">
        <f t="shared" si="3"/>
        <v>0</v>
      </c>
      <c r="G43" s="100">
        <f t="shared" si="2"/>
        <v>500000</v>
      </c>
    </row>
    <row r="44" ht="15.75" customHeight="1">
      <c r="B44" s="54"/>
      <c r="C44" s="54"/>
      <c r="D44" s="54"/>
      <c r="E44" s="145">
        <v>603.0</v>
      </c>
      <c r="F44" s="100">
        <f t="shared" si="3"/>
        <v>0</v>
      </c>
      <c r="G44" s="100">
        <f t="shared" si="2"/>
        <v>400000</v>
      </c>
    </row>
    <row r="45" ht="15.75" customHeight="1">
      <c r="B45" s="54"/>
      <c r="C45" s="54"/>
      <c r="D45" s="54"/>
      <c r="E45" s="145">
        <v>604.0</v>
      </c>
      <c r="F45" s="100">
        <f t="shared" si="3"/>
        <v>0</v>
      </c>
      <c r="G45" s="100">
        <f t="shared" si="2"/>
        <v>25000</v>
      </c>
    </row>
    <row r="46" ht="15.75" customHeight="1">
      <c r="B46" s="54"/>
      <c r="C46" s="54"/>
      <c r="D46" s="54"/>
      <c r="E46" s="145">
        <v>605.0</v>
      </c>
      <c r="F46" s="100">
        <f t="shared" si="3"/>
        <v>0</v>
      </c>
      <c r="G46" s="100">
        <f t="shared" si="2"/>
        <v>336600000</v>
      </c>
    </row>
    <row r="47" ht="15.75" customHeight="1">
      <c r="B47" s="54"/>
      <c r="C47" s="54"/>
      <c r="D47" s="54"/>
      <c r="E47" s="145">
        <v>606.0</v>
      </c>
      <c r="F47" s="100">
        <f t="shared" si="3"/>
        <v>0</v>
      </c>
      <c r="G47" s="100">
        <f t="shared" si="2"/>
        <v>280500000</v>
      </c>
    </row>
    <row r="48" ht="15.75" customHeight="1">
      <c r="B48" s="54"/>
      <c r="C48" s="54"/>
      <c r="D48" s="54"/>
      <c r="E48" s="145">
        <v>607.0</v>
      </c>
      <c r="F48" s="100">
        <f t="shared" si="3"/>
        <v>0</v>
      </c>
      <c r="G48" s="100">
        <f t="shared" si="2"/>
        <v>187000000</v>
      </c>
    </row>
    <row r="49" ht="15.75" customHeight="1">
      <c r="B49" s="54"/>
      <c r="C49" s="54"/>
      <c r="D49" s="54"/>
      <c r="E49" s="145">
        <v>608.0</v>
      </c>
      <c r="F49" s="100">
        <f t="shared" si="3"/>
        <v>0</v>
      </c>
      <c r="G49" s="100">
        <f t="shared" si="2"/>
        <v>10250000</v>
      </c>
    </row>
    <row r="50" ht="15.75" customHeight="1">
      <c r="B50" s="54"/>
      <c r="C50" s="54"/>
      <c r="D50" s="54"/>
      <c r="E50" s="145">
        <v>609.0</v>
      </c>
      <c r="F50" s="100">
        <f t="shared" si="3"/>
        <v>0</v>
      </c>
      <c r="G50" s="100">
        <f t="shared" si="2"/>
        <v>1010000</v>
      </c>
    </row>
    <row r="51" ht="15.75" customHeight="1">
      <c r="B51" s="54"/>
      <c r="C51" s="54"/>
      <c r="D51" s="54"/>
      <c r="E51" s="145">
        <v>610.0</v>
      </c>
      <c r="F51" s="100">
        <f t="shared" si="3"/>
        <v>0</v>
      </c>
      <c r="G51" s="100">
        <f t="shared" si="2"/>
        <v>80000</v>
      </c>
    </row>
    <row r="52" ht="15.75" customHeight="1">
      <c r="B52" s="54"/>
      <c r="C52" s="54"/>
      <c r="D52" s="54"/>
      <c r="E52" s="145">
        <v>700.0</v>
      </c>
      <c r="F52" s="100">
        <f t="shared" si="3"/>
        <v>17000000</v>
      </c>
      <c r="G52" s="100">
        <f t="shared" si="2"/>
        <v>0</v>
      </c>
    </row>
    <row r="53" ht="15.75" customHeight="1">
      <c r="B53" s="226"/>
      <c r="C53" s="54"/>
      <c r="D53" s="54"/>
      <c r="E53" s="233" t="s">
        <v>37</v>
      </c>
      <c r="F53" s="234">
        <f t="shared" ref="F53:G53" si="4">SUM(F35:F52)</f>
        <v>7991736200</v>
      </c>
      <c r="G53" s="235">
        <f t="shared" si="4"/>
        <v>7991736200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G8:G9"/>
    <mergeCell ref="E33:G33"/>
    <mergeCell ref="B4:G4"/>
    <mergeCell ref="B5:G5"/>
    <mergeCell ref="B6:G6"/>
    <mergeCell ref="B8:B9"/>
    <mergeCell ref="C8:C9"/>
    <mergeCell ref="D8:E9"/>
    <mergeCell ref="F8:F9"/>
  </mergeCells>
  <dataValidations>
    <dataValidation type="list" allowBlank="1" showErrorMessage="1" sqref="D10:E28 B31:B33">
      <formula1>'NERACA penyesuai'!$B:$B</formula1>
    </dataValidation>
  </dataValidations>
  <drawing r:id="rId1"/>
</worksheet>
</file>