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dwal" sheetId="1" r:id="rId4"/>
    <sheet state="visible" name="Master Barang" sheetId="2" r:id="rId5"/>
    <sheet state="visible" name="Sheet3" sheetId="3" r:id="rId6"/>
    <sheet state="visible" name="Transaksi" sheetId="4" r:id="rId7"/>
    <sheet state="visible" name="Laporan" sheetId="5" r:id="rId8"/>
  </sheets>
  <definedNames>
    <definedName name="DENAH">#REF!</definedName>
    <definedName name="DENAH_MSKU">#REF!</definedName>
    <definedName name="DENAH_NAMA">#REF!</definedName>
    <definedName name="DENAH_RAK">#REF!</definedName>
    <definedName name="DENAH_QTY">#REF!</definedName>
  </definedNames>
  <calcPr/>
</workbook>
</file>

<file path=xl/sharedStrings.xml><?xml version="1.0" encoding="utf-8"?>
<sst xmlns="http://schemas.openxmlformats.org/spreadsheetml/2006/main" count="600" uniqueCount="534">
  <si>
    <t>No.</t>
  </si>
  <si>
    <t>Nama Unit</t>
  </si>
  <si>
    <t>Kode SKU</t>
  </si>
  <si>
    <t>Tanggal Order</t>
  </si>
  <si>
    <t>Estimasi Datang</t>
  </si>
  <si>
    <t>Qty</t>
  </si>
  <si>
    <t>Harga Beli</t>
  </si>
  <si>
    <t>Status</t>
  </si>
  <si>
    <t xml:space="preserve">Keterangan </t>
  </si>
  <si>
    <t>PH METER</t>
  </si>
  <si>
    <t>Closed</t>
  </si>
  <si>
    <t>VALVE</t>
  </si>
  <si>
    <t>Open</t>
  </si>
  <si>
    <t>TIES 10 HITAM</t>
  </si>
  <si>
    <t>SIGMAT</t>
  </si>
  <si>
    <t>KENI</t>
  </si>
  <si>
    <t>TORCH 733</t>
  </si>
  <si>
    <t>SARUNG TANGAN</t>
  </si>
  <si>
    <t>TIES SS 30</t>
  </si>
  <si>
    <t>JUMBO 1/2 PVC</t>
  </si>
  <si>
    <t>CUT KACA</t>
  </si>
  <si>
    <t>Stok Awal</t>
  </si>
  <si>
    <t>Masuk</t>
  </si>
  <si>
    <t>Rusak</t>
  </si>
  <si>
    <t>Keluar</t>
  </si>
  <si>
    <t>Stok Akhir</t>
  </si>
  <si>
    <t>Nilai Persediaan</t>
  </si>
  <si>
    <t>MA</t>
  </si>
  <si>
    <t>Harga Jual</t>
  </si>
  <si>
    <t>TEMBOK FLEX SS</t>
  </si>
  <si>
    <t>001A/TEMBOKFLEX-SS</t>
  </si>
  <si>
    <t>TAMAN PVC HIJAU</t>
  </si>
  <si>
    <t>001B/TAMAN-PVC-HIJAU</t>
  </si>
  <si>
    <t>001C/TIES-10-HITAM</t>
  </si>
  <si>
    <t>OBENG 10-16</t>
  </si>
  <si>
    <t>001D/OBENG-10-16</t>
  </si>
  <si>
    <t>FLEX BALING</t>
  </si>
  <si>
    <t>002A/TEMBOKFLEX-BALING-CM</t>
  </si>
  <si>
    <t>TAMAN PVC BIRU</t>
  </si>
  <si>
    <t>002B/TAMAN-PVC-BIRU</t>
  </si>
  <si>
    <t>TIES 10 PUTIH</t>
  </si>
  <si>
    <t>002C/TIES-10-PUTIH</t>
  </si>
  <si>
    <t>OBENG 13-19</t>
  </si>
  <si>
    <t>002D/OBENG-13-19</t>
  </si>
  <si>
    <t>TEMBOK FLEX PUTIH</t>
  </si>
  <si>
    <t>003A/TEMBOKFLEX-PUTIH</t>
  </si>
  <si>
    <t>TAMAN PVC PUTIH</t>
  </si>
  <si>
    <t>003B/TAMAN-PVC-PUTIH</t>
  </si>
  <si>
    <t>TIES 15 HITAM</t>
  </si>
  <si>
    <t>003C/TIES-15-HITAM</t>
  </si>
  <si>
    <t>OBENG 16-25</t>
  </si>
  <si>
    <t>003D/OBENG-16-25</t>
  </si>
  <si>
    <t>MEJA FLEX SS</t>
  </si>
  <si>
    <t>004A/MEJAFLEX-1/2-SS</t>
  </si>
  <si>
    <t>TAMAN PVC COKLAT</t>
  </si>
  <si>
    <t>004B/TAMAN-PVC-COKLAT</t>
  </si>
  <si>
    <t>TIES 15 PUTIH</t>
  </si>
  <si>
    <t>004C/TIES-15-PUTIH</t>
  </si>
  <si>
    <t>OBENG 18-32</t>
  </si>
  <si>
    <t>004D/OBENG-18-32</t>
  </si>
  <si>
    <t>TAMAN PANJANG CM</t>
  </si>
  <si>
    <t>005A/TAMANPANJANG-1/2-CM</t>
  </si>
  <si>
    <t>TAMAN PVC ORANGE</t>
  </si>
  <si>
    <t>005B/TAMAN-PVC-ORANGE</t>
  </si>
  <si>
    <t>TIES 20 HITAM</t>
  </si>
  <si>
    <t>005C/TIES-20-HITAM</t>
  </si>
  <si>
    <t>OBENG 21-38</t>
  </si>
  <si>
    <t>005D/OBENG-21-38</t>
  </si>
  <si>
    <t>TAMAN BALING</t>
  </si>
  <si>
    <t>006A/TAMANBALING-1/2-CM</t>
  </si>
  <si>
    <t>MEJA FLEX CM</t>
  </si>
  <si>
    <t>006B/MEJAFLEX-1/2-CM</t>
  </si>
  <si>
    <t>TIES 20 PUTIH</t>
  </si>
  <si>
    <t>006C/TIES-20-PUTIH</t>
  </si>
  <si>
    <t>OBENG 21-44</t>
  </si>
  <si>
    <t>006D/OBENG-21-44</t>
  </si>
  <si>
    <t>MANDI 1/2 CM</t>
  </si>
  <si>
    <t>007A/MANDI-1/2-CM</t>
  </si>
  <si>
    <t>MEDIA A</t>
  </si>
  <si>
    <t>007B/MEDIA-A</t>
  </si>
  <si>
    <t>TIES 25 HITAM</t>
  </si>
  <si>
    <t>007C/TIES-25-HITAM</t>
  </si>
  <si>
    <t>OBENG 27-51</t>
  </si>
  <si>
    <t>007D/OBENG-27-51</t>
  </si>
  <si>
    <t>MANDI TUMPUL 3/4 CM</t>
  </si>
  <si>
    <t>008A/MANDITUMPUL-3/4-CM</t>
  </si>
  <si>
    <t>MEDIA B</t>
  </si>
  <si>
    <t>008B/MEDIA-B</t>
  </si>
  <si>
    <t>TIES 25 PUTIH</t>
  </si>
  <si>
    <t>008C/TIES-25-PUTIH</t>
  </si>
  <si>
    <t>OBENG 38-57</t>
  </si>
  <si>
    <t>008D/OBENG-38-57</t>
  </si>
  <si>
    <t>ANGSA BALING</t>
  </si>
  <si>
    <t>009A/ANGSA-BALING-CM</t>
  </si>
  <si>
    <t>009B/PHMETER</t>
  </si>
  <si>
    <t>TIES 30 HITAM</t>
  </si>
  <si>
    <t>009C/TIES-30-HITAM</t>
  </si>
  <si>
    <t>OBENG 40-64</t>
  </si>
  <si>
    <t>009D/OBENG-40-64</t>
  </si>
  <si>
    <t>NEPEL 1/2 X 3/4</t>
  </si>
  <si>
    <t>01/FITTING-NEPEL-1/2X3/4</t>
  </si>
  <si>
    <t>ANGSA IKAN</t>
  </si>
  <si>
    <t>010A/ANGSA-IKAN-CM</t>
  </si>
  <si>
    <t>FISHER ECER</t>
  </si>
  <si>
    <t>010B/FISHER-ECER</t>
  </si>
  <si>
    <t>FISHER PACK</t>
  </si>
  <si>
    <t>010B/FISHER-PACK</t>
  </si>
  <si>
    <t>TIES 30 PUTIH</t>
  </si>
  <si>
    <t>010C/TIES-30-PUTIH</t>
  </si>
  <si>
    <t>OBENG 52-76</t>
  </si>
  <si>
    <t>010D/OBENG-52-76</t>
  </si>
  <si>
    <t>CABANG TUMPUL</t>
  </si>
  <si>
    <t>011A/CABANGTUMPUL-CM</t>
  </si>
  <si>
    <t>NAIL PINK</t>
  </si>
  <si>
    <t>011B/NAIL-PINK</t>
  </si>
  <si>
    <t>TIES 30 HITAM JUMBO</t>
  </si>
  <si>
    <t>011C/TIES-30-HITAM-JUMBO</t>
  </si>
  <si>
    <t>OBENG 65-89</t>
  </si>
  <si>
    <t>011D/OBENG-65-89</t>
  </si>
  <si>
    <t>CABANG BALING</t>
  </si>
  <si>
    <t>012A/CABANGBALING-CM</t>
  </si>
  <si>
    <t>JET PUTIH</t>
  </si>
  <si>
    <t>012B/JET-PUTIH</t>
  </si>
  <si>
    <t>TIES 30 PUTIH JUMBO</t>
  </si>
  <si>
    <t>012C/TIES-30-PUTIH-JUMBO</t>
  </si>
  <si>
    <t>OBENG 73-101</t>
  </si>
  <si>
    <t>012D/OBENG-73-101</t>
  </si>
  <si>
    <t>CABANG PLUS</t>
  </si>
  <si>
    <t>013A/CABANGPLUS-CM</t>
  </si>
  <si>
    <t>JET CM</t>
  </si>
  <si>
    <t>013B/JET-CM</t>
  </si>
  <si>
    <t>TIES 40 HITAM JUMBO</t>
  </si>
  <si>
    <t>013C/TIES-40-HITAM-JUMBO</t>
  </si>
  <si>
    <t>OBENG 105-127</t>
  </si>
  <si>
    <t>013D/OBENG-105-127</t>
  </si>
  <si>
    <t>BOX BOX</t>
  </si>
  <si>
    <t>014-BOX</t>
  </si>
  <si>
    <t>014B/SIGMAT</t>
  </si>
  <si>
    <t>TIES 40 PUTIH JUMBO</t>
  </si>
  <si>
    <t>014C/TIES-40-PUTIH-JUMBO</t>
  </si>
  <si>
    <t>OBENG 130-152</t>
  </si>
  <si>
    <t>014D/OBENG-130-152</t>
  </si>
  <si>
    <t>JETSET</t>
  </si>
  <si>
    <t>015A/JETSET</t>
  </si>
  <si>
    <t>SELANG</t>
  </si>
  <si>
    <t>015B/SELANG</t>
  </si>
  <si>
    <t>TIES 50 HITAM JUMBO</t>
  </si>
  <si>
    <t>015C/TIES-50-HITAM-JUMBO</t>
  </si>
  <si>
    <t>OBENG 160-255</t>
  </si>
  <si>
    <t>015D/OBENG-160-255</t>
  </si>
  <si>
    <t>BAMBU</t>
  </si>
  <si>
    <t>016A/BAMBU</t>
  </si>
  <si>
    <t>016B/TORCH-733</t>
  </si>
  <si>
    <t>TIES 50 PUTIH JUMBO</t>
  </si>
  <si>
    <t>016C/TIES-50-PUTIH-JUMBO</t>
  </si>
  <si>
    <t>OBENG 200-310</t>
  </si>
  <si>
    <t>016D/OBENG-200-310</t>
  </si>
  <si>
    <t>CABANG PVC HIJAU</t>
  </si>
  <si>
    <t>017A/CABANG-PVC-HIJAU</t>
  </si>
  <si>
    <t>STOP K</t>
  </si>
  <si>
    <t>017B/STOP-K-PANJANG</t>
  </si>
  <si>
    <t>TIES 60 PUTIH JUMBO</t>
  </si>
  <si>
    <t>017C/TIES-60-PUTIH-JUMBO</t>
  </si>
  <si>
    <t>KUPING 10-16</t>
  </si>
  <si>
    <t>017D/KUPING-10-16</t>
  </si>
  <si>
    <t>CABANG PVC ORANGE</t>
  </si>
  <si>
    <t>018A/CABANG-PVC-ORANGE</t>
  </si>
  <si>
    <t>BEKAM LURUS</t>
  </si>
  <si>
    <t>018B/BEKAM-LURUS</t>
  </si>
  <si>
    <t>METERAN</t>
  </si>
  <si>
    <t>018C/METERAN</t>
  </si>
  <si>
    <t>KUPING 13-19</t>
  </si>
  <si>
    <t>018D/KUPING-13-19</t>
  </si>
  <si>
    <t>CABANG PVC PUTIH</t>
  </si>
  <si>
    <t>019A/CABANG-PVC-PUTIH</t>
  </si>
  <si>
    <t>BEKAM BENGKOK</t>
  </si>
  <si>
    <t>019B/BEKAM-BENGKOK</t>
  </si>
  <si>
    <t>KUPING 16-25</t>
  </si>
  <si>
    <t>019D/KUPING-16-25</t>
  </si>
  <si>
    <t>CABANG PVC BIRU</t>
  </si>
  <si>
    <t>020A/CABANG-PVC-BIRU</t>
  </si>
  <si>
    <t>CABANG IKAN</t>
  </si>
  <si>
    <t>020B/CABANGIKAN-CM</t>
  </si>
  <si>
    <t>KUPING 22-32</t>
  </si>
  <si>
    <t>020D/KUPING-22-32</t>
  </si>
  <si>
    <t>STOP TUNGGAL HITAM</t>
  </si>
  <si>
    <t>021A/STOPTUNGGAL-HITAM</t>
  </si>
  <si>
    <t>TAMAN KUNCI</t>
  </si>
  <si>
    <t>021B/TAMAN-KUNCI</t>
  </si>
  <si>
    <t>CABANG SIKU TUSUK</t>
  </si>
  <si>
    <t>021C/CABANGTUSUK-SS</t>
  </si>
  <si>
    <t>KUPING 25-38</t>
  </si>
  <si>
    <t>021D/KUPING-25-38</t>
  </si>
  <si>
    <t>STOP TUNGGAL CM</t>
  </si>
  <si>
    <t>022A/STOPTUGGAL-CM</t>
  </si>
  <si>
    <t>TAMAN 3/4 SS</t>
  </si>
  <si>
    <t>022B/TAMAN-3/4-SS</t>
  </si>
  <si>
    <t>CABANG WARU</t>
  </si>
  <si>
    <t>022C/CABANGWARU-SS</t>
  </si>
  <si>
    <t>KUPING 32-44</t>
  </si>
  <si>
    <t>022D/KUPING-32-44</t>
  </si>
  <si>
    <t>STOP GANDA CM</t>
  </si>
  <si>
    <t>023A/STOPGANDA-CM</t>
  </si>
  <si>
    <t>BROS HITAM</t>
  </si>
  <si>
    <t>023B/BROS-HITAM</t>
  </si>
  <si>
    <t>CABANG SIKU BULAT</t>
  </si>
  <si>
    <t>023C/CABANGSIKUBULAT-SS</t>
  </si>
  <si>
    <t>CUCUT</t>
  </si>
  <si>
    <t>023D/CUCUT</t>
  </si>
  <si>
    <t>STOP TUNGGAL SS</t>
  </si>
  <si>
    <t>024A/STOPTUNGGAL-SS</t>
  </si>
  <si>
    <t>BROS PUTIH</t>
  </si>
  <si>
    <t>024B/BROS-PUTIH</t>
  </si>
  <si>
    <t>CASE C406</t>
  </si>
  <si>
    <t>024C/CASEC406</t>
  </si>
  <si>
    <t>PIPE</t>
  </si>
  <si>
    <t>024D/PIPE</t>
  </si>
  <si>
    <t>STOP GANDA SS</t>
  </si>
  <si>
    <t>025A/STOPGANDA-SS</t>
  </si>
  <si>
    <t>CRANK</t>
  </si>
  <si>
    <t>025B/CRANK</t>
  </si>
  <si>
    <t>CASE CD</t>
  </si>
  <si>
    <t>025C/CASECD</t>
  </si>
  <si>
    <t>TOOLKIT</t>
  </si>
  <si>
    <t>025D/TOOLKIT</t>
  </si>
  <si>
    <t>WAST JUNGKIT</t>
  </si>
  <si>
    <t>026A/WAST-JUNGKIT</t>
  </si>
  <si>
    <t>MOTOBAR</t>
  </si>
  <si>
    <t>026B/MOTOBAR</t>
  </si>
  <si>
    <t>ALLOY</t>
  </si>
  <si>
    <t>026C/ALLOY</t>
  </si>
  <si>
    <t>026D/CUT-KACA</t>
  </si>
  <si>
    <t>WAST JUMBO</t>
  </si>
  <si>
    <t>027A/WAST-JUMBO</t>
  </si>
  <si>
    <t>KARET GUB</t>
  </si>
  <si>
    <t>027B/KARET GUB</t>
  </si>
  <si>
    <t>CASE XOSS</t>
  </si>
  <si>
    <t>027C/CASEXOSS</t>
  </si>
  <si>
    <t>CUT RANTAI</t>
  </si>
  <si>
    <t>027D/CUT-RANTAI</t>
  </si>
  <si>
    <t>WAST BALING CM</t>
  </si>
  <si>
    <t>028A/WAST-BALING-CM</t>
  </si>
  <si>
    <t>GUB G81 HITAM</t>
  </si>
  <si>
    <t>028B/GUBG81-HITAM</t>
  </si>
  <si>
    <t>SRAM</t>
  </si>
  <si>
    <t>028C/SRAM</t>
  </si>
  <si>
    <t>JEJER CM</t>
  </si>
  <si>
    <t>028D/JEJER-CM</t>
  </si>
  <si>
    <t>WAST BULAT SS</t>
  </si>
  <si>
    <t>029A/WAST-BULAT-SS</t>
  </si>
  <si>
    <t>GUB P10 HITAM</t>
  </si>
  <si>
    <t>029B/GUBP10-HITAM</t>
  </si>
  <si>
    <t>XOSS</t>
  </si>
  <si>
    <t>029C/XOSS</t>
  </si>
  <si>
    <t>JEJER SS</t>
  </si>
  <si>
    <t>029D/JEJER-SS</t>
  </si>
  <si>
    <t>WAST ENGKOL SS</t>
  </si>
  <si>
    <t>030A/WAST-ENGKOL-SS</t>
  </si>
  <si>
    <t>GUB P10 MERAH</t>
  </si>
  <si>
    <t>030B/GUBP10-MERAH</t>
  </si>
  <si>
    <t>HR</t>
  </si>
  <si>
    <t>030C/HR</t>
  </si>
  <si>
    <t>RESISTOR</t>
  </si>
  <si>
    <t>030D/RESISTOR</t>
  </si>
  <si>
    <t>BOTOL 1/2L</t>
  </si>
  <si>
    <t>031A/BOTOL-1/2L</t>
  </si>
  <si>
    <t>GUB P30 HITAM</t>
  </si>
  <si>
    <t>031B/GUBP30-HITAM</t>
  </si>
  <si>
    <t>CD</t>
  </si>
  <si>
    <t>031C/CD</t>
  </si>
  <si>
    <t>PALU</t>
  </si>
  <si>
    <t>031D/PALU</t>
  </si>
  <si>
    <t>BOTOL</t>
  </si>
  <si>
    <t>032A/BOTOL-1L</t>
  </si>
  <si>
    <t>TBA</t>
  </si>
  <si>
    <t>032B/TBA</t>
  </si>
  <si>
    <t>C406</t>
  </si>
  <si>
    <t>032C/C406</t>
  </si>
  <si>
    <t>SILET ECER</t>
  </si>
  <si>
    <t>032D/SILET-ECER</t>
  </si>
  <si>
    <t>SILET TUBE</t>
  </si>
  <si>
    <t>032D/SILET-TUBE</t>
  </si>
  <si>
    <t>HUTO DATAR 1/2</t>
  </si>
  <si>
    <t>033/HUTO-DATAR-1/2</t>
  </si>
  <si>
    <t>HUTO DATAR 3/4</t>
  </si>
  <si>
    <t>034/HUTO-DATAR-3/4</t>
  </si>
  <si>
    <t>HUTO TEGAK 1/2</t>
  </si>
  <si>
    <t>035/HUTO-TEGAK-1/2</t>
  </si>
  <si>
    <t>HUTO TEGAK 3/4</t>
  </si>
  <si>
    <t>036/HUTO-TEGAK-3/4</t>
  </si>
  <si>
    <t>FITTING NEPPLE</t>
  </si>
  <si>
    <t>044-FITTING-NEPPLE</t>
  </si>
  <si>
    <t>SOK 5 BULAT</t>
  </si>
  <si>
    <t>055-FITTING-SOKLUARBULAT-5-SS</t>
  </si>
  <si>
    <t>SOK 6 BULAT</t>
  </si>
  <si>
    <t>056-FITTING-SOKLUARBULAT-6-SS</t>
  </si>
  <si>
    <t>SOK 7 BULAT</t>
  </si>
  <si>
    <t>057-FITTING-SOKLUARBULAT-7-SS</t>
  </si>
  <si>
    <t>FITTING SOKLUARKOTAK 1 SS</t>
  </si>
  <si>
    <t>058-FITTING-SOKLUARKOTAK-1-SS</t>
  </si>
  <si>
    <t>TEE BIASA</t>
  </si>
  <si>
    <t>062-FITTING-TEEBIASA</t>
  </si>
  <si>
    <t>GEPENG 125</t>
  </si>
  <si>
    <t>067-GEPENG-125</t>
  </si>
  <si>
    <t>GEPENG 158</t>
  </si>
  <si>
    <t>068-GEPENG-158</t>
  </si>
  <si>
    <t>GEPENG 37</t>
  </si>
  <si>
    <t>069-GEPENG-37</t>
  </si>
  <si>
    <t>GEPENG 38168</t>
  </si>
  <si>
    <t>070-GEPENG-38168</t>
  </si>
  <si>
    <t>GEPENG 3860</t>
  </si>
  <si>
    <t>071-GEPENG-3860</t>
  </si>
  <si>
    <t>GEPENG 47</t>
  </si>
  <si>
    <t>072-GEPENG-47</t>
  </si>
  <si>
    <t>GEPENG 57</t>
  </si>
  <si>
    <t>073-GEPENG-57</t>
  </si>
  <si>
    <t>GEPENG 77</t>
  </si>
  <si>
    <t>074-GEPENG-77</t>
  </si>
  <si>
    <t>PLAT 2532</t>
  </si>
  <si>
    <t>137-PLAT-2532</t>
  </si>
  <si>
    <t>PLAT 2636</t>
  </si>
  <si>
    <t>138-PLAT-2636</t>
  </si>
  <si>
    <t>PLAT 3038</t>
  </si>
  <si>
    <t>139-PLAT-3038</t>
  </si>
  <si>
    <t>PLAT 3050</t>
  </si>
  <si>
    <t>140-PLAT-3050</t>
  </si>
  <si>
    <t>PLAT 4040</t>
  </si>
  <si>
    <t>141-PLAT-4040</t>
  </si>
  <si>
    <t>PLAT 4543</t>
  </si>
  <si>
    <t>142-PLAT-4543</t>
  </si>
  <si>
    <t>PLAT 5050</t>
  </si>
  <si>
    <t>143-PLAT-5050</t>
  </si>
  <si>
    <t>PLAT HITAM 100</t>
  </si>
  <si>
    <t>144-PLAT-HITAM-100</t>
  </si>
  <si>
    <t>PLAT HITAM 20</t>
  </si>
  <si>
    <t>145-PLAT-HITAM-20</t>
  </si>
  <si>
    <t>PLAT HITAM 3038</t>
  </si>
  <si>
    <t>146-PLAT-HITAM-3038</t>
  </si>
  <si>
    <t>PLAT HITAM 40</t>
  </si>
  <si>
    <t>147-PLAT-HITAM-40</t>
  </si>
  <si>
    <t>PLAT HITAM 50</t>
  </si>
  <si>
    <t>148-PLAT-HITAM-50</t>
  </si>
  <si>
    <t>PLAT KENI 50</t>
  </si>
  <si>
    <t>149-PLAT-KENI-50</t>
  </si>
  <si>
    <t>PLAT KENI 80</t>
  </si>
  <si>
    <t>150-PLAT-KENI-80</t>
  </si>
  <si>
    <t>PLAT SIKU 100</t>
  </si>
  <si>
    <t>151-PLAT-SIKU-100</t>
  </si>
  <si>
    <t>PLAT SIKU 110</t>
  </si>
  <si>
    <t>152-PLAT-SIKU-110</t>
  </si>
  <si>
    <t>PLAT SIKU 125</t>
  </si>
  <si>
    <t>153-PLAT-SIKU-125</t>
  </si>
  <si>
    <t>PLAT SIKU 150</t>
  </si>
  <si>
    <t>154-PLAT-SIKU-150</t>
  </si>
  <si>
    <t>PLAT SIKU 20</t>
  </si>
  <si>
    <t>155-PLAT-SIKU-20</t>
  </si>
  <si>
    <t>PLAT SIKU 25</t>
  </si>
  <si>
    <t>156-PLAT-SIKU-25</t>
  </si>
  <si>
    <t>PLAT SIKU 30</t>
  </si>
  <si>
    <t>157-PLAT-SIKU-30</t>
  </si>
  <si>
    <t>PLAT SIKU 40</t>
  </si>
  <si>
    <t>158-PLAT-SIKU-40</t>
  </si>
  <si>
    <t>PLAT SIKU 50</t>
  </si>
  <si>
    <t>159-PLAT-SIKU-50</t>
  </si>
  <si>
    <t>PLAT SIKU 65</t>
  </si>
  <si>
    <t>160-PLAT-SIKU-65</t>
  </si>
  <si>
    <t>PLAT SIKU 75</t>
  </si>
  <si>
    <t>161-PLAT-SIKU-75</t>
  </si>
  <si>
    <t>PLAT SIKU 80</t>
  </si>
  <si>
    <t>162-PLAT-SIKU-80</t>
  </si>
  <si>
    <t>PLAT T 120</t>
  </si>
  <si>
    <t>163-PLAT-T-120</t>
  </si>
  <si>
    <t>PLAT T 40</t>
  </si>
  <si>
    <t>164-PLAT-T-40</t>
  </si>
  <si>
    <t>PLAT T 50</t>
  </si>
  <si>
    <t>165-PLAT-T-50</t>
  </si>
  <si>
    <t>PLAT T 60</t>
  </si>
  <si>
    <t>166-PLAT-T-60</t>
  </si>
  <si>
    <t>PLAT T 80</t>
  </si>
  <si>
    <t>167-PLAT-T-80</t>
  </si>
  <si>
    <t>TENDA F3</t>
  </si>
  <si>
    <t>203-TENDA-F3</t>
  </si>
  <si>
    <t>TIES SS 10</t>
  </si>
  <si>
    <t>221-TIES-SS-10</t>
  </si>
  <si>
    <t>TIES SS 100</t>
  </si>
  <si>
    <t>221-TIES-SS-100</t>
  </si>
  <si>
    <t>TIES SS 120</t>
  </si>
  <si>
    <t>221-TIES-SS-120</t>
  </si>
  <si>
    <t>TIES SS 15</t>
  </si>
  <si>
    <t>221-TIES-SS-15</t>
  </si>
  <si>
    <t>TIES SS 150</t>
  </si>
  <si>
    <t>221-TIES-SS-150</t>
  </si>
  <si>
    <t>TIES SS 170</t>
  </si>
  <si>
    <t>221-TIES-SS-170</t>
  </si>
  <si>
    <t>TIES SS 20</t>
  </si>
  <si>
    <t>221-TIES-SS-20</t>
  </si>
  <si>
    <t>TIES SS 20 JUMBO</t>
  </si>
  <si>
    <t>221-TIES-SS-20-JUMBO</t>
  </si>
  <si>
    <t>TIES SS 200</t>
  </si>
  <si>
    <t>221-TIES-SS-200</t>
  </si>
  <si>
    <t>TIES SS 25</t>
  </si>
  <si>
    <t>221-TIES-SS-25</t>
  </si>
  <si>
    <t>221-TIES-SS-30</t>
  </si>
  <si>
    <t>TIES SS 30 JUMBO</t>
  </si>
  <si>
    <t>221-TIES-SS-30-JUMBO</t>
  </si>
  <si>
    <t>TIES SS 35</t>
  </si>
  <si>
    <t>221-TIES-SS-35</t>
  </si>
  <si>
    <t>TIES SS 40</t>
  </si>
  <si>
    <t>221-TIES-SS-40</t>
  </si>
  <si>
    <t>TIES SS 40 JUMBO</t>
  </si>
  <si>
    <t>221-TIES-SS-40-JUMBO</t>
  </si>
  <si>
    <t>TIES SS 45</t>
  </si>
  <si>
    <t>221-TIES-SS-45</t>
  </si>
  <si>
    <t>TIES SS 50</t>
  </si>
  <si>
    <t>221-TIES-SS-50</t>
  </si>
  <si>
    <t>TIES SS 60</t>
  </si>
  <si>
    <t>221-TIES-SS-60</t>
  </si>
  <si>
    <t>TIES SS 70</t>
  </si>
  <si>
    <t>221-TIES-SS-70</t>
  </si>
  <si>
    <t>TIES-SS 80</t>
  </si>
  <si>
    <t>221-TIES-SS-80</t>
  </si>
  <si>
    <t>TIES SS 90</t>
  </si>
  <si>
    <t>221-TIES-SS-90</t>
  </si>
  <si>
    <t>WRAP</t>
  </si>
  <si>
    <t>276-WRAP</t>
  </si>
  <si>
    <t>DOP</t>
  </si>
  <si>
    <t>509-FITTING-DOP</t>
  </si>
  <si>
    <t>510-FITTING-KENI</t>
  </si>
  <si>
    <t>PLUG</t>
  </si>
  <si>
    <t>511-FITTING-PLUG</t>
  </si>
  <si>
    <t>512-FITTING-VALVE</t>
  </si>
  <si>
    <t>VALVE KUNING</t>
  </si>
  <si>
    <t>513-FITTING-VALVE-KNG</t>
  </si>
  <si>
    <t>FITTING SOK</t>
  </si>
  <si>
    <t>514-FITTING-SOK</t>
  </si>
  <si>
    <t>FITTING SOK LUAR BULAT 11/2 SS</t>
  </si>
  <si>
    <t>515-FITTING-SOKLUARBULAT-11/2-SS</t>
  </si>
  <si>
    <t>FITTING SOK LUAR BULAT 1 SS</t>
  </si>
  <si>
    <t>516-FITTING-SOKLUARBULAT-1-SS</t>
  </si>
  <si>
    <t>FITTING SOK LUAR BULAT 2 SS</t>
  </si>
  <si>
    <t>517-FITTING-SOKLUARBULAT-2-SS</t>
  </si>
  <si>
    <t>FITTING SOK LUAR BULAT 3 SS</t>
  </si>
  <si>
    <t>518-FITTING-SOKLUARBULAT-3-SS</t>
  </si>
  <si>
    <t>FITTING SOK LUAR BULAT 4 SS</t>
  </si>
  <si>
    <t>519-FITTING-SOKLUARBULAT-4-SS</t>
  </si>
  <si>
    <t>FITTING SOK LUAR KOTAK 3 SS</t>
  </si>
  <si>
    <t>521-FITTING-SOKLUARKOTAK-3-SS</t>
  </si>
  <si>
    <t>FITTING SOK LUAR KOTAK 4 SS</t>
  </si>
  <si>
    <t>522-FITTING-SOKLUARKOTAK-4-SS</t>
  </si>
  <si>
    <t>FITTING SOK LUAR KOTAK 5 SS</t>
  </si>
  <si>
    <t>523-FITTING-SOKLUARKOTAK-5-SS</t>
  </si>
  <si>
    <t>TEE DALAM DALAM</t>
  </si>
  <si>
    <t>524-FITTING-TEEDALAMDALAM</t>
  </si>
  <si>
    <t>TEE LUAR LUAR</t>
  </si>
  <si>
    <t>525-FITTING-TEELUARLUAR</t>
  </si>
  <si>
    <t>TEE PUTAR</t>
  </si>
  <si>
    <t>526-FITTING-TEEPUTAR</t>
  </si>
  <si>
    <t>FITTING V RING</t>
  </si>
  <si>
    <t>527-FITTING-VRING-3/4</t>
  </si>
  <si>
    <t>SOK KILAP</t>
  </si>
  <si>
    <t>528-FITTING-SOK-KILAP</t>
  </si>
  <si>
    <t>FITTING VRING 1/4</t>
  </si>
  <si>
    <t>529-FITTING-VRING-1/4</t>
  </si>
  <si>
    <t>CUT KODOK</t>
  </si>
  <si>
    <t>701-CUT-KODOK</t>
  </si>
  <si>
    <t>702-JUMBO-1/2-PVC</t>
  </si>
  <si>
    <t>STOP GANDA BIASA</t>
  </si>
  <si>
    <t>703-STOPGANDA</t>
  </si>
  <si>
    <t>STOP TUNGGAL BIASA</t>
  </si>
  <si>
    <t>704-STOPTUNGGAL</t>
  </si>
  <si>
    <t>TAMAN 1/2 CM</t>
  </si>
  <si>
    <t>705-TAMAN-1/2-CM</t>
  </si>
  <si>
    <t>TAMAN 1/2 SS</t>
  </si>
  <si>
    <t>706-TAMAN-1/2-SS</t>
  </si>
  <si>
    <t>TORCH PUTIH</t>
  </si>
  <si>
    <t>707-TORCH-PUTIH</t>
  </si>
  <si>
    <t>BATH TUB</t>
  </si>
  <si>
    <t>708-BATHTUB</t>
  </si>
  <si>
    <t>TEMBOK FLEX CM</t>
  </si>
  <si>
    <t>709-TEMBOKFLEX-CM</t>
  </si>
  <si>
    <t>CUT DAHAN</t>
  </si>
  <si>
    <t>710-CUT-DAHAN</t>
  </si>
  <si>
    <t>PROYEKTOR</t>
  </si>
  <si>
    <t>711-PROYEKTOR</t>
  </si>
  <si>
    <t>JUMBO 3/4 PVC</t>
  </si>
  <si>
    <t>712-JUMBO-3/4-PVC</t>
  </si>
  <si>
    <t>NAIL BIRU</t>
  </si>
  <si>
    <t>713-NAIL-BIRU</t>
  </si>
  <si>
    <t>PAGAR 10</t>
  </si>
  <si>
    <t>714-PAGAR-10</t>
  </si>
  <si>
    <t>PAGAR 20</t>
  </si>
  <si>
    <t>715-PAGAR-20</t>
  </si>
  <si>
    <t>PAGAR 30</t>
  </si>
  <si>
    <t>716-PAGAR-30</t>
  </si>
  <si>
    <t>PAGAR 40</t>
  </si>
  <si>
    <t>717-PAGAR-40</t>
  </si>
  <si>
    <t>PAGAR 75/84</t>
  </si>
  <si>
    <t>718-PAGAR-75/84</t>
  </si>
  <si>
    <t>TORCH BLOW</t>
  </si>
  <si>
    <t>719-TORCH-BLOW</t>
  </si>
  <si>
    <t>TENDA AC23</t>
  </si>
  <si>
    <t>720-TENDA-AC23</t>
  </si>
  <si>
    <t>901-SARUNGTANGAN</t>
  </si>
  <si>
    <t>SINGER</t>
  </si>
  <si>
    <t>902-SINGER</t>
  </si>
  <si>
    <t>WD BOX</t>
  </si>
  <si>
    <t>903-WD-BOX</t>
  </si>
  <si>
    <t>CABANG SIKU CM</t>
  </si>
  <si>
    <t>CABANGSIKU-CM</t>
  </si>
  <si>
    <t>SOK KOTAK</t>
  </si>
  <si>
    <t>FITTING-SOK-KOTAK-1/2X3/4</t>
  </si>
  <si>
    <t>LESSO W83101</t>
  </si>
  <si>
    <t>LESSO-W83101</t>
  </si>
  <si>
    <t>LESSO W83102</t>
  </si>
  <si>
    <t>LESSO-W83102</t>
  </si>
  <si>
    <t>LR</t>
  </si>
  <si>
    <t>MEDIA SET</t>
  </si>
  <si>
    <t>MEDIA-A+MEDIA-B</t>
  </si>
  <si>
    <t>PVC GOLD PUTIH</t>
  </si>
  <si>
    <t>PVC-GOLD-PUTIH</t>
  </si>
  <si>
    <t>STOP TUNGGAL MERAH</t>
  </si>
  <si>
    <t>STOPTUNGGAL-MERAH</t>
  </si>
  <si>
    <t/>
  </si>
  <si>
    <t xml:space="preserve">No. </t>
  </si>
  <si>
    <t>Tanggal</t>
  </si>
  <si>
    <t>Waktu</t>
  </si>
  <si>
    <t>Type</t>
  </si>
  <si>
    <t>Total By Order</t>
  </si>
  <si>
    <t>Total By Count</t>
  </si>
  <si>
    <t>Total Out</t>
  </si>
  <si>
    <t>Aman</t>
  </si>
  <si>
    <t>Harga Satuan</t>
  </si>
  <si>
    <t xml:space="preserve">Nilai Transaksi </t>
  </si>
  <si>
    <t>Barang Datang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</si>
</sst>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MM-yyyy"/>
    <numFmt numFmtId="165" formatCode="[$Rp-421]#,##0.00"/>
    <numFmt numFmtId="166" formatCode="[$Rp-421]#,##0"/>
    <numFmt numFmtId="167" formatCode="H:mm:ss"/>
  </numFmts>
  <fonts count="3">
    <font>
      <sz val="11.0"/>
      <color rgb="FF000000"/>
      <name val="Arial"/>
      <scheme val="minor"/>
    </font>
    <font>
      <name val="Verdana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/>
    </xf>
    <xf borderId="0" fillId="0" fontId="1" numFmtId="49" xfId="0" applyFont="1" applyNumberFormat="1"/>
    <xf borderId="0" fillId="0" fontId="1" numFmtId="0" xfId="0" applyFont="1"/>
    <xf borderId="0" fillId="0" fontId="1" numFmtId="164" xfId="0" applyAlignment="1" applyFont="1" applyNumberFormat="1">
      <alignment horizontal="center"/>
    </xf>
    <xf borderId="0" fillId="0" fontId="1" numFmtId="164" xfId="0" applyFont="1" applyNumberFormat="1"/>
    <xf borderId="0" fillId="0" fontId="2" numFmtId="0" xfId="0" applyFont="1"/>
    <xf borderId="0" fillId="0" fontId="2" numFmtId="166" xfId="0" applyFont="1" applyNumberFormat="1"/>
    <xf borderId="0" fillId="0" fontId="1" numFmtId="0" xfId="0" applyAlignment="1" applyFont="1">
      <alignment readingOrder="0"/>
    </xf>
    <xf borderId="0" fillId="0" fontId="2" numFmtId="165" xfId="0" applyFont="1" applyNumberForma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shrinkToFit="0" wrapText="1"/>
    </xf>
    <xf borderId="0" fillId="0" fontId="1" numFmtId="167" xfId="0" applyAlignment="1" applyFont="1" applyNumberFormat="1">
      <alignment horizontal="center" shrinkToFit="0" vertical="center" wrapText="1"/>
    </xf>
    <xf borderId="0" fillId="0" fontId="1" numFmtId="164" xfId="0" applyAlignment="1" applyFont="1" applyNumberFormat="1">
      <alignment horizontal="center" vertical="center"/>
    </xf>
    <xf borderId="0" fillId="0" fontId="1" numFmtId="167" xfId="0" applyAlignment="1" applyFont="1" applyNumberFormat="1">
      <alignment horizontal="center" vertical="center"/>
    </xf>
    <xf borderId="0" fillId="0" fontId="1" numFmtId="0" xfId="0" applyAlignment="1" applyFont="1">
      <alignment horizontal="center" shrinkToFit="0" wrapText="1"/>
    </xf>
    <xf borderId="0" fillId="0" fontId="1" numFmtId="165" xfId="0" applyFont="1" applyNumberFormat="1"/>
    <xf borderId="0" fillId="0" fontId="1" numFmtId="0" xfId="0" applyAlignment="1" applyFont="1">
      <alignment vertical="center"/>
    </xf>
    <xf borderId="0" fillId="0" fontId="1" numFmtId="166" xfId="0" applyAlignment="1" applyFont="1" applyNumberFormat="1">
      <alignment vertical="center"/>
    </xf>
    <xf borderId="0" fillId="0" fontId="1" numFmtId="165" xfId="0" applyAlignment="1" applyFont="1" applyNumberFormat="1">
      <alignment vertical="center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Row="1"/>
  <cols>
    <col customWidth="1" min="1" max="1" width="6.86"/>
    <col customWidth="1" min="2" max="2" width="22.71"/>
    <col customWidth="1" min="3" max="3" width="24.14"/>
    <col customWidth="1" min="4" max="4" width="13.71"/>
    <col customWidth="1" min="5" max="5" width="14.71"/>
    <col customWidth="1" min="6" max="6" width="11.29"/>
    <col customWidth="1" min="7" max="7" width="14.43"/>
    <col customWidth="1" min="8" max="8" width="10.14"/>
    <col customWidth="1" min="9" max="9" width="34.43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4" t="s">
        <v>6</v>
      </c>
      <c r="H1" s="1" t="s">
        <v>7</v>
      </c>
      <c r="I1" s="1" t="s">
        <v>8</v>
      </c>
    </row>
    <row r="2">
      <c r="A2" s="5" t="str">
        <f t="shared" ref="A2:A245" si="1">IF(B2&lt;&gt;"",ROW(B2)-ROW($B$1),"")</f>
        <v>1</v>
      </c>
      <c r="B2" s="6" t="s">
        <v>9</v>
      </c>
      <c r="C2" s="7" t="str">
        <f t="array" ref="C2">IFS(B2="","",COUNTIF('Master Barang'!B:B,B2)=0,SUBSTITUTE(TRIM(B2)," ","-"),COUNTIF('Master Barang'!B:B,B2)=1,XLOOKUP(B2,'Master Barang'!B:B,'Master Barang'!C:C,,,1))</f>
        <v>009B/PHMETER</v>
      </c>
      <c r="D2" s="8">
        <v>45748.0</v>
      </c>
      <c r="E2" s="9">
        <v>45752.0</v>
      </c>
      <c r="F2" s="10">
        <v>20.0</v>
      </c>
      <c r="G2" s="11">
        <v>150000.0</v>
      </c>
      <c r="H2" s="12" t="s">
        <v>10</v>
      </c>
      <c r="I2" s="5" t="str">
        <f>IFERROR(__xludf.DUMMYFUNCTION("if(OR(B2="""",E2=""""),"""", LET(
  Nama, B2,
  SKU, C2,
  Estimasi, E2,
  QtyOrder, F2,
  FilterTrans, FILTER(
    Transaksi!B:H,
    Transaksi!F:F=""Barang Datang"",
    Transaksi!D:D=Nama,
    Transaksi!E:E=SKU
  ),
  TotalDatang, IFERROR(SUM(IND"&amp;"EX(FilterTrans,,7)), 0),
  TanggalDatang, IFERROR(MAX(INDEX(FilterTrans,,1)), 0),
  SelisihQty, QtyOrder-TotalDatang,
  SelisihHari, TanggalDatang-Estimasi,
  KeteranganQty, IF(SelisihQty=0, ""Oke"", 
    IF(SelisihQty&gt;0, ""Kurang "" &amp; SelisihQty &amp; "&amp;""" pcs"", 
    ""Lebih "" &amp; ABS(SelisihQty) &amp; "" pcs"")),
  KeteranganHari, IF(TanggalDatang=0, ""Belum datang"",
    IF(SelisihHari=0, """", 
    IF(SelisihHari&gt;0, ""Terlambat "" &amp; SelisihHari &amp; "" hari"", 
    ""Lebih cepat "" &amp; ABS(SelisihHari) &amp; """&amp;" hari""))),
  Hasil, IF(TanggalDatang=0, KeteranganHari,
    IF(AND(SelisihQty=0, SelisihHari=0), ""Oke"",
    IF(SelisihQty=0, KeteranganHari,
    IF(SelisihHari=0, KeteranganQty,
    KeteranganHari &amp; "" dengan "" &amp; LOWER(KeteranganQty))))),
  Hasi"&amp;"l
))"),"Oke")</f>
        <v>Oke</v>
      </c>
    </row>
    <row r="3">
      <c r="A3" s="5" t="str">
        <f t="shared" si="1"/>
        <v>2</v>
      </c>
      <c r="B3" s="6" t="s">
        <v>11</v>
      </c>
      <c r="C3" s="7" t="str">
        <f t="array" ref="C3">IFS(B3="","",COUNTIF('Master Barang'!B:B,B3)=0,SUBSTITUTE(TRIM(B3)," ","-"),COUNTIF('Master Barang'!B:B,B3)=1,XLOOKUP(B3,'Master Barang'!B:B,'Master Barang'!C:C,,,1))</f>
        <v>512-FITTING-VALVE</v>
      </c>
      <c r="D3" s="8">
        <v>45749.0</v>
      </c>
      <c r="E3" s="9">
        <v>45754.0</v>
      </c>
      <c r="F3" s="10">
        <v>50.0</v>
      </c>
      <c r="G3" s="11">
        <v>35000.0</v>
      </c>
      <c r="H3" s="7" t="s">
        <v>12</v>
      </c>
      <c r="I3" s="5" t="str">
        <f>IFERROR(__xludf.DUMMYFUNCTION("if(OR(B3="""",E3=""""),"""", LET(
  Nama, B3,
  SKU, C3,
  Estimasi, E3,
  QtyOrder, F3,
  FilterTrans, FILTER(
    Transaksi!B:H,
    Transaksi!F:F=""Barang Datang"",
    Transaksi!D:D=Nama,
    Transaksi!E:E=SKU
  ),
  TotalDatang, IFERROR(SUM(IND"&amp;"EX(FilterTrans,,7)), 0),
  TanggalDatang, IFERROR(MAX(INDEX(FilterTrans,,1)), 0),
  SelisihQty, QtyOrder-TotalDatang,
  SelisihHari, TanggalDatang-Estimasi,
  KeteranganQty, IF(SelisihQty=0, ""Oke"", 
    IF(SelisihQty&gt;0, ""Kurang "" &amp; SelisihQty &amp; "&amp;""" pcs"", 
    ""Lebih "" &amp; ABS(SelisihQty) &amp; "" pcs"")),
  KeteranganHari, IF(TanggalDatang=0, ""Belum datang"",
    IF(SelisihHari=0, """", 
    IF(SelisihHari&gt;0, ""Terlambat "" &amp; SelisihHari &amp; "" hari"", 
    ""Lebih cepat "" &amp; ABS(SelisihHari) &amp; """&amp;" hari""))),
  Hasil, IF(TanggalDatang=0, KeteranganHari,
    IF(AND(SelisihQty=0, SelisihHari=0), ""Oke"",
    IF(SelisihQty=0, KeteranganHari,
    IF(SelisihHari=0, KeteranganQty,
    KeteranganHari &amp; "" dengan "" &amp; LOWER(KeteranganQty))))),
  Hasi"&amp;"l
))"),"Belum datang")</f>
        <v>Belum datang</v>
      </c>
    </row>
    <row r="4">
      <c r="A4" s="5" t="str">
        <f t="shared" si="1"/>
        <v>3</v>
      </c>
      <c r="B4" s="6" t="s">
        <v>13</v>
      </c>
      <c r="C4" s="7" t="str">
        <f t="array" ref="C4">IFS(B4="","",COUNTIF('Master Barang'!B:B,B4)=0,SUBSTITUTE(TRIM(B4)," ","-"),COUNTIF('Master Barang'!B:B,B4)=1,XLOOKUP(B4,'Master Barang'!B:B,'Master Barang'!C:C,,,1))</f>
        <v>001C/TIES-10-HITAM</v>
      </c>
      <c r="D4" s="8">
        <v>45750.0</v>
      </c>
      <c r="E4" s="9">
        <v>45755.0</v>
      </c>
      <c r="F4" s="10">
        <v>100.0</v>
      </c>
      <c r="G4" s="11">
        <v>18000.0</v>
      </c>
      <c r="H4" s="7" t="s">
        <v>12</v>
      </c>
      <c r="I4" s="5" t="str">
        <f>IFERROR(__xludf.DUMMYFUNCTION("if(OR(B4="""",E4=""""),"""", LET(
  Nama, B4,
  SKU, C4,
  Estimasi, E4,
  QtyOrder, F4,
  FilterTrans, FILTER(
    Transaksi!B:H,
    Transaksi!F:F=""Barang Datang"",
    Transaksi!D:D=Nama,
    Transaksi!E:E=SKU
  ),
  TotalDatang, IFERROR(SUM(IND"&amp;"EX(FilterTrans,,7)), 0),
  TanggalDatang, IFERROR(MAX(INDEX(FilterTrans,,1)), 0),
  SelisihQty, QtyOrder-TotalDatang,
  SelisihHari, TanggalDatang-Estimasi,
  KeteranganQty, IF(SelisihQty=0, ""Oke"", 
    IF(SelisihQty&gt;0, ""Kurang "" &amp; SelisihQty &amp; "&amp;""" pcs"", 
    ""Lebih "" &amp; ABS(SelisihQty) &amp; "" pcs"")),
  KeteranganHari, IF(TanggalDatang=0, ""Belum datang"",
    IF(SelisihHari=0, """", 
    IF(SelisihHari&gt;0, ""Terlambat "" &amp; SelisihHari &amp; "" hari"", 
    ""Lebih cepat "" &amp; ABS(SelisihHari) &amp; """&amp;" hari""))),
  Hasil, IF(TanggalDatang=0, KeteranganHari,
    IF(AND(SelisihQty=0, SelisihHari=0), ""Oke"",
    IF(SelisihQty=0, KeteranganHari,
    IF(SelisihHari=0, KeteranganQty,
    KeteranganHari &amp; "" dengan "" &amp; LOWER(KeteranganQty))))),
  Hasi"&amp;"l
))"),"Belum datang")</f>
        <v>Belum datang</v>
      </c>
    </row>
    <row r="5">
      <c r="A5" s="5" t="str">
        <f t="shared" si="1"/>
        <v>4</v>
      </c>
      <c r="B5" s="6" t="s">
        <v>14</v>
      </c>
      <c r="C5" s="7" t="str">
        <f t="array" ref="C5">IFS(B5="","",COUNTIF('Master Barang'!B:B,B5)=0,SUBSTITUTE(TRIM(B5)," ","-"),COUNTIF('Master Barang'!B:B,B5)=1,XLOOKUP(B5,'Master Barang'!B:B,'Master Barang'!C:C,,,1))</f>
        <v>014B/SIGMAT</v>
      </c>
      <c r="D5" s="8">
        <v>45752.0</v>
      </c>
      <c r="E5" s="9">
        <v>45757.0</v>
      </c>
      <c r="F5" s="10">
        <v>30.0</v>
      </c>
      <c r="G5" s="11">
        <v>25000.0</v>
      </c>
      <c r="H5" s="7" t="s">
        <v>12</v>
      </c>
      <c r="I5" s="5" t="str">
        <f>IFERROR(__xludf.DUMMYFUNCTION("if(OR(B5="""",E5=""""),"""", LET(
  Nama, B5,
  SKU, C5,
  Estimasi, E5,
  QtyOrder, F5,
  FilterTrans, FILTER(
    Transaksi!B:H,
    Transaksi!F:F=""Barang Datang"",
    Transaksi!D:D=Nama,
    Transaksi!E:E=SKU
  ),
  TotalDatang, IFERROR(SUM(IND"&amp;"EX(FilterTrans,,7)), 0),
  TanggalDatang, IFERROR(MAX(INDEX(FilterTrans,,1)), 0),
  SelisihQty, QtyOrder-TotalDatang,
  SelisihHari, TanggalDatang-Estimasi,
  KeteranganQty, IF(SelisihQty=0, ""Oke"", 
    IF(SelisihQty&gt;0, ""Kurang "" &amp; SelisihQty &amp; "&amp;""" pcs"", 
    ""Lebih "" &amp; ABS(SelisihQty) &amp; "" pcs"")),
  KeteranganHari, IF(TanggalDatang=0, ""Belum datang"",
    IF(SelisihHari=0, """", 
    IF(SelisihHari&gt;0, ""Terlambat "" &amp; SelisihHari &amp; "" hari"", 
    ""Lebih cepat "" &amp; ABS(SelisihHari) &amp; """&amp;" hari""))),
  Hasil, IF(TanggalDatang=0, KeteranganHari,
    IF(AND(SelisihQty=0, SelisihHari=0), ""Oke"",
    IF(SelisihQty=0, KeteranganHari,
    IF(SelisihHari=0, KeteranganQty,
    KeteranganHari &amp; "" dengan "" &amp; LOWER(KeteranganQty))))),
  Hasi"&amp;"l
))"),"Belum datang")</f>
        <v>Belum datang</v>
      </c>
    </row>
    <row r="6">
      <c r="A6" s="5" t="str">
        <f t="shared" si="1"/>
        <v>5</v>
      </c>
      <c r="B6" s="6" t="s">
        <v>15</v>
      </c>
      <c r="C6" s="7" t="str">
        <f t="array" ref="C6">IFS(B6="","",COUNTIF('Master Barang'!B:B,B6)=0,SUBSTITUTE(TRIM(B6)," ","-"),COUNTIF('Master Barang'!B:B,B6)=1,XLOOKUP(B6,'Master Barang'!B:B,'Master Barang'!C:C,,,1))</f>
        <v>510-FITTING-KENI</v>
      </c>
      <c r="D6" s="8">
        <v>45754.0</v>
      </c>
      <c r="E6" s="9">
        <v>45759.0</v>
      </c>
      <c r="F6" s="10">
        <v>75.0</v>
      </c>
      <c r="G6" s="11">
        <v>30000.0</v>
      </c>
      <c r="H6" s="7" t="s">
        <v>12</v>
      </c>
      <c r="I6" s="5" t="str">
        <f>IFERROR(__xludf.DUMMYFUNCTION("if(OR(B6="""",E6=""""),"""", LET(
  Nama, B6,
  SKU, C6,
  Estimasi, E6,
  QtyOrder, F6,
  FilterTrans, FILTER(
    Transaksi!B:H,
    Transaksi!F:F=""Barang Datang"",
    Transaksi!D:D=Nama,
    Transaksi!E:E=SKU
  ),
  TotalDatang, IFERROR(SUM(IND"&amp;"EX(FilterTrans,,7)), 0),
  TanggalDatang, IFERROR(MAX(INDEX(FilterTrans,,1)), 0),
  SelisihQty, QtyOrder-TotalDatang,
  SelisihHari, TanggalDatang-Estimasi,
  KeteranganQty, IF(SelisihQty=0, ""Oke"", 
    IF(SelisihQty&gt;0, ""Kurang "" &amp; SelisihQty &amp; "&amp;""" pcs"", 
    ""Lebih "" &amp; ABS(SelisihQty) &amp; "" pcs"")),
  KeteranganHari, IF(TanggalDatang=0, ""Belum datang"",
    IF(SelisihHari=0, """", 
    IF(SelisihHari&gt;0, ""Terlambat "" &amp; SelisihHari &amp; "" hari"", 
    ""Lebih cepat "" &amp; ABS(SelisihHari) &amp; """&amp;" hari""))),
  Hasil, IF(TanggalDatang=0, KeteranganHari,
    IF(AND(SelisihQty=0, SelisihHari=0), ""Oke"",
    IF(SelisihQty=0, KeteranganHari,
    IF(SelisihHari=0, KeteranganQty,
    KeteranganHari &amp; "" dengan "" &amp; LOWER(KeteranganQty))))),
  Hasi"&amp;"l
))"),"Belum datang")</f>
        <v>Belum datang</v>
      </c>
    </row>
    <row r="7">
      <c r="A7" s="5" t="str">
        <f t="shared" si="1"/>
        <v>6</v>
      </c>
      <c r="B7" s="6" t="s">
        <v>16</v>
      </c>
      <c r="C7" s="7" t="str">
        <f t="array" ref="C7">IFS(B7="","",COUNTIF('Master Barang'!B:B,B7)=0,SUBSTITUTE(TRIM(B7)," ","-"),COUNTIF('Master Barang'!B:B,B7)=1,XLOOKUP(B7,'Master Barang'!B:B,'Master Barang'!C:C,,,1))</f>
        <v>016B/TORCH-733</v>
      </c>
      <c r="D7" s="8">
        <v>45757.0</v>
      </c>
      <c r="E7" s="9">
        <v>45762.0</v>
      </c>
      <c r="F7" s="10">
        <v>15.0</v>
      </c>
      <c r="G7" s="11">
        <v>200000.0</v>
      </c>
      <c r="H7" s="7" t="s">
        <v>12</v>
      </c>
      <c r="I7" s="5" t="str">
        <f>IFERROR(__xludf.DUMMYFUNCTION("if(OR(B7="""",E7=""""),"""", LET(
  Nama, B7,
  SKU, C7,
  Estimasi, E7,
  QtyOrder, F7,
  FilterTrans, FILTER(
    Transaksi!B:H,
    Transaksi!F:F=""Barang Datang"",
    Transaksi!D:D=Nama,
    Transaksi!E:E=SKU
  ),
  TotalDatang, IFERROR(SUM(IND"&amp;"EX(FilterTrans,,7)), 0),
  TanggalDatang, IFERROR(MAX(INDEX(FilterTrans,,1)), 0),
  SelisihQty, QtyOrder-TotalDatang,
  SelisihHari, TanggalDatang-Estimasi,
  KeteranganQty, IF(SelisihQty=0, ""Oke"", 
    IF(SelisihQty&gt;0, ""Kurang "" &amp; SelisihQty &amp; "&amp;""" pcs"", 
    ""Lebih "" &amp; ABS(SelisihQty) &amp; "" pcs"")),
  KeteranganHari, IF(TanggalDatang=0, ""Belum datang"",
    IF(SelisihHari=0, """", 
    IF(SelisihHari&gt;0, ""Terlambat "" &amp; SelisihHari &amp; "" hari"", 
    ""Lebih cepat "" &amp; ABS(SelisihHari) &amp; """&amp;" hari""))),
  Hasil, IF(TanggalDatang=0, KeteranganHari,
    IF(AND(SelisihQty=0, SelisihHari=0), ""Oke"",
    IF(SelisihQty=0, KeteranganHari,
    IF(SelisihHari=0, KeteranganQty,
    KeteranganHari &amp; "" dengan "" &amp; LOWER(KeteranganQty))))),
  Hasi"&amp;"l
))"),"Belum datang")</f>
        <v>Belum datang</v>
      </c>
    </row>
    <row r="8">
      <c r="A8" s="5" t="str">
        <f t="shared" si="1"/>
        <v>7</v>
      </c>
      <c r="B8" s="6" t="s">
        <v>17</v>
      </c>
      <c r="C8" s="7" t="str">
        <f t="array" ref="C8">IFS(B8="","",COUNTIF('Master Barang'!B:B,B8)=0,SUBSTITUTE(TRIM(B8)," ","-"),COUNTIF('Master Barang'!B:B,B8)=1,XLOOKUP(B8,'Master Barang'!B:B,'Master Barang'!C:C,,,1))</f>
        <v>901-SARUNGTANGAN</v>
      </c>
      <c r="D8" s="8">
        <v>45759.0</v>
      </c>
      <c r="E8" s="9">
        <v>45764.0</v>
      </c>
      <c r="F8" s="10">
        <v>60.0</v>
      </c>
      <c r="G8" s="11">
        <v>20000.0</v>
      </c>
      <c r="H8" s="7" t="s">
        <v>12</v>
      </c>
      <c r="I8" s="5" t="str">
        <f>IFERROR(__xludf.DUMMYFUNCTION("if(OR(B8="""",E8=""""),"""", LET(
  Nama, B8,
  SKU, C8,
  Estimasi, E8,
  QtyOrder, F8,
  FilterTrans, FILTER(
    Transaksi!B:H,
    Transaksi!F:F=""Barang Datang"",
    Transaksi!D:D=Nama,
    Transaksi!E:E=SKU
  ),
  TotalDatang, IFERROR(SUM(IND"&amp;"EX(FilterTrans,,7)), 0),
  TanggalDatang, IFERROR(MAX(INDEX(FilterTrans,,1)), 0),
  SelisihQty, QtyOrder-TotalDatang,
  SelisihHari, TanggalDatang-Estimasi,
  KeteranganQty, IF(SelisihQty=0, ""Oke"", 
    IF(SelisihQty&gt;0, ""Kurang "" &amp; SelisihQty &amp; "&amp;""" pcs"", 
    ""Lebih "" &amp; ABS(SelisihQty) &amp; "" pcs"")),
  KeteranganHari, IF(TanggalDatang=0, ""Belum datang"",
    IF(SelisihHari=0, """", 
    IF(SelisihHari&gt;0, ""Terlambat "" &amp; SelisihHari &amp; "" hari"", 
    ""Lebih cepat "" &amp; ABS(SelisihHari) &amp; """&amp;" hari""))),
  Hasil, IF(TanggalDatang=0, KeteranganHari,
    IF(AND(SelisihQty=0, SelisihHari=0), ""Oke"",
    IF(SelisihQty=0, KeteranganHari,
    IF(SelisihHari=0, KeteranganQty,
    KeteranganHari &amp; "" dengan "" &amp; LOWER(KeteranganQty))))),
  Hasi"&amp;"l
))"),"Belum datang")</f>
        <v>Belum datang</v>
      </c>
    </row>
    <row r="9">
      <c r="A9" s="5" t="str">
        <f t="shared" si="1"/>
        <v>8</v>
      </c>
      <c r="B9" s="6" t="s">
        <v>18</v>
      </c>
      <c r="C9" s="7" t="str">
        <f t="array" ref="C9">IFS(B9="","",COUNTIF('Master Barang'!B:B,B9)=0,SUBSTITUTE(TRIM(B9)," ","-"),COUNTIF('Master Barang'!B:B,B9)=1,XLOOKUP(B9,'Master Barang'!B:B,'Master Barang'!C:C,,,1))</f>
        <v>221-TIES-SS-30</v>
      </c>
      <c r="D9" s="8">
        <v>45762.0</v>
      </c>
      <c r="E9" s="9">
        <v>45767.0</v>
      </c>
      <c r="F9" s="10">
        <v>40.0</v>
      </c>
      <c r="G9" s="11">
        <v>40000.0</v>
      </c>
      <c r="H9" s="7" t="s">
        <v>12</v>
      </c>
      <c r="I9" s="5" t="str">
        <f>IFERROR(__xludf.DUMMYFUNCTION("if(OR(B9="""",E9=""""),"""", LET(
  Nama, B9,
  SKU, C9,
  Estimasi, E9,
  QtyOrder, F9,
  FilterTrans, FILTER(
    Transaksi!B:H,
    Transaksi!F:F=""Barang Datang"",
    Transaksi!D:D=Nama,
    Transaksi!E:E=SKU
  ),
  TotalDatang, IFERROR(SUM(IND"&amp;"EX(FilterTrans,,7)), 0),
  TanggalDatang, IFERROR(MAX(INDEX(FilterTrans,,1)), 0),
  SelisihQty, QtyOrder-TotalDatang,
  SelisihHari, TanggalDatang-Estimasi,
  KeteranganQty, IF(SelisihQty=0, ""Oke"", 
    IF(SelisihQty&gt;0, ""Kurang "" &amp; SelisihQty &amp; "&amp;""" pcs"", 
    ""Lebih "" &amp; ABS(SelisihQty) &amp; "" pcs"")),
  KeteranganHari, IF(TanggalDatang=0, ""Belum datang"",
    IF(SelisihHari=0, """", 
    IF(SelisihHari&gt;0, ""Terlambat "" &amp; SelisihHari &amp; "" hari"", 
    ""Lebih cepat "" &amp; ABS(SelisihHari) &amp; """&amp;" hari""))),
  Hasil, IF(TanggalDatang=0, KeteranganHari,
    IF(AND(SelisihQty=0, SelisihHari=0), ""Oke"",
    IF(SelisihQty=0, KeteranganHari,
    IF(SelisihHari=0, KeteranganQty,
    KeteranganHari &amp; "" dengan "" &amp; LOWER(KeteranganQty))))),
  Hasi"&amp;"l
))"),"Belum datang")</f>
        <v>Belum datang</v>
      </c>
    </row>
    <row r="10">
      <c r="A10" s="5" t="str">
        <f t="shared" si="1"/>
        <v>9</v>
      </c>
      <c r="B10" s="6" t="s">
        <v>19</v>
      </c>
      <c r="C10" s="7" t="str">
        <f t="array" ref="C10">IFS(B10="","",COUNTIF('Master Barang'!B:B,B10)=0,SUBSTITUTE(TRIM(B10)," ","-"),COUNTIF('Master Barang'!B:B,B10)=1,XLOOKUP(B10,'Master Barang'!B:B,'Master Barang'!C:C,,,1))</f>
        <v>702-JUMBO-1/2-PVC</v>
      </c>
      <c r="D10" s="8">
        <v>45765.0</v>
      </c>
      <c r="E10" s="9">
        <v>45770.0</v>
      </c>
      <c r="F10" s="10">
        <v>80.0</v>
      </c>
      <c r="G10" s="11">
        <v>8000.0</v>
      </c>
      <c r="H10" s="7" t="s">
        <v>12</v>
      </c>
      <c r="I10" s="5" t="str">
        <f>IFERROR(__xludf.DUMMYFUNCTION("if(OR(B10="""",E10=""""),"""", LET(
  Nama, B10,
  SKU, C10,
  Estimasi, E10,
  QtyOrder, F10,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))"),"Belum datang")</f>
        <v>Belum datang</v>
      </c>
    </row>
    <row r="11" collapsed="1">
      <c r="A11" s="5" t="str">
        <f t="shared" si="1"/>
        <v>10</v>
      </c>
      <c r="B11" s="6" t="s">
        <v>20</v>
      </c>
      <c r="C11" s="7" t="str">
        <f t="array" ref="C11">IFS(B11="","",COUNTIF('Master Barang'!B:B,B11)=0,SUBSTITUTE(TRIM(B11)," ","-"),COUNTIF('Master Barang'!B:B,B11)=1,XLOOKUP(B11,'Master Barang'!B:B,'Master Barang'!C:C,,,1))</f>
        <v>026D/CUT-KACA</v>
      </c>
      <c r="D11" s="8">
        <v>45769.0</v>
      </c>
      <c r="E11" s="9">
        <v>45775.0</v>
      </c>
      <c r="F11" s="10">
        <v>25.0</v>
      </c>
      <c r="G11" s="11">
        <v>12000.0</v>
      </c>
      <c r="H11" s="7" t="s">
        <v>12</v>
      </c>
      <c r="I11" s="5" t="str">
        <f>IFERROR(__xludf.DUMMYFUNCTION("if(OR(B11="""",E11=""""),"""", LET(
  Nama, B11,
  SKU, C11,
  Estimasi, E11,
  QtyOrder, F11,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))"),"Belum datang")</f>
        <v>Belum datang</v>
      </c>
    </row>
    <row r="12" hidden="1" outlineLevel="1">
      <c r="A12" s="5" t="str">
        <f t="shared" si="1"/>
        <v/>
      </c>
      <c r="B12" s="6"/>
      <c r="C12" s="7" t="str">
        <f t="array" ref="C12">IFS(B12="","",COUNTIF('Master Barang'!B:B,B12)=0,SUBSTITUTE(TRIM(B12)," ","-"),COUNTIF('Master Barang'!B:B,B12)=1,XLOOKUP(B12,'Master Barang'!B:B,'Master Barang'!C:C,,,1))</f>
        <v/>
      </c>
      <c r="D12" s="8"/>
      <c r="E12" s="9"/>
      <c r="G12" s="11"/>
      <c r="H12" s="7"/>
      <c r="I12" s="5" t="str">
        <f>IFERROR(__xludf.DUMMYFUNCTION("if(OR(B12="""",E12=""""),"""", LET(
  Nama, B12,
  SKU, C12,
  Estimasi, E12,
  QtyOrder, F12,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13" hidden="1" outlineLevel="1">
      <c r="A13" s="5" t="str">
        <f t="shared" si="1"/>
        <v/>
      </c>
      <c r="B13" s="6"/>
      <c r="C13" s="7" t="str">
        <f t="array" ref="C13">IFS(B13="","",COUNTIF('Master Barang'!B:B,B13)=0,SUBSTITUTE(TRIM(B13)," ","-"),COUNTIF('Master Barang'!B:B,B13)=1,XLOOKUP(B13,'Master Barang'!B:B,'Master Barang'!C:C,,,1))</f>
        <v/>
      </c>
      <c r="D13" s="8"/>
      <c r="E13" s="9"/>
      <c r="G13" s="11"/>
      <c r="H13" s="7"/>
      <c r="I13" s="5" t="str">
        <f>IFERROR(__xludf.DUMMYFUNCTION("if(OR(B13="""",E13=""""),"""", LET(
  Nama, B13,
  SKU, C13,
  Estimasi, E13,
  QtyOrder, F13,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14" hidden="1" outlineLevel="1">
      <c r="A14" s="5" t="str">
        <f t="shared" si="1"/>
        <v/>
      </c>
      <c r="B14" s="6"/>
      <c r="C14" s="7" t="str">
        <f t="array" ref="C14">IFS(B14="","",COUNTIF('Master Barang'!B:B,B14)=0,SUBSTITUTE(TRIM(B14)," ","-"),COUNTIF('Master Barang'!B:B,B14)=1,XLOOKUP(B14,'Master Barang'!B:B,'Master Barang'!C:C,,,1))</f>
        <v/>
      </c>
      <c r="D14" s="8"/>
      <c r="E14" s="9"/>
      <c r="G14" s="11"/>
      <c r="H14" s="7"/>
      <c r="I14" s="5" t="str">
        <f>IFERROR(__xludf.DUMMYFUNCTION("if(OR(B14="""",E14=""""),"""", LET(
  Nama, B14,
  SKU, C14,
  Estimasi, E14,
  QtyOrder, F14,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15" hidden="1" outlineLevel="1">
      <c r="A15" s="5" t="str">
        <f t="shared" si="1"/>
        <v/>
      </c>
      <c r="B15" s="6"/>
      <c r="C15" s="7" t="str">
        <f t="array" ref="C15">IFS(B15="","",COUNTIF('Master Barang'!B:B,B15)=0,SUBSTITUTE(TRIM(B15)," ","-"),COUNTIF('Master Barang'!B:B,B15)=1,XLOOKUP(B15,'Master Barang'!B:B,'Master Barang'!C:C,,,1))</f>
        <v/>
      </c>
      <c r="D15" s="8"/>
      <c r="E15" s="9"/>
      <c r="G15" s="11"/>
      <c r="H15" s="7"/>
      <c r="I15" s="5" t="str">
        <f>IFERROR(__xludf.DUMMYFUNCTION("if(OR(B15="""",E15=""""),"""", LET(
  Nama, B15,
  SKU, C15,
  Estimasi, E15,
  QtyOrder, F15,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16" hidden="1" outlineLevel="1">
      <c r="A16" s="5" t="str">
        <f t="shared" si="1"/>
        <v/>
      </c>
      <c r="B16" s="6"/>
      <c r="C16" s="7" t="str">
        <f t="array" ref="C16">IFS(B16="","",COUNTIF('Master Barang'!B:B,B16)=0,SUBSTITUTE(TRIM(B16)," ","-"),COUNTIF('Master Barang'!B:B,B16)=1,XLOOKUP(B16,'Master Barang'!B:B,'Master Barang'!C:C,,,1))</f>
        <v/>
      </c>
      <c r="D16" s="8"/>
      <c r="E16" s="9"/>
      <c r="G16" s="11"/>
      <c r="H16" s="7"/>
      <c r="I16" s="5" t="str">
        <f>IFERROR(__xludf.DUMMYFUNCTION("if(OR(B16="""",E16=""""),"""", LET(
  Nama, B16,
  SKU, C16,
  Estimasi, E16,
  QtyOrder, F16,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17" hidden="1" outlineLevel="1">
      <c r="A17" s="5" t="str">
        <f t="shared" si="1"/>
        <v/>
      </c>
      <c r="B17" s="6"/>
      <c r="C17" s="7" t="str">
        <f t="array" ref="C17">IFS(B17="","",COUNTIF('Master Barang'!B:B,B17)=0,SUBSTITUTE(TRIM(B17)," ","-"),COUNTIF('Master Barang'!B:B,B17)=1,XLOOKUP(B17,'Master Barang'!B:B,'Master Barang'!C:C,,,1))</f>
        <v/>
      </c>
      <c r="D17" s="8"/>
      <c r="E17" s="9"/>
      <c r="G17" s="11"/>
      <c r="H17" s="7"/>
      <c r="I17" s="5" t="str">
        <f>IFERROR(__xludf.DUMMYFUNCTION("if(OR(B17="""",E17=""""),"""", LET(
  Nama, B17,
  SKU, C17,
  Estimasi, E17,
  QtyOrder, F17,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18" hidden="1" outlineLevel="1">
      <c r="A18" s="5" t="str">
        <f t="shared" si="1"/>
        <v/>
      </c>
      <c r="B18" s="6"/>
      <c r="C18" s="7" t="str">
        <f t="array" ref="C18">IFS(B18="","",COUNTIF('Master Barang'!B:B,B18)=0,SUBSTITUTE(TRIM(B18)," ","-"),COUNTIF('Master Barang'!B:B,B18)=1,XLOOKUP(B18,'Master Barang'!B:B,'Master Barang'!C:C,,,1))</f>
        <v/>
      </c>
      <c r="D18" s="8"/>
      <c r="E18" s="9"/>
      <c r="G18" s="11"/>
      <c r="H18" s="7"/>
      <c r="I18" s="5" t="str">
        <f>IFERROR(__xludf.DUMMYFUNCTION("if(OR(B18="""",E18=""""),"""", LET(
  Nama, B18,
  SKU, C18,
  Estimasi, E18,
  QtyOrder, F18,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19" hidden="1" outlineLevel="1">
      <c r="A19" s="5" t="str">
        <f t="shared" si="1"/>
        <v/>
      </c>
      <c r="B19" s="6"/>
      <c r="C19" s="7" t="str">
        <f t="array" ref="C19">IFS(B19="","",COUNTIF('Master Barang'!B:B,B19)=0,SUBSTITUTE(TRIM(B19)," ","-"),COUNTIF('Master Barang'!B:B,B19)=1,XLOOKUP(B19,'Master Barang'!B:B,'Master Barang'!C:C,,,1))</f>
        <v/>
      </c>
      <c r="D19" s="8"/>
      <c r="E19" s="9"/>
      <c r="G19" s="11"/>
      <c r="H19" s="7"/>
      <c r="I19" s="5" t="str">
        <f>IFERROR(__xludf.DUMMYFUNCTION("if(OR(B19="""",E19=""""),"""", LET(
  Nama, B19,
  SKU, C19,
  Estimasi, E19,
  QtyOrder, F19,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20" hidden="1" outlineLevel="1">
      <c r="A20" s="5" t="str">
        <f t="shared" si="1"/>
        <v/>
      </c>
      <c r="B20" s="6"/>
      <c r="C20" s="7" t="str">
        <f t="array" ref="C20">IFS(B20="","",COUNTIF('Master Barang'!B:B,B20)=0,SUBSTITUTE(TRIM(B20)," ","-"),COUNTIF('Master Barang'!B:B,B20)=1,XLOOKUP(B20,'Master Barang'!B:B,'Master Barang'!C:C,,,1))</f>
        <v/>
      </c>
      <c r="D20" s="8"/>
      <c r="E20" s="9"/>
      <c r="G20" s="11"/>
      <c r="H20" s="7"/>
      <c r="I20" s="5" t="str">
        <f>IFERROR(__xludf.DUMMYFUNCTION("if(OR(B20="""",E20=""""),"""", LET(
  Nama, B20,
  SKU, C20,
  Estimasi, E20,
  QtyOrder, F20,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21" ht="15.75" hidden="1" customHeight="1" outlineLevel="1">
      <c r="A21" s="5" t="str">
        <f t="shared" si="1"/>
        <v/>
      </c>
      <c r="B21" s="6"/>
      <c r="C21" s="7" t="str">
        <f t="array" ref="C21">IFS(B21="","",COUNTIF('Master Barang'!B:B,B21)=0,SUBSTITUTE(TRIM(B21)," ","-"),COUNTIF('Master Barang'!B:B,B21)=1,XLOOKUP(B21,'Master Barang'!B:B,'Master Barang'!C:C,,,1))</f>
        <v/>
      </c>
      <c r="D21" s="8"/>
      <c r="E21" s="9"/>
      <c r="G21" s="11"/>
      <c r="H21" s="7"/>
      <c r="I21" s="5" t="str">
        <f>IFERROR(__xludf.DUMMYFUNCTION("if(OR(B21="""",E21=""""),"""", LET(
  Nama, B21,
  SKU, C21,
  Estimasi, E21,
  QtyOrder, F21,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22" ht="15.75" hidden="1" customHeight="1" outlineLevel="1">
      <c r="A22" s="5" t="str">
        <f t="shared" si="1"/>
        <v/>
      </c>
      <c r="B22" s="6"/>
      <c r="C22" s="7" t="str">
        <f t="array" ref="C22">IFS(B22="","",COUNTIF('Master Barang'!B:B,B22)=0,SUBSTITUTE(TRIM(B22)," ","-"),COUNTIF('Master Barang'!B:B,B22)=1,XLOOKUP(B22,'Master Barang'!B:B,'Master Barang'!C:C,,,1))</f>
        <v/>
      </c>
      <c r="D22" s="8"/>
      <c r="E22" s="9"/>
      <c r="G22" s="11"/>
      <c r="H22" s="7"/>
      <c r="I22" s="5" t="str">
        <f>IFERROR(__xludf.DUMMYFUNCTION("if(OR(B22="""",E22=""""),"""", LET(
  Nama, B22,
  SKU, C22,
  Estimasi, E22,
  QtyOrder, F22,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23" ht="15.75" hidden="1" customHeight="1" outlineLevel="1">
      <c r="A23" s="5" t="str">
        <f t="shared" si="1"/>
        <v/>
      </c>
      <c r="B23" s="6"/>
      <c r="C23" s="7" t="str">
        <f t="array" ref="C23">IFS(B23="","",COUNTIF('Master Barang'!B:B,B23)=0,SUBSTITUTE(TRIM(B23)," ","-"),COUNTIF('Master Barang'!B:B,B23)=1,XLOOKUP(B23,'Master Barang'!B:B,'Master Barang'!C:C,,,1))</f>
        <v/>
      </c>
      <c r="D23" s="8"/>
      <c r="E23" s="9"/>
      <c r="G23" s="11"/>
      <c r="H23" s="7"/>
      <c r="I23" s="5" t="str">
        <f>IFERROR(__xludf.DUMMYFUNCTION("if(OR(B23="""",E23=""""),"""", LET(
  Nama, B23,
  SKU, C23,
  Estimasi, E23,
  QtyOrder, F23,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24" ht="15.75" hidden="1" customHeight="1" outlineLevel="1">
      <c r="A24" s="5" t="str">
        <f t="shared" si="1"/>
        <v/>
      </c>
      <c r="B24" s="6"/>
      <c r="C24" s="7" t="str">
        <f t="array" ref="C24">IFS(B24="","",COUNTIF('Master Barang'!B:B,B24)=0,SUBSTITUTE(TRIM(B24)," ","-"),COUNTIF('Master Barang'!B:B,B24)=1,XLOOKUP(B24,'Master Barang'!B:B,'Master Barang'!C:C,,,1))</f>
        <v/>
      </c>
      <c r="D24" s="8"/>
      <c r="E24" s="9"/>
      <c r="G24" s="11"/>
      <c r="H24" s="7"/>
      <c r="I24" s="5" t="str">
        <f>IFERROR(__xludf.DUMMYFUNCTION("if(OR(B24="""",E24=""""),"""", LET(
  Nama, B24,
  SKU, C24,
  Estimasi, E24,
  QtyOrder, F24,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25" ht="15.75" hidden="1" customHeight="1" outlineLevel="1">
      <c r="A25" s="5" t="str">
        <f t="shared" si="1"/>
        <v/>
      </c>
      <c r="B25" s="6"/>
      <c r="C25" s="7" t="str">
        <f t="array" ref="C25">IFS(B25="","",COUNTIF('Master Barang'!B:B,B25)=0,SUBSTITUTE(TRIM(B25)," ","-"),COUNTIF('Master Barang'!B:B,B25)=1,XLOOKUP(B25,'Master Barang'!B:B,'Master Barang'!C:C,,,1))</f>
        <v/>
      </c>
      <c r="D25" s="8"/>
      <c r="E25" s="9"/>
      <c r="G25" s="11"/>
      <c r="H25" s="7"/>
      <c r="I25" s="5" t="str">
        <f>IFERROR(__xludf.DUMMYFUNCTION("if(OR(B25="""",E25=""""),"""", LET(
  Nama, B25,
  SKU, C25,
  Estimasi, E25,
  QtyOrder, F25,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26" ht="15.75" hidden="1" customHeight="1" outlineLevel="1">
      <c r="A26" s="5" t="str">
        <f t="shared" si="1"/>
        <v/>
      </c>
      <c r="B26" s="6"/>
      <c r="C26" s="7" t="str">
        <f t="array" ref="C26">IFS(B26="","",COUNTIF('Master Barang'!B:B,B26)=0,SUBSTITUTE(TRIM(B26)," ","-"),COUNTIF('Master Barang'!B:B,B26)=1,XLOOKUP(B26,'Master Barang'!B:B,'Master Barang'!C:C,,,1))</f>
        <v/>
      </c>
      <c r="D26" s="8"/>
      <c r="E26" s="9"/>
      <c r="G26" s="11"/>
      <c r="H26" s="7"/>
      <c r="I26" s="5" t="str">
        <f>IFERROR(__xludf.DUMMYFUNCTION("if(OR(B26="""",E26=""""),"""", LET(
  Nama, B26,
  SKU, C26,
  Estimasi, E26,
  QtyOrder, F26,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27" ht="15.75" hidden="1" customHeight="1" outlineLevel="1">
      <c r="A27" s="5" t="str">
        <f t="shared" si="1"/>
        <v/>
      </c>
      <c r="B27" s="6"/>
      <c r="C27" s="7" t="str">
        <f t="array" ref="C27">IFS(B27="","",COUNTIF('Master Barang'!B:B,B27)=0,SUBSTITUTE(TRIM(B27)," ","-"),COUNTIF('Master Barang'!B:B,B27)=1,XLOOKUP(B27,'Master Barang'!B:B,'Master Barang'!C:C,,,1))</f>
        <v/>
      </c>
      <c r="D27" s="8"/>
      <c r="E27" s="9"/>
      <c r="G27" s="11"/>
      <c r="H27" s="7"/>
      <c r="I27" s="5" t="str">
        <f>IFERROR(__xludf.DUMMYFUNCTION("if(OR(B27="""",E27=""""),"""", LET(
  Nama, B27,
  SKU, C27,
  Estimasi, E27,
  QtyOrder, F27,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28" ht="15.75" hidden="1" customHeight="1" outlineLevel="1">
      <c r="A28" s="5" t="str">
        <f t="shared" si="1"/>
        <v/>
      </c>
      <c r="B28" s="6"/>
      <c r="C28" s="7" t="str">
        <f t="array" ref="C28">IFS(B28="","",COUNTIF('Master Barang'!B:B,B28)=0,SUBSTITUTE(TRIM(B28)," ","-"),COUNTIF('Master Barang'!B:B,B28)=1,XLOOKUP(B28,'Master Barang'!B:B,'Master Barang'!C:C,,,1))</f>
        <v/>
      </c>
      <c r="D28" s="8"/>
      <c r="E28" s="9"/>
      <c r="G28" s="11"/>
      <c r="H28" s="7"/>
      <c r="I28" s="5" t="str">
        <f>IFERROR(__xludf.DUMMYFUNCTION("if(OR(B28="""",E28=""""),"""", LET(
  Nama, B28,
  SKU, C28,
  Estimasi, E28,
  QtyOrder, F28,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29" ht="15.75" hidden="1" customHeight="1" outlineLevel="1">
      <c r="A29" s="5" t="str">
        <f t="shared" si="1"/>
        <v/>
      </c>
      <c r="B29" s="6"/>
      <c r="C29" s="7" t="str">
        <f t="array" ref="C29">IFS(B29="","",COUNTIF('Master Barang'!B:B,B29)=0,SUBSTITUTE(TRIM(B29)," ","-"),COUNTIF('Master Barang'!B:B,B29)=1,XLOOKUP(B29,'Master Barang'!B:B,'Master Barang'!C:C,,,1))</f>
        <v/>
      </c>
      <c r="D29" s="8"/>
      <c r="E29" s="9"/>
      <c r="G29" s="11"/>
      <c r="H29" s="7"/>
      <c r="I29" s="5" t="str">
        <f>IFERROR(__xludf.DUMMYFUNCTION("if(OR(B29="""",E29=""""),"""", LET(
  Nama, B29,
  SKU, C29,
  Estimasi, E29,
  QtyOrder, F29,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30" ht="15.75" hidden="1" customHeight="1" outlineLevel="1">
      <c r="A30" s="5" t="str">
        <f t="shared" si="1"/>
        <v/>
      </c>
      <c r="B30" s="6"/>
      <c r="C30" s="7" t="str">
        <f t="array" ref="C30">IFS(B30="","",COUNTIF('Master Barang'!B:B,B30)=0,SUBSTITUTE(TRIM(B30)," ","-"),COUNTIF('Master Barang'!B:B,B30)=1,XLOOKUP(B30,'Master Barang'!B:B,'Master Barang'!C:C,,,1))</f>
        <v/>
      </c>
      <c r="D30" s="8"/>
      <c r="E30" s="9"/>
      <c r="G30" s="11"/>
      <c r="H30" s="7"/>
      <c r="I30" s="5" t="str">
        <f>IFERROR(__xludf.DUMMYFUNCTION("if(OR(B30="""",E30=""""),"""", LET(
  Nama, B30,
  SKU, C30,
  Estimasi, E30,
  QtyOrder, F30,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31" ht="15.75" hidden="1" customHeight="1" outlineLevel="1">
      <c r="A31" s="5" t="str">
        <f t="shared" si="1"/>
        <v/>
      </c>
      <c r="B31" s="6"/>
      <c r="C31" s="7" t="str">
        <f t="array" ref="C31">IFS(B31="","",COUNTIF('Master Barang'!B:B,B31)=0,SUBSTITUTE(TRIM(B31)," ","-"),COUNTIF('Master Barang'!B:B,B31)=1,XLOOKUP(B31,'Master Barang'!B:B,'Master Barang'!C:C,,,1))</f>
        <v/>
      </c>
      <c r="D31" s="8"/>
      <c r="E31" s="9"/>
      <c r="G31" s="11"/>
      <c r="H31" s="7"/>
      <c r="I31" s="5" t="str">
        <f>IFERROR(__xludf.DUMMYFUNCTION("if(OR(B31="""",E31=""""),"""", LET(
  Nama, B31,
  SKU, C31,
  Estimasi, E31,
  QtyOrder, F31,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32" ht="15.75" hidden="1" customHeight="1" outlineLevel="1">
      <c r="A32" s="5" t="str">
        <f t="shared" si="1"/>
        <v/>
      </c>
      <c r="B32" s="6"/>
      <c r="C32" s="7" t="str">
        <f t="array" ref="C32">IFS(B32="","",COUNTIF('Master Barang'!B:B,B32)=0,SUBSTITUTE(TRIM(B32)," ","-"),COUNTIF('Master Barang'!B:B,B32)=1,XLOOKUP(B32,'Master Barang'!B:B,'Master Barang'!C:C,,,1))</f>
        <v/>
      </c>
      <c r="D32" s="8"/>
      <c r="E32" s="9"/>
      <c r="G32" s="11"/>
      <c r="H32" s="7"/>
      <c r="I32" s="5" t="str">
        <f>IFERROR(__xludf.DUMMYFUNCTION("if(OR(B32="""",E32=""""),"""", LET(
  Nama, B32,
  SKU, C32,
  Estimasi, E32,
  QtyOrder, F32,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33" ht="15.75" hidden="1" customHeight="1" outlineLevel="1">
      <c r="A33" s="5" t="str">
        <f t="shared" si="1"/>
        <v/>
      </c>
      <c r="B33" s="6"/>
      <c r="C33" s="7" t="str">
        <f t="array" ref="C33">IFS(B33="","",COUNTIF('Master Barang'!B:B,B33)=0,SUBSTITUTE(TRIM(B33)," ","-"),COUNTIF('Master Barang'!B:B,B33)=1,XLOOKUP(B33,'Master Barang'!B:B,'Master Barang'!C:C,,,1))</f>
        <v/>
      </c>
      <c r="D33" s="8"/>
      <c r="E33" s="9"/>
      <c r="G33" s="11"/>
      <c r="H33" s="7"/>
      <c r="I33" s="5" t="str">
        <f>IFERROR(__xludf.DUMMYFUNCTION("if(OR(B33="""",E33=""""),"""", LET(
  Nama, B33,
  SKU, C33,
  Estimasi, E33,
  QtyOrder, F33,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34" ht="15.75" hidden="1" customHeight="1" outlineLevel="1">
      <c r="A34" s="5" t="str">
        <f t="shared" si="1"/>
        <v/>
      </c>
      <c r="B34" s="6"/>
      <c r="C34" s="7" t="str">
        <f t="array" ref="C34">IFS(B34="","",COUNTIF('Master Barang'!B:B,B34)=0,SUBSTITUTE(TRIM(B34)," ","-"),COUNTIF('Master Barang'!B:B,B34)=1,XLOOKUP(B34,'Master Barang'!B:B,'Master Barang'!C:C,,,1))</f>
        <v/>
      </c>
      <c r="D34" s="8"/>
      <c r="E34" s="9"/>
      <c r="G34" s="11"/>
      <c r="H34" s="7"/>
      <c r="I34" s="5" t="str">
        <f>IFERROR(__xludf.DUMMYFUNCTION("if(OR(B34="""",E34=""""),"""", LET(
  Nama, B34,
  SKU, C34,
  Estimasi, E34,
  QtyOrder, F34,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35" ht="15.75" hidden="1" customHeight="1" outlineLevel="1">
      <c r="A35" s="5" t="str">
        <f t="shared" si="1"/>
        <v/>
      </c>
      <c r="B35" s="6"/>
      <c r="C35" s="7" t="str">
        <f t="array" ref="C35">IFS(B35="","",COUNTIF('Master Barang'!B:B,B35)=0,SUBSTITUTE(TRIM(B35)," ","-"),COUNTIF('Master Barang'!B:B,B35)=1,XLOOKUP(B35,'Master Barang'!B:B,'Master Barang'!C:C,,,1))</f>
        <v/>
      </c>
      <c r="D35" s="8"/>
      <c r="E35" s="9"/>
      <c r="G35" s="11"/>
      <c r="H35" s="7"/>
      <c r="I35" s="5" t="str">
        <f>IFERROR(__xludf.DUMMYFUNCTION("if(OR(B35="""",E35=""""),"""", LET(
  Nama, B35,
  SKU, C35,
  Estimasi, E35,
  QtyOrder, F35,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36" ht="15.75" hidden="1" customHeight="1" outlineLevel="1">
      <c r="A36" s="5" t="str">
        <f t="shared" si="1"/>
        <v/>
      </c>
      <c r="B36" s="6"/>
      <c r="C36" s="7" t="str">
        <f t="array" ref="C36">IFS(B36="","",COUNTIF('Master Barang'!B:B,B36)=0,SUBSTITUTE(TRIM(B36)," ","-"),COUNTIF('Master Barang'!B:B,B36)=1,XLOOKUP(B36,'Master Barang'!B:B,'Master Barang'!C:C,,,1))</f>
        <v/>
      </c>
      <c r="D36" s="8"/>
      <c r="E36" s="9"/>
      <c r="G36" s="11"/>
      <c r="H36" s="7"/>
      <c r="I36" s="5" t="str">
        <f>IFERROR(__xludf.DUMMYFUNCTION("if(OR(B36="""",E36=""""),"""", LET(
  Nama, B36,
  SKU, C36,
  Estimasi, E36,
  QtyOrder, F36,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37" ht="15.75" hidden="1" customHeight="1" outlineLevel="1">
      <c r="A37" s="5" t="str">
        <f t="shared" si="1"/>
        <v/>
      </c>
      <c r="B37" s="6"/>
      <c r="C37" s="7" t="str">
        <f t="array" ref="C37">IFS(B37="","",COUNTIF('Master Barang'!B:B,B37)=0,SUBSTITUTE(TRIM(B37)," ","-"),COUNTIF('Master Barang'!B:B,B37)=1,XLOOKUP(B37,'Master Barang'!B:B,'Master Barang'!C:C,,,1))</f>
        <v/>
      </c>
      <c r="D37" s="8"/>
      <c r="E37" s="9"/>
      <c r="G37" s="11"/>
      <c r="H37" s="7"/>
      <c r="I37" s="5" t="str">
        <f>IFERROR(__xludf.DUMMYFUNCTION("if(OR(B37="""",E37=""""),"""", LET(
  Nama, B37,
  SKU, C37,
  Estimasi, E37,
  QtyOrder, F37,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38" ht="15.75" hidden="1" customHeight="1" outlineLevel="1">
      <c r="A38" s="5" t="str">
        <f t="shared" si="1"/>
        <v/>
      </c>
      <c r="B38" s="6"/>
      <c r="C38" s="7" t="str">
        <f t="array" ref="C38">IFS(B38="","",COUNTIF('Master Barang'!B:B,B38)=0,SUBSTITUTE(TRIM(B38)," ","-"),COUNTIF('Master Barang'!B:B,B38)=1,XLOOKUP(B38,'Master Barang'!B:B,'Master Barang'!C:C,,,1))</f>
        <v/>
      </c>
      <c r="D38" s="8"/>
      <c r="E38" s="9"/>
      <c r="G38" s="11"/>
      <c r="H38" s="7"/>
      <c r="I38" s="5" t="str">
        <f>IFERROR(__xludf.DUMMYFUNCTION("if(OR(B38="""",E38=""""),"""", LET(
  Nama, B38,
  SKU, C38,
  Estimasi, E38,
  QtyOrder, F38,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39" ht="15.75" hidden="1" customHeight="1" outlineLevel="1">
      <c r="A39" s="5" t="str">
        <f t="shared" si="1"/>
        <v/>
      </c>
      <c r="B39" s="6"/>
      <c r="C39" s="7" t="str">
        <f t="array" ref="C39">IFS(B39="","",COUNTIF('Master Barang'!B:B,B39)=0,SUBSTITUTE(TRIM(B39)," ","-"),COUNTIF('Master Barang'!B:B,B39)=1,XLOOKUP(B39,'Master Barang'!B:B,'Master Barang'!C:C,,,1))</f>
        <v/>
      </c>
      <c r="D39" s="8"/>
      <c r="E39" s="9"/>
      <c r="G39" s="11"/>
      <c r="H39" s="7"/>
      <c r="I39" s="5" t="str">
        <f>IFERROR(__xludf.DUMMYFUNCTION("if(OR(B39="""",E39=""""),"""", LET(
  Nama, B39,
  SKU, C39,
  Estimasi, E39,
  QtyOrder, F39,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40" ht="15.75" hidden="1" customHeight="1" outlineLevel="1">
      <c r="A40" s="5" t="str">
        <f t="shared" si="1"/>
        <v/>
      </c>
      <c r="B40" s="6"/>
      <c r="C40" s="7" t="str">
        <f t="array" ref="C40">IFS(B40="","",COUNTIF('Master Barang'!B:B,B40)=0,SUBSTITUTE(TRIM(B40)," ","-"),COUNTIF('Master Barang'!B:B,B40)=1,XLOOKUP(B40,'Master Barang'!B:B,'Master Barang'!C:C,,,1))</f>
        <v/>
      </c>
      <c r="D40" s="8"/>
      <c r="E40" s="9"/>
      <c r="G40" s="11"/>
      <c r="H40" s="7"/>
      <c r="I40" s="5" t="str">
        <f>IFERROR(__xludf.DUMMYFUNCTION("if(OR(B40="""",E40=""""),"""", LET(
  Nama, B40,
  SKU, C40,
  Estimasi, E40,
  QtyOrder, F40,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41" ht="15.75" hidden="1" customHeight="1" outlineLevel="1">
      <c r="A41" s="5" t="str">
        <f t="shared" si="1"/>
        <v/>
      </c>
      <c r="B41" s="6"/>
      <c r="C41" s="7" t="str">
        <f t="array" ref="C41">IFS(B41="","",COUNTIF('Master Barang'!B:B,B41)=0,SUBSTITUTE(TRIM(B41)," ","-"),COUNTIF('Master Barang'!B:B,B41)=1,XLOOKUP(B41,'Master Barang'!B:B,'Master Barang'!C:C,,,1))</f>
        <v/>
      </c>
      <c r="D41" s="8"/>
      <c r="E41" s="9"/>
      <c r="G41" s="11"/>
      <c r="H41" s="7"/>
      <c r="I41" s="5" t="str">
        <f>IFERROR(__xludf.DUMMYFUNCTION("if(OR(B41="""",E41=""""),"""", LET(
  Nama, B41,
  SKU, C41,
  Estimasi, E41,
  QtyOrder, F41,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42" ht="15.75" hidden="1" customHeight="1" outlineLevel="1">
      <c r="A42" s="5" t="str">
        <f t="shared" si="1"/>
        <v/>
      </c>
      <c r="B42" s="6"/>
      <c r="C42" s="7" t="str">
        <f t="array" ref="C42">IFS(B42="","",COUNTIF('Master Barang'!B:B,B42)=0,SUBSTITUTE(TRIM(B42)," ","-"),COUNTIF('Master Barang'!B:B,B42)=1,XLOOKUP(B42,'Master Barang'!B:B,'Master Barang'!C:C,,,1))</f>
        <v/>
      </c>
      <c r="D42" s="8"/>
      <c r="E42" s="9"/>
      <c r="G42" s="11"/>
      <c r="H42" s="7"/>
      <c r="I42" s="5" t="str">
        <f>IFERROR(__xludf.DUMMYFUNCTION("if(OR(B42="""",E42=""""),"""", LET(
  Nama, B42,
  SKU, C42,
  Estimasi, E42,
  QtyOrder, F42,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43" ht="15.75" hidden="1" customHeight="1" outlineLevel="1">
      <c r="A43" s="5" t="str">
        <f t="shared" si="1"/>
        <v/>
      </c>
      <c r="B43" s="6"/>
      <c r="C43" s="7" t="str">
        <f t="array" ref="C43">IFS(B43="","",COUNTIF('Master Barang'!B:B,B43)=0,SUBSTITUTE(TRIM(B43)," ","-"),COUNTIF('Master Barang'!B:B,B43)=1,XLOOKUP(B43,'Master Barang'!B:B,'Master Barang'!C:C,,,1))</f>
        <v/>
      </c>
      <c r="D43" s="8"/>
      <c r="E43" s="9"/>
      <c r="G43" s="11"/>
      <c r="H43" s="7"/>
      <c r="I43" s="5" t="str">
        <f>IFERROR(__xludf.DUMMYFUNCTION("if(OR(B43="""",E43=""""),"""", LET(
  Nama, B43,
  SKU, C43,
  Estimasi, E43,
  QtyOrder, F43,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44" ht="15.75" hidden="1" customHeight="1" outlineLevel="1">
      <c r="A44" s="5" t="str">
        <f t="shared" si="1"/>
        <v/>
      </c>
      <c r="B44" s="6"/>
      <c r="C44" s="7" t="str">
        <f t="array" ref="C44">IFS(B44="","",COUNTIF('Master Barang'!B:B,B44)=0,SUBSTITUTE(TRIM(B44)," ","-"),COUNTIF('Master Barang'!B:B,B44)=1,XLOOKUP(B44,'Master Barang'!B:B,'Master Barang'!C:C,,,1))</f>
        <v/>
      </c>
      <c r="D44" s="8"/>
      <c r="E44" s="9"/>
      <c r="G44" s="11"/>
      <c r="H44" s="7"/>
      <c r="I44" s="5" t="str">
        <f>IFERROR(__xludf.DUMMYFUNCTION("if(OR(B44="""",E44=""""),"""", LET(
  Nama, B44,
  SKU, C44,
  Estimasi, E44,
  QtyOrder, F44,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45" ht="15.75" hidden="1" customHeight="1" outlineLevel="1">
      <c r="A45" s="5" t="str">
        <f t="shared" si="1"/>
        <v/>
      </c>
      <c r="B45" s="6"/>
      <c r="C45" s="7" t="str">
        <f t="array" ref="C45">IFS(B45="","",COUNTIF('Master Barang'!B:B,B45)=0,SUBSTITUTE(TRIM(B45)," ","-"),COUNTIF('Master Barang'!B:B,B45)=1,XLOOKUP(B45,'Master Barang'!B:B,'Master Barang'!C:C,,,1))</f>
        <v/>
      </c>
      <c r="D45" s="8"/>
      <c r="E45" s="9"/>
      <c r="G45" s="11"/>
      <c r="H45" s="7"/>
      <c r="I45" s="5" t="str">
        <f>IFERROR(__xludf.DUMMYFUNCTION("if(OR(B45="""",E45=""""),"""", LET(
  Nama, B45,
  SKU, C45,
  Estimasi, E45,
  QtyOrder, F45,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46" ht="15.75" hidden="1" customHeight="1" outlineLevel="1">
      <c r="A46" s="5" t="str">
        <f t="shared" si="1"/>
        <v/>
      </c>
      <c r="B46" s="6"/>
      <c r="C46" s="7" t="str">
        <f t="array" ref="C46">IFS(B46="","",COUNTIF('Master Barang'!B:B,B46)=0,SUBSTITUTE(TRIM(B46)," ","-"),COUNTIF('Master Barang'!B:B,B46)=1,XLOOKUP(B46,'Master Barang'!B:B,'Master Barang'!C:C,,,1))</f>
        <v/>
      </c>
      <c r="D46" s="8"/>
      <c r="E46" s="9"/>
      <c r="G46" s="11"/>
      <c r="H46" s="7"/>
      <c r="I46" s="5" t="str">
        <f>IFERROR(__xludf.DUMMYFUNCTION("if(OR(B46="""",E46=""""),"""", LET(
  Nama, B46,
  SKU, C46,
  Estimasi, E46,
  QtyOrder, F46,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47" ht="15.75" hidden="1" customHeight="1" outlineLevel="1">
      <c r="A47" s="5" t="str">
        <f t="shared" si="1"/>
        <v/>
      </c>
      <c r="B47" s="6"/>
      <c r="C47" s="7" t="str">
        <f t="array" ref="C47">IFS(B47="","",COUNTIF('Master Barang'!B:B,B47)=0,SUBSTITUTE(TRIM(B47)," ","-"),COUNTIF('Master Barang'!B:B,B47)=1,XLOOKUP(B47,'Master Barang'!B:B,'Master Barang'!C:C,,,1))</f>
        <v/>
      </c>
      <c r="D47" s="8"/>
      <c r="E47" s="9"/>
      <c r="G47" s="11"/>
      <c r="H47" s="7"/>
      <c r="I47" s="5" t="str">
        <f>IFERROR(__xludf.DUMMYFUNCTION("if(OR(B47="""",E47=""""),"""", LET(
  Nama, B47,
  SKU, C47,
  Estimasi, E47,
  QtyOrder, F47,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48" ht="15.75" hidden="1" customHeight="1" outlineLevel="1">
      <c r="A48" s="5" t="str">
        <f t="shared" si="1"/>
        <v/>
      </c>
      <c r="B48" s="6"/>
      <c r="C48" s="7" t="str">
        <f t="array" ref="C48">IFS(B48="","",COUNTIF('Master Barang'!B:B,B48)=0,SUBSTITUTE(TRIM(B48)," ","-"),COUNTIF('Master Barang'!B:B,B48)=1,XLOOKUP(B48,'Master Barang'!B:B,'Master Barang'!C:C,,,1))</f>
        <v/>
      </c>
      <c r="D48" s="8"/>
      <c r="E48" s="9"/>
      <c r="G48" s="11"/>
      <c r="H48" s="7"/>
      <c r="I48" s="5" t="str">
        <f>IFERROR(__xludf.DUMMYFUNCTION("if(OR(B48="""",E48=""""),"""", LET(
  Nama, B48,
  SKU, C48,
  Estimasi, E48,
  QtyOrder, F48,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49" ht="15.75" hidden="1" customHeight="1" outlineLevel="1">
      <c r="A49" s="5" t="str">
        <f t="shared" si="1"/>
        <v/>
      </c>
      <c r="B49" s="6"/>
      <c r="C49" s="7" t="str">
        <f t="array" ref="C49">IFS(B49="","",COUNTIF('Master Barang'!B:B,B49)=0,SUBSTITUTE(TRIM(B49)," ","-"),COUNTIF('Master Barang'!B:B,B49)=1,XLOOKUP(B49,'Master Barang'!B:B,'Master Barang'!C:C,,,1))</f>
        <v/>
      </c>
      <c r="D49" s="8"/>
      <c r="E49" s="9"/>
      <c r="G49" s="11"/>
      <c r="H49" s="7"/>
      <c r="I49" s="5" t="str">
        <f>IFERROR(__xludf.DUMMYFUNCTION("if(OR(B49="""",E49=""""),"""", LET(
  Nama, B49,
  SKU, C49,
  Estimasi, E49,
  QtyOrder, F49,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50" ht="15.75" hidden="1" customHeight="1" outlineLevel="1">
      <c r="A50" s="5" t="str">
        <f t="shared" si="1"/>
        <v/>
      </c>
      <c r="B50" s="6"/>
      <c r="C50" s="7" t="str">
        <f t="array" ref="C50">IFS(B50="","",COUNTIF('Master Barang'!B:B,B50)=0,SUBSTITUTE(TRIM(B50)," ","-"),COUNTIF('Master Barang'!B:B,B50)=1,XLOOKUP(B50,'Master Barang'!B:B,'Master Barang'!C:C,,,1))</f>
        <v/>
      </c>
      <c r="D50" s="8"/>
      <c r="E50" s="9"/>
      <c r="G50" s="11"/>
      <c r="H50" s="7"/>
      <c r="I50" s="5" t="str">
        <f>IFERROR(__xludf.DUMMYFUNCTION("if(OR(B50="""",E50=""""),"""", LET(
  Nama, B50,
  SKU, C50,
  Estimasi, E50,
  QtyOrder, F50,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51" ht="15.75" hidden="1" customHeight="1" outlineLevel="1">
      <c r="A51" s="5" t="str">
        <f t="shared" si="1"/>
        <v/>
      </c>
      <c r="B51" s="6"/>
      <c r="C51" s="7" t="str">
        <f t="array" ref="C51">IFS(B51="","",COUNTIF('Master Barang'!B:B,B51)=0,SUBSTITUTE(TRIM(B51)," ","-"),COUNTIF('Master Barang'!B:B,B51)=1,XLOOKUP(B51,'Master Barang'!B:B,'Master Barang'!C:C,,,1))</f>
        <v/>
      </c>
      <c r="D51" s="8"/>
      <c r="E51" s="9"/>
      <c r="G51" s="11"/>
      <c r="H51" s="7"/>
      <c r="I51" s="5" t="str">
        <f>IFERROR(__xludf.DUMMYFUNCTION("if(OR(B51="""",E51=""""),"""", LET(
  Nama, B51,
  SKU, C51,
  Estimasi, E51,
  QtyOrder, F51,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52" ht="15.75" hidden="1" customHeight="1" outlineLevel="1">
      <c r="A52" s="5" t="str">
        <f t="shared" si="1"/>
        <v/>
      </c>
      <c r="B52" s="6"/>
      <c r="C52" s="7" t="str">
        <f t="array" ref="C52">IFS(B52="","",COUNTIF('Master Barang'!B:B,B52)=0,SUBSTITUTE(TRIM(B52)," ","-"),COUNTIF('Master Barang'!B:B,B52)=1,XLOOKUP(B52,'Master Barang'!B:B,'Master Barang'!C:C,,,1))</f>
        <v/>
      </c>
      <c r="D52" s="8"/>
      <c r="E52" s="9"/>
      <c r="G52" s="11"/>
      <c r="H52" s="7"/>
      <c r="I52" s="5" t="str">
        <f>IFERROR(__xludf.DUMMYFUNCTION("if(OR(B52="""",E52=""""),"""", LET(
  Nama, B52,
  SKU, C52,
  Estimasi, E52,
  QtyOrder, F52,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53" ht="15.75" hidden="1" customHeight="1" outlineLevel="1">
      <c r="A53" s="5" t="str">
        <f t="shared" si="1"/>
        <v/>
      </c>
      <c r="B53" s="6"/>
      <c r="C53" s="7" t="str">
        <f t="array" ref="C53">IFS(B53="","",COUNTIF('Master Barang'!B:B,B53)=0,SUBSTITUTE(TRIM(B53)," ","-"),COUNTIF('Master Barang'!B:B,B53)=1,XLOOKUP(B53,'Master Barang'!B:B,'Master Barang'!C:C,,,1))</f>
        <v/>
      </c>
      <c r="D53" s="8"/>
      <c r="E53" s="9"/>
      <c r="G53" s="11"/>
      <c r="H53" s="7"/>
      <c r="I53" s="5" t="str">
        <f>IFERROR(__xludf.DUMMYFUNCTION("if(OR(B53="""",E53=""""),"""", LET(
  Nama, B53,
  SKU, C53,
  Estimasi, E53,
  QtyOrder, F53,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54" ht="15.75" hidden="1" customHeight="1" outlineLevel="1">
      <c r="A54" s="5" t="str">
        <f t="shared" si="1"/>
        <v/>
      </c>
      <c r="B54" s="6"/>
      <c r="C54" s="7" t="str">
        <f t="array" ref="C54">IFS(B54="","",COUNTIF('Master Barang'!B:B,B54)=0,SUBSTITUTE(TRIM(B54)," ","-"),COUNTIF('Master Barang'!B:B,B54)=1,XLOOKUP(B54,'Master Barang'!B:B,'Master Barang'!C:C,,,1))</f>
        <v/>
      </c>
      <c r="D54" s="8"/>
      <c r="E54" s="9"/>
      <c r="G54" s="11"/>
      <c r="H54" s="7"/>
      <c r="I54" s="5" t="str">
        <f>IFERROR(__xludf.DUMMYFUNCTION("if(OR(B54="""",E54=""""),"""", LET(
  Nama, B54,
  SKU, C54,
  Estimasi, E54,
  QtyOrder, F54,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55" ht="15.75" hidden="1" customHeight="1" outlineLevel="1">
      <c r="A55" s="5" t="str">
        <f t="shared" si="1"/>
        <v/>
      </c>
      <c r="B55" s="6"/>
      <c r="C55" s="7" t="str">
        <f t="array" ref="C55">IFS(B55="","",COUNTIF('Master Barang'!B:B,B55)=0,SUBSTITUTE(TRIM(B55)," ","-"),COUNTIF('Master Barang'!B:B,B55)=1,XLOOKUP(B55,'Master Barang'!B:B,'Master Barang'!C:C,,,1))</f>
        <v/>
      </c>
      <c r="D55" s="8"/>
      <c r="E55" s="9"/>
      <c r="G55" s="11"/>
      <c r="H55" s="7"/>
      <c r="I55" s="5" t="str">
        <f>IFERROR(__xludf.DUMMYFUNCTION("if(OR(B55="""",E55=""""),"""", LET(
  Nama, B55,
  SKU, C55,
  Estimasi, E55,
  QtyOrder, F55,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56" ht="15.75" hidden="1" customHeight="1" outlineLevel="1">
      <c r="A56" s="5" t="str">
        <f t="shared" si="1"/>
        <v/>
      </c>
      <c r="B56" s="6"/>
      <c r="C56" s="7" t="str">
        <f t="array" ref="C56">IFS(B56="","",COUNTIF('Master Barang'!B:B,B56)=0,SUBSTITUTE(TRIM(B56)," ","-"),COUNTIF('Master Barang'!B:B,B56)=1,XLOOKUP(B56,'Master Barang'!B:B,'Master Barang'!C:C,,,1))</f>
        <v/>
      </c>
      <c r="D56" s="8"/>
      <c r="E56" s="9"/>
      <c r="G56" s="11"/>
      <c r="H56" s="7"/>
      <c r="I56" s="5" t="str">
        <f>IFERROR(__xludf.DUMMYFUNCTION("if(OR(B56="""",E56=""""),"""", LET(
  Nama, B56,
  SKU, C56,
  Estimasi, E56,
  QtyOrder, F56,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57" ht="15.75" hidden="1" customHeight="1" outlineLevel="1">
      <c r="A57" s="5" t="str">
        <f t="shared" si="1"/>
        <v/>
      </c>
      <c r="B57" s="6"/>
      <c r="C57" s="7" t="str">
        <f t="array" ref="C57">IFS(B57="","",COUNTIF('Master Barang'!B:B,B57)=0,SUBSTITUTE(TRIM(B57)," ","-"),COUNTIF('Master Barang'!B:B,B57)=1,XLOOKUP(B57,'Master Barang'!B:B,'Master Barang'!C:C,,,1))</f>
        <v/>
      </c>
      <c r="D57" s="8"/>
      <c r="E57" s="9"/>
      <c r="G57" s="11"/>
      <c r="H57" s="7"/>
      <c r="I57" s="5" t="str">
        <f>IFERROR(__xludf.DUMMYFUNCTION("if(OR(B57="""",E57=""""),"""", LET(
  Nama, B57,
  SKU, C57,
  Estimasi, E57,
  QtyOrder, F57,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58" ht="15.75" hidden="1" customHeight="1" outlineLevel="1">
      <c r="A58" s="5" t="str">
        <f t="shared" si="1"/>
        <v/>
      </c>
      <c r="B58" s="6"/>
      <c r="C58" s="7" t="str">
        <f t="array" ref="C58">IFS(B58="","",COUNTIF('Master Barang'!B:B,B58)=0,SUBSTITUTE(TRIM(B58)," ","-"),COUNTIF('Master Barang'!B:B,B58)=1,XLOOKUP(B58,'Master Barang'!B:B,'Master Barang'!C:C,,,1))</f>
        <v/>
      </c>
      <c r="D58" s="8"/>
      <c r="E58" s="9"/>
      <c r="G58" s="11"/>
      <c r="H58" s="7"/>
      <c r="I58" s="5" t="str">
        <f>IFERROR(__xludf.DUMMYFUNCTION("if(OR(B58="""",E58=""""),"""", LET(
  Nama, B58,
  SKU, C58,
  Estimasi, E58,
  QtyOrder, F58,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59" ht="15.75" hidden="1" customHeight="1" outlineLevel="1">
      <c r="A59" s="5" t="str">
        <f t="shared" si="1"/>
        <v/>
      </c>
      <c r="B59" s="6"/>
      <c r="C59" s="7" t="str">
        <f t="array" ref="C59">IFS(B59="","",COUNTIF('Master Barang'!B:B,B59)=0,SUBSTITUTE(TRIM(B59)," ","-"),COUNTIF('Master Barang'!B:B,B59)=1,XLOOKUP(B59,'Master Barang'!B:B,'Master Barang'!C:C,,,1))</f>
        <v/>
      </c>
      <c r="D59" s="8"/>
      <c r="E59" s="9"/>
      <c r="G59" s="11"/>
      <c r="H59" s="7"/>
      <c r="I59" s="5" t="str">
        <f>IFERROR(__xludf.DUMMYFUNCTION("if(OR(B59="""",E59=""""),"""", LET(
  Nama, B59,
  SKU, C59,
  Estimasi, E59,
  QtyOrder, F59,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60" ht="15.75" hidden="1" customHeight="1" outlineLevel="1">
      <c r="A60" s="5" t="str">
        <f t="shared" si="1"/>
        <v/>
      </c>
      <c r="B60" s="6"/>
      <c r="C60" s="7" t="str">
        <f t="array" ref="C60">IFS(B60="","",COUNTIF('Master Barang'!B:B,B60)=0,SUBSTITUTE(TRIM(B60)," ","-"),COUNTIF('Master Barang'!B:B,B60)=1,XLOOKUP(B60,'Master Barang'!B:B,'Master Barang'!C:C,,,1))</f>
        <v/>
      </c>
      <c r="D60" s="8"/>
      <c r="E60" s="9"/>
      <c r="G60" s="11"/>
      <c r="H60" s="7"/>
      <c r="I60" s="5" t="str">
        <f>IFERROR(__xludf.DUMMYFUNCTION("if(OR(B60="""",E60=""""),"""", LET(
  Nama, B60,
  SKU, C60,
  Estimasi, E60,
  QtyOrder, F60,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61" ht="15.75" hidden="1" customHeight="1" outlineLevel="1">
      <c r="A61" s="5" t="str">
        <f t="shared" si="1"/>
        <v/>
      </c>
      <c r="B61" s="6"/>
      <c r="C61" s="7" t="str">
        <f t="array" ref="C61">IFS(B61="","",COUNTIF('Master Barang'!B:B,B61)=0,SUBSTITUTE(TRIM(B61)," ","-"),COUNTIF('Master Barang'!B:B,B61)=1,XLOOKUP(B61,'Master Barang'!B:B,'Master Barang'!C:C,,,1))</f>
        <v/>
      </c>
      <c r="D61" s="8"/>
      <c r="E61" s="9"/>
      <c r="G61" s="11"/>
      <c r="H61" s="7"/>
      <c r="I61" s="5" t="str">
        <f>IFERROR(__xludf.DUMMYFUNCTION("if(OR(B61="""",E61=""""),"""", LET(
  Nama, B61,
  SKU, C61,
  Estimasi, E61,
  QtyOrder, F61,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62" ht="15.75" hidden="1" customHeight="1" outlineLevel="1">
      <c r="A62" s="5" t="str">
        <f t="shared" si="1"/>
        <v/>
      </c>
      <c r="B62" s="6"/>
      <c r="C62" s="7" t="str">
        <f t="array" ref="C62">IFS(B62="","",COUNTIF('Master Barang'!B:B,B62)=0,SUBSTITUTE(TRIM(B62)," ","-"),COUNTIF('Master Barang'!B:B,B62)=1,XLOOKUP(B62,'Master Barang'!B:B,'Master Barang'!C:C,,,1))</f>
        <v/>
      </c>
      <c r="D62" s="8"/>
      <c r="E62" s="9"/>
      <c r="G62" s="13"/>
      <c r="H62" s="7"/>
      <c r="I62" s="5" t="str">
        <f>IFERROR(__xludf.DUMMYFUNCTION("if(OR(B62="""",E62=""""),"""", LET(
  Nama, B62,
  SKU, C62,
  Estimasi, E62,
  QtyOrder, F62,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63" ht="15.75" hidden="1" customHeight="1" outlineLevel="1">
      <c r="A63" s="5" t="str">
        <f t="shared" si="1"/>
        <v/>
      </c>
      <c r="B63" s="6"/>
      <c r="C63" s="7" t="str">
        <f t="array" ref="C63">IFS(B63="","",COUNTIF('Master Barang'!B:B,B63)=0,SUBSTITUTE(TRIM(B63)," ","-"),COUNTIF('Master Barang'!B:B,B63)=1,XLOOKUP(B63,'Master Barang'!B:B,'Master Barang'!C:C,,,1))</f>
        <v/>
      </c>
      <c r="D63" s="8"/>
      <c r="E63" s="9"/>
      <c r="G63" s="13"/>
      <c r="H63" s="7"/>
      <c r="I63" s="5" t="str">
        <f>IFERROR(__xludf.DUMMYFUNCTION("if(OR(B63="""",E63=""""),"""", LET(
  Nama, B63,
  SKU, C63,
  Estimasi, E63,
  QtyOrder, F63,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64" ht="15.75" hidden="1" customHeight="1" outlineLevel="1">
      <c r="A64" s="5" t="str">
        <f t="shared" si="1"/>
        <v/>
      </c>
      <c r="B64" s="6"/>
      <c r="C64" s="7" t="str">
        <f t="array" ref="C64">IFS(B64="","",COUNTIF('Master Barang'!B:B,B64)=0,SUBSTITUTE(TRIM(B64)," ","-"),COUNTIF('Master Barang'!B:B,B64)=1,XLOOKUP(B64,'Master Barang'!B:B,'Master Barang'!C:C,,,1))</f>
        <v/>
      </c>
      <c r="D64" s="8"/>
      <c r="E64" s="9"/>
      <c r="G64" s="13"/>
      <c r="H64" s="7"/>
      <c r="I64" s="5" t="str">
        <f>IFERROR(__xludf.DUMMYFUNCTION("if(OR(B64="""",E64=""""),"""", LET(
  Nama, B64,
  SKU, C64,
  Estimasi, E64,
  QtyOrder, F64,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65" ht="15.75" hidden="1" customHeight="1" outlineLevel="1">
      <c r="A65" s="5" t="str">
        <f t="shared" si="1"/>
        <v/>
      </c>
      <c r="B65" s="6"/>
      <c r="C65" s="7" t="str">
        <f t="array" ref="C65">IFS(B65="","",COUNTIF('Master Barang'!B:B,B65)=0,SUBSTITUTE(TRIM(B65)," ","-"),COUNTIF('Master Barang'!B:B,B65)=1,XLOOKUP(B65,'Master Barang'!B:B,'Master Barang'!C:C,,,1))</f>
        <v/>
      </c>
      <c r="D65" s="8"/>
      <c r="E65" s="9"/>
      <c r="G65" s="13"/>
      <c r="H65" s="7"/>
      <c r="I65" s="5" t="str">
        <f>IFERROR(__xludf.DUMMYFUNCTION("if(OR(B65="""",E65=""""),"""", LET(
  Nama, B65,
  SKU, C65,
  Estimasi, E65,
  QtyOrder, F65,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66" ht="15.75" hidden="1" customHeight="1" outlineLevel="1">
      <c r="A66" s="5" t="str">
        <f t="shared" si="1"/>
        <v/>
      </c>
      <c r="B66" s="6"/>
      <c r="C66" s="7" t="str">
        <f t="array" ref="C66">IFS(B66="","",COUNTIF('Master Barang'!B:B,B66)=0,SUBSTITUTE(TRIM(B66)," ","-"),COUNTIF('Master Barang'!B:B,B66)=1,XLOOKUP(B66,'Master Barang'!B:B,'Master Barang'!C:C,,,1))</f>
        <v/>
      </c>
      <c r="D66" s="8"/>
      <c r="E66" s="9"/>
      <c r="G66" s="13"/>
      <c r="H66" s="7"/>
      <c r="I66" s="5" t="str">
        <f>IFERROR(__xludf.DUMMYFUNCTION("if(OR(B66="""",E66=""""),"""", LET(
  Nama, B66,
  SKU, C66,
  Estimasi, E66,
  QtyOrder, F66,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67" ht="15.75" hidden="1" customHeight="1" outlineLevel="1">
      <c r="A67" s="5" t="str">
        <f t="shared" si="1"/>
        <v/>
      </c>
      <c r="B67" s="6"/>
      <c r="C67" s="7" t="str">
        <f t="array" ref="C67">IFS(B67="","",COUNTIF('Master Barang'!B:B,B67)=0,SUBSTITUTE(TRIM(B67)," ","-"),COUNTIF('Master Barang'!B:B,B67)=1,XLOOKUP(B67,'Master Barang'!B:B,'Master Barang'!C:C,,,1))</f>
        <v/>
      </c>
      <c r="D67" s="8"/>
      <c r="E67" s="9"/>
      <c r="G67" s="13"/>
      <c r="H67" s="7"/>
      <c r="I67" s="5" t="str">
        <f>IFERROR(__xludf.DUMMYFUNCTION("if(OR(B67="""",E67=""""),"""", LET(
  Nama, B67,
  SKU, C67,
  Estimasi, E67,
  QtyOrder, F67,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68" ht="15.75" hidden="1" customHeight="1" outlineLevel="1">
      <c r="A68" s="5" t="str">
        <f t="shared" si="1"/>
        <v/>
      </c>
      <c r="B68" s="6"/>
      <c r="C68" s="7" t="str">
        <f t="array" ref="C68">IFS(B68="","",COUNTIF('Master Barang'!B:B,B68)=0,SUBSTITUTE(TRIM(B68)," ","-"),COUNTIF('Master Barang'!B:B,B68)=1,XLOOKUP(B68,'Master Barang'!B:B,'Master Barang'!C:C,,,1))</f>
        <v/>
      </c>
      <c r="D68" s="8"/>
      <c r="E68" s="9"/>
      <c r="G68" s="13"/>
      <c r="H68" s="7"/>
      <c r="I68" s="5" t="str">
        <f>IFERROR(__xludf.DUMMYFUNCTION("if(OR(B68="""",E68=""""),"""", LET(
  Nama, B68,
  SKU, C68,
  Estimasi, E68,
  QtyOrder, F68,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69" ht="15.75" hidden="1" customHeight="1" outlineLevel="1">
      <c r="A69" s="5" t="str">
        <f t="shared" si="1"/>
        <v/>
      </c>
      <c r="B69" s="6"/>
      <c r="C69" s="7" t="str">
        <f t="array" ref="C69">IFS(B69="","",COUNTIF('Master Barang'!B:B,B69)=0,SUBSTITUTE(TRIM(B69)," ","-"),COUNTIF('Master Barang'!B:B,B69)=1,XLOOKUP(B69,'Master Barang'!B:B,'Master Barang'!C:C,,,1))</f>
        <v/>
      </c>
      <c r="D69" s="8"/>
      <c r="E69" s="9"/>
      <c r="G69" s="13"/>
      <c r="H69" s="7"/>
      <c r="I69" s="5" t="str">
        <f>IFERROR(__xludf.DUMMYFUNCTION("if(OR(B69="""",E69=""""),"""", LET(
  Nama, B69,
  SKU, C69,
  Estimasi, E69,
  QtyOrder, F69,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70" ht="15.75" hidden="1" customHeight="1" outlineLevel="1">
      <c r="A70" s="5" t="str">
        <f t="shared" si="1"/>
        <v/>
      </c>
      <c r="B70" s="6"/>
      <c r="C70" s="7" t="str">
        <f t="array" ref="C70">IFS(B70="","",COUNTIF('Master Barang'!B:B,B70)=0,SUBSTITUTE(TRIM(B70)," ","-"),COUNTIF('Master Barang'!B:B,B70)=1,XLOOKUP(B70,'Master Barang'!B:B,'Master Barang'!C:C,,,1))</f>
        <v/>
      </c>
      <c r="D70" s="8"/>
      <c r="E70" s="9"/>
      <c r="G70" s="13"/>
      <c r="H70" s="7"/>
      <c r="I70" s="5" t="str">
        <f>IFERROR(__xludf.DUMMYFUNCTION("if(OR(B70="""",E70=""""),"""", LET(
  Nama, B70,
  SKU, C70,
  Estimasi, E70,
  QtyOrder, F70,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71" ht="15.75" hidden="1" customHeight="1" outlineLevel="1">
      <c r="A71" s="5" t="str">
        <f t="shared" si="1"/>
        <v/>
      </c>
      <c r="B71" s="6"/>
      <c r="C71" s="7" t="str">
        <f t="array" ref="C71">IFS(B71="","",COUNTIF('Master Barang'!B:B,B71)=0,SUBSTITUTE(TRIM(B71)," ","-"),COUNTIF('Master Barang'!B:B,B71)=1,XLOOKUP(B71,'Master Barang'!B:B,'Master Barang'!C:C,,,1))</f>
        <v/>
      </c>
      <c r="D71" s="8"/>
      <c r="E71" s="9"/>
      <c r="G71" s="13"/>
      <c r="H71" s="7"/>
      <c r="I71" s="5" t="str">
        <f>IFERROR(__xludf.DUMMYFUNCTION("if(OR(B71="""",E71=""""),"""", LET(
  Nama, B71,
  SKU, C71,
  Estimasi, E71,
  QtyOrder, F71,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72" ht="15.75" hidden="1" customHeight="1" outlineLevel="1">
      <c r="A72" s="5" t="str">
        <f t="shared" si="1"/>
        <v/>
      </c>
      <c r="B72" s="6"/>
      <c r="C72" s="7" t="str">
        <f t="array" ref="C72">IFS(B72="","",COUNTIF('Master Barang'!B:B,B72)=0,SUBSTITUTE(TRIM(B72)," ","-"),COUNTIF('Master Barang'!B:B,B72)=1,XLOOKUP(B72,'Master Barang'!B:B,'Master Barang'!C:C,,,1))</f>
        <v/>
      </c>
      <c r="D72" s="8"/>
      <c r="E72" s="9"/>
      <c r="G72" s="13"/>
      <c r="H72" s="7"/>
      <c r="I72" s="5" t="str">
        <f>IFERROR(__xludf.DUMMYFUNCTION("if(OR(B72="""",E72=""""),"""", LET(
  Nama, B72,
  SKU, C72,
  Estimasi, E72,
  QtyOrder, F72,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73" ht="15.75" hidden="1" customHeight="1" outlineLevel="1">
      <c r="A73" s="5" t="str">
        <f t="shared" si="1"/>
        <v/>
      </c>
      <c r="B73" s="6"/>
      <c r="C73" s="7" t="str">
        <f t="array" ref="C73">IFS(B73="","",COUNTIF('Master Barang'!B:B,B73)=0,SUBSTITUTE(TRIM(B73)," ","-"),COUNTIF('Master Barang'!B:B,B73)=1,XLOOKUP(B73,'Master Barang'!B:B,'Master Barang'!C:C,,,1))</f>
        <v/>
      </c>
      <c r="D73" s="8"/>
      <c r="E73" s="9"/>
      <c r="G73" s="13"/>
      <c r="H73" s="7"/>
      <c r="I73" s="5" t="str">
        <f>IFERROR(__xludf.DUMMYFUNCTION("if(OR(B73="""",E73=""""),"""", LET(
  Nama, B73,
  SKU, C73,
  Estimasi, E73,
  QtyOrder, F73,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74" ht="15.75" hidden="1" customHeight="1" outlineLevel="1">
      <c r="A74" s="5" t="str">
        <f t="shared" si="1"/>
        <v/>
      </c>
      <c r="B74" s="6"/>
      <c r="C74" s="7" t="str">
        <f t="array" ref="C74">IFS(B74="","",COUNTIF('Master Barang'!B:B,B74)=0,SUBSTITUTE(TRIM(B74)," ","-"),COUNTIF('Master Barang'!B:B,B74)=1,XLOOKUP(B74,'Master Barang'!B:B,'Master Barang'!C:C,,,1))</f>
        <v/>
      </c>
      <c r="D74" s="8"/>
      <c r="E74" s="9"/>
      <c r="G74" s="13"/>
      <c r="H74" s="7"/>
      <c r="I74" s="5" t="str">
        <f>IFERROR(__xludf.DUMMYFUNCTION("if(OR(B74="""",E74=""""),"""", LET(
  Nama, B74,
  SKU, C74,
  Estimasi, E74,
  QtyOrder, F74,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75" ht="15.75" hidden="1" customHeight="1" outlineLevel="1">
      <c r="A75" s="5" t="str">
        <f t="shared" si="1"/>
        <v/>
      </c>
      <c r="B75" s="6"/>
      <c r="C75" s="7" t="str">
        <f t="array" ref="C75">IFS(B75="","",COUNTIF('Master Barang'!B:B,B75)=0,SUBSTITUTE(TRIM(B75)," ","-"),COUNTIF('Master Barang'!B:B,B75)=1,XLOOKUP(B75,'Master Barang'!B:B,'Master Barang'!C:C,,,1))</f>
        <v/>
      </c>
      <c r="D75" s="8"/>
      <c r="E75" s="9"/>
      <c r="G75" s="13"/>
      <c r="H75" s="7"/>
      <c r="I75" s="5" t="str">
        <f>IFERROR(__xludf.DUMMYFUNCTION("if(OR(B75="""",E75=""""),"""", LET(
  Nama, B75,
  SKU, C75,
  Estimasi, E75,
  QtyOrder, F75,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76" ht="15.75" hidden="1" customHeight="1" outlineLevel="1">
      <c r="A76" s="5" t="str">
        <f t="shared" si="1"/>
        <v/>
      </c>
      <c r="B76" s="6"/>
      <c r="C76" s="7" t="str">
        <f t="array" ref="C76">IFS(B76="","",COUNTIF('Master Barang'!B:B,B76)=0,SUBSTITUTE(TRIM(B76)," ","-"),COUNTIF('Master Barang'!B:B,B76)=1,XLOOKUP(B76,'Master Barang'!B:B,'Master Barang'!C:C,,,1))</f>
        <v/>
      </c>
      <c r="D76" s="8"/>
      <c r="E76" s="9"/>
      <c r="G76" s="13"/>
      <c r="H76" s="7"/>
      <c r="I76" s="5" t="str">
        <f>IFERROR(__xludf.DUMMYFUNCTION("if(OR(B76="""",E76=""""),"""", LET(
  Nama, B76,
  SKU, C76,
  Estimasi, E76,
  QtyOrder, F76,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77" ht="15.75" hidden="1" customHeight="1" outlineLevel="1">
      <c r="A77" s="5" t="str">
        <f t="shared" si="1"/>
        <v/>
      </c>
      <c r="B77" s="6"/>
      <c r="C77" s="7" t="str">
        <f t="array" ref="C77">IFS(B77="","",COUNTIF('Master Barang'!B:B,B77)=0,SUBSTITUTE(TRIM(B77)," ","-"),COUNTIF('Master Barang'!B:B,B77)=1,XLOOKUP(B77,'Master Barang'!B:B,'Master Barang'!C:C,,,1))</f>
        <v/>
      </c>
      <c r="D77" s="8"/>
      <c r="E77" s="9"/>
      <c r="G77" s="13"/>
      <c r="H77" s="7"/>
      <c r="I77" s="5" t="str">
        <f>IFERROR(__xludf.DUMMYFUNCTION("if(OR(B77="""",E77=""""),"""", LET(
  Nama, B77,
  SKU, C77,
  Estimasi, E77,
  QtyOrder, F77,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78" ht="15.75" hidden="1" customHeight="1" outlineLevel="1">
      <c r="A78" s="5" t="str">
        <f t="shared" si="1"/>
        <v/>
      </c>
      <c r="B78" s="6"/>
      <c r="C78" s="7" t="str">
        <f t="array" ref="C78">IFS(B78="","",COUNTIF('Master Barang'!B:B,B78)=0,SUBSTITUTE(TRIM(B78)," ","-"),COUNTIF('Master Barang'!B:B,B78)=1,XLOOKUP(B78,'Master Barang'!B:B,'Master Barang'!C:C,,,1))</f>
        <v/>
      </c>
      <c r="D78" s="8"/>
      <c r="E78" s="9"/>
      <c r="G78" s="13"/>
      <c r="H78" s="7"/>
      <c r="I78" s="5" t="str">
        <f>IFERROR(__xludf.DUMMYFUNCTION("if(OR(B78="""",E78=""""),"""", LET(
  Nama, B78,
  SKU, C78,
  Estimasi, E78,
  QtyOrder, F78,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79" ht="15.75" hidden="1" customHeight="1" outlineLevel="1">
      <c r="A79" s="5" t="str">
        <f t="shared" si="1"/>
        <v/>
      </c>
      <c r="B79" s="6"/>
      <c r="C79" s="7" t="str">
        <f t="array" ref="C79">IFS(B79="","",COUNTIF('Master Barang'!B:B,B79)=0,SUBSTITUTE(TRIM(B79)," ","-"),COUNTIF('Master Barang'!B:B,B79)=1,XLOOKUP(B79,'Master Barang'!B:B,'Master Barang'!C:C,,,1))</f>
        <v/>
      </c>
      <c r="D79" s="8"/>
      <c r="E79" s="9"/>
      <c r="G79" s="13"/>
      <c r="H79" s="7"/>
      <c r="I79" s="5" t="str">
        <f>IFERROR(__xludf.DUMMYFUNCTION("if(OR(B79="""",E79=""""),"""", LET(
  Nama, B79,
  SKU, C79,
  Estimasi, E79,
  QtyOrder, F79,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80" ht="15.75" hidden="1" customHeight="1" outlineLevel="1">
      <c r="A80" s="5" t="str">
        <f t="shared" si="1"/>
        <v/>
      </c>
      <c r="B80" s="6"/>
      <c r="C80" s="7" t="str">
        <f t="array" ref="C80">IFS(B80="","",COUNTIF('Master Barang'!B:B,B80)=0,SUBSTITUTE(TRIM(B80)," ","-"),COUNTIF('Master Barang'!B:B,B80)=1,XLOOKUP(B80,'Master Barang'!B:B,'Master Barang'!C:C,,,1))</f>
        <v/>
      </c>
      <c r="D80" s="8"/>
      <c r="E80" s="9"/>
      <c r="G80" s="13"/>
      <c r="H80" s="7"/>
      <c r="I80" s="5" t="str">
        <f>IFERROR(__xludf.DUMMYFUNCTION("if(OR(B80="""",E80=""""),"""", LET(
  Nama, B80,
  SKU, C80,
  Estimasi, E80,
  QtyOrder, F80,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81" ht="15.75" hidden="1" customHeight="1" outlineLevel="1">
      <c r="A81" s="5" t="str">
        <f t="shared" si="1"/>
        <v/>
      </c>
      <c r="B81" s="6"/>
      <c r="C81" s="7" t="str">
        <f t="array" ref="C81">IFS(B81="","",COUNTIF('Master Barang'!B:B,B81)=0,SUBSTITUTE(TRIM(B81)," ","-"),COUNTIF('Master Barang'!B:B,B81)=1,XLOOKUP(B81,'Master Barang'!B:B,'Master Barang'!C:C,,,1))</f>
        <v/>
      </c>
      <c r="D81" s="8"/>
      <c r="E81" s="9"/>
      <c r="G81" s="13"/>
      <c r="H81" s="7"/>
      <c r="I81" s="5" t="str">
        <f>IFERROR(__xludf.DUMMYFUNCTION("if(OR(B81="""",E81=""""),"""", LET(
  Nama, B81,
  SKU, C81,
  Estimasi, E81,
  QtyOrder, F81,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82" ht="15.75" hidden="1" customHeight="1" outlineLevel="1">
      <c r="A82" s="5" t="str">
        <f t="shared" si="1"/>
        <v/>
      </c>
      <c r="B82" s="6"/>
      <c r="C82" s="7" t="str">
        <f t="array" ref="C82">IFS(B82="","",COUNTIF('Master Barang'!B:B,B82)=0,SUBSTITUTE(TRIM(B82)," ","-"),COUNTIF('Master Barang'!B:B,B82)=1,XLOOKUP(B82,'Master Barang'!B:B,'Master Barang'!C:C,,,1))</f>
        <v/>
      </c>
      <c r="D82" s="8"/>
      <c r="E82" s="9"/>
      <c r="G82" s="13"/>
      <c r="H82" s="7"/>
      <c r="I82" s="5" t="str">
        <f>IFERROR(__xludf.DUMMYFUNCTION("if(OR(B82="""",E82=""""),"""", LET(
  Nama, B82,
  SKU, C82,
  Estimasi, E82,
  QtyOrder, F82,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83" ht="15.75" hidden="1" customHeight="1" outlineLevel="1">
      <c r="A83" s="5" t="str">
        <f t="shared" si="1"/>
        <v/>
      </c>
      <c r="B83" s="6"/>
      <c r="C83" s="7" t="str">
        <f t="array" ref="C83">IFS(B83="","",COUNTIF('Master Barang'!B:B,B83)=0,SUBSTITUTE(TRIM(B83)," ","-"),COUNTIF('Master Barang'!B:B,B83)=1,XLOOKUP(B83,'Master Barang'!B:B,'Master Barang'!C:C,,,1))</f>
        <v/>
      </c>
      <c r="D83" s="8"/>
      <c r="E83" s="9"/>
      <c r="G83" s="13"/>
      <c r="H83" s="7"/>
      <c r="I83" s="5" t="str">
        <f>IFERROR(__xludf.DUMMYFUNCTION("if(OR(B83="""",E83=""""),"""", LET(
  Nama, B83,
  SKU, C83,
  Estimasi, E83,
  QtyOrder, F83,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84" ht="15.75" hidden="1" customHeight="1" outlineLevel="1">
      <c r="A84" s="5" t="str">
        <f t="shared" si="1"/>
        <v/>
      </c>
      <c r="B84" s="6"/>
      <c r="C84" s="7" t="str">
        <f t="array" ref="C84">IFS(B84="","",COUNTIF('Master Barang'!B:B,B84)=0,SUBSTITUTE(TRIM(B84)," ","-"),COUNTIF('Master Barang'!B:B,B84)=1,XLOOKUP(B84,'Master Barang'!B:B,'Master Barang'!C:C,,,1))</f>
        <v/>
      </c>
      <c r="D84" s="8"/>
      <c r="E84" s="9"/>
      <c r="G84" s="13"/>
      <c r="H84" s="7"/>
      <c r="I84" s="5" t="str">
        <f>IFERROR(__xludf.DUMMYFUNCTION("if(OR(B84="""",E84=""""),"""", LET(
  Nama, B84,
  SKU, C84,
  Estimasi, E84,
  QtyOrder, F84,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85" ht="15.75" hidden="1" customHeight="1" outlineLevel="1">
      <c r="A85" s="5" t="str">
        <f t="shared" si="1"/>
        <v/>
      </c>
      <c r="B85" s="6"/>
      <c r="C85" s="7" t="str">
        <f t="array" ref="C85">IFS(B85="","",COUNTIF('Master Barang'!B:B,B85)=0,SUBSTITUTE(TRIM(B85)," ","-"),COUNTIF('Master Barang'!B:B,B85)=1,XLOOKUP(B85,'Master Barang'!B:B,'Master Barang'!C:C,,,1))</f>
        <v/>
      </c>
      <c r="D85" s="8"/>
      <c r="E85" s="9"/>
      <c r="G85" s="13"/>
      <c r="H85" s="7"/>
      <c r="I85" s="5" t="str">
        <f>IFERROR(__xludf.DUMMYFUNCTION("if(OR(B85="""",E85=""""),"""", LET(
  Nama, B85,
  SKU, C85,
  Estimasi, E85,
  QtyOrder, F85,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86" ht="15.75" hidden="1" customHeight="1" outlineLevel="1">
      <c r="A86" s="5" t="str">
        <f t="shared" si="1"/>
        <v/>
      </c>
      <c r="B86" s="6"/>
      <c r="C86" s="7" t="str">
        <f t="array" ref="C86">IFS(B86="","",COUNTIF('Master Barang'!B:B,B86)=0,SUBSTITUTE(TRIM(B86)," ","-"),COUNTIF('Master Barang'!B:B,B86)=1,XLOOKUP(B86,'Master Barang'!B:B,'Master Barang'!C:C,,,1))</f>
        <v/>
      </c>
      <c r="D86" s="8"/>
      <c r="E86" s="9"/>
      <c r="G86" s="13"/>
      <c r="H86" s="7"/>
      <c r="I86" s="5" t="str">
        <f>IFERROR(__xludf.DUMMYFUNCTION("if(OR(B86="""",E86=""""),"""", LET(
  Nama, B86,
  SKU, C86,
  Estimasi, E86,
  QtyOrder, F86,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87" ht="15.75" hidden="1" customHeight="1" outlineLevel="1">
      <c r="A87" s="5" t="str">
        <f t="shared" si="1"/>
        <v/>
      </c>
      <c r="B87" s="6"/>
      <c r="C87" s="7" t="str">
        <f t="array" ref="C87">IFS(B87="","",COUNTIF('Master Barang'!B:B,B87)=0,SUBSTITUTE(TRIM(B87)," ","-"),COUNTIF('Master Barang'!B:B,B87)=1,XLOOKUP(B87,'Master Barang'!B:B,'Master Barang'!C:C,,,1))</f>
        <v/>
      </c>
      <c r="D87" s="8"/>
      <c r="E87" s="9"/>
      <c r="G87" s="13"/>
      <c r="H87" s="7"/>
      <c r="I87" s="5" t="str">
        <f>IFERROR(__xludf.DUMMYFUNCTION("if(OR(B87="""",E87=""""),"""", LET(
  Nama, B87,
  SKU, C87,
  Estimasi, E87,
  QtyOrder, F87,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88" ht="15.75" hidden="1" customHeight="1" outlineLevel="1">
      <c r="A88" s="5" t="str">
        <f t="shared" si="1"/>
        <v/>
      </c>
      <c r="B88" s="6"/>
      <c r="C88" s="7" t="str">
        <f t="array" ref="C88">IFS(B88="","",COUNTIF('Master Barang'!B:B,B88)=0,SUBSTITUTE(TRIM(B88)," ","-"),COUNTIF('Master Barang'!B:B,B88)=1,XLOOKUP(B88,'Master Barang'!B:B,'Master Barang'!C:C,,,1))</f>
        <v/>
      </c>
      <c r="D88" s="8"/>
      <c r="E88" s="9"/>
      <c r="G88" s="13"/>
      <c r="H88" s="7"/>
      <c r="I88" s="5" t="str">
        <f>IFERROR(__xludf.DUMMYFUNCTION("if(OR(B88="""",E88=""""),"""", LET(
  Nama, B88,
  SKU, C88,
  Estimasi, E88,
  QtyOrder, F88,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89" ht="15.75" hidden="1" customHeight="1" outlineLevel="1">
      <c r="A89" s="5" t="str">
        <f t="shared" si="1"/>
        <v/>
      </c>
      <c r="B89" s="6"/>
      <c r="C89" s="7" t="str">
        <f t="array" ref="C89">IFS(B89="","",COUNTIF('Master Barang'!B:B,B89)=0,SUBSTITUTE(TRIM(B89)," ","-"),COUNTIF('Master Barang'!B:B,B89)=1,XLOOKUP(B89,'Master Barang'!B:B,'Master Barang'!C:C,,,1))</f>
        <v/>
      </c>
      <c r="D89" s="8"/>
      <c r="E89" s="9"/>
      <c r="G89" s="13"/>
      <c r="H89" s="7"/>
      <c r="I89" s="5" t="str">
        <f>IFERROR(__xludf.DUMMYFUNCTION("if(OR(B89="""",E89=""""),"""", LET(
  Nama, B89,
  SKU, C89,
  Estimasi, E89,
  QtyOrder, F89,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90" ht="15.75" hidden="1" customHeight="1" outlineLevel="1">
      <c r="A90" s="5" t="str">
        <f t="shared" si="1"/>
        <v/>
      </c>
      <c r="B90" s="6"/>
      <c r="C90" s="7" t="str">
        <f t="array" ref="C90">IFS(B90="","",COUNTIF('Master Barang'!B:B,B90)=0,SUBSTITUTE(TRIM(B90)," ","-"),COUNTIF('Master Barang'!B:B,B90)=1,XLOOKUP(B90,'Master Barang'!B:B,'Master Barang'!C:C,,,1))</f>
        <v/>
      </c>
      <c r="D90" s="8"/>
      <c r="E90" s="9"/>
      <c r="G90" s="13"/>
      <c r="H90" s="7"/>
      <c r="I90" s="5" t="str">
        <f>IFERROR(__xludf.DUMMYFUNCTION("if(OR(B90="""",E90=""""),"""", LET(
  Nama, B90,
  SKU, C90,
  Estimasi, E90,
  QtyOrder, F90,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91" ht="15.75" hidden="1" customHeight="1" outlineLevel="1">
      <c r="A91" s="5" t="str">
        <f t="shared" si="1"/>
        <v/>
      </c>
      <c r="B91" s="6"/>
      <c r="C91" s="7" t="str">
        <f t="array" ref="C91">IFS(B91="","",COUNTIF('Master Barang'!B:B,B91)=0,SUBSTITUTE(TRIM(B91)," ","-"),COUNTIF('Master Barang'!B:B,B91)=1,XLOOKUP(B91,'Master Barang'!B:B,'Master Barang'!C:C,,,1))</f>
        <v/>
      </c>
      <c r="D91" s="8"/>
      <c r="E91" s="9"/>
      <c r="G91" s="13"/>
      <c r="H91" s="7"/>
      <c r="I91" s="5" t="str">
        <f>IFERROR(__xludf.DUMMYFUNCTION("if(OR(B91="""",E91=""""),"""", LET(
  Nama, B91,
  SKU, C91,
  Estimasi, E91,
  QtyOrder, F91,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92" ht="15.75" hidden="1" customHeight="1" outlineLevel="1">
      <c r="A92" s="5" t="str">
        <f t="shared" si="1"/>
        <v/>
      </c>
      <c r="B92" s="6"/>
      <c r="C92" s="7" t="str">
        <f t="array" ref="C92">IFS(B92="","",COUNTIF('Master Barang'!B:B,B92)=0,SUBSTITUTE(TRIM(B92)," ","-"),COUNTIF('Master Barang'!B:B,B92)=1,XLOOKUP(B92,'Master Barang'!B:B,'Master Barang'!C:C,,,1))</f>
        <v/>
      </c>
      <c r="D92" s="8"/>
      <c r="E92" s="9"/>
      <c r="G92" s="13"/>
      <c r="H92" s="7"/>
      <c r="I92" s="5" t="str">
        <f>IFERROR(__xludf.DUMMYFUNCTION("if(OR(B92="""",E92=""""),"""", LET(
  Nama, B92,
  SKU, C92,
  Estimasi, E92,
  QtyOrder, F92,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93" ht="15.75" hidden="1" customHeight="1" outlineLevel="1">
      <c r="A93" s="5" t="str">
        <f t="shared" si="1"/>
        <v/>
      </c>
      <c r="B93" s="6"/>
      <c r="C93" s="7" t="str">
        <f t="array" ref="C93">IFS(B93="","",COUNTIF('Master Barang'!B:B,B93)=0,SUBSTITUTE(TRIM(B93)," ","-"),COUNTIF('Master Barang'!B:B,B93)=1,XLOOKUP(B93,'Master Barang'!B:B,'Master Barang'!C:C,,,1))</f>
        <v/>
      </c>
      <c r="D93" s="8"/>
      <c r="E93" s="9"/>
      <c r="G93" s="13"/>
      <c r="H93" s="7"/>
      <c r="I93" s="5" t="str">
        <f>IFERROR(__xludf.DUMMYFUNCTION("if(OR(B93="""",E93=""""),"""", LET(
  Nama, B93,
  SKU, C93,
  Estimasi, E93,
  QtyOrder, F93,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94" ht="15.75" hidden="1" customHeight="1" outlineLevel="1">
      <c r="A94" s="5" t="str">
        <f t="shared" si="1"/>
        <v/>
      </c>
      <c r="B94" s="6"/>
      <c r="C94" s="7" t="str">
        <f t="array" ref="C94">IFS(B94="","",COUNTIF('Master Barang'!B:B,B94)=0,SUBSTITUTE(TRIM(B94)," ","-"),COUNTIF('Master Barang'!B:B,B94)=1,XLOOKUP(B94,'Master Barang'!B:B,'Master Barang'!C:C,,,1))</f>
        <v/>
      </c>
      <c r="D94" s="8"/>
      <c r="E94" s="9"/>
      <c r="G94" s="13"/>
      <c r="H94" s="7"/>
      <c r="I94" s="5" t="str">
        <f>IFERROR(__xludf.DUMMYFUNCTION("if(OR(B94="""",E94=""""),"""", LET(
  Nama, B94,
  SKU, C94,
  Estimasi, E94,
  QtyOrder, F94,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95" ht="15.75" hidden="1" customHeight="1" outlineLevel="1">
      <c r="A95" s="5" t="str">
        <f t="shared" si="1"/>
        <v/>
      </c>
      <c r="B95" s="6"/>
      <c r="C95" s="7" t="str">
        <f t="array" ref="C95">IFS(B95="","",COUNTIF('Master Barang'!B:B,B95)=0,SUBSTITUTE(TRIM(B95)," ","-"),COUNTIF('Master Barang'!B:B,B95)=1,XLOOKUP(B95,'Master Barang'!B:B,'Master Barang'!C:C,,,1))</f>
        <v/>
      </c>
      <c r="D95" s="8"/>
      <c r="E95" s="9"/>
      <c r="G95" s="13"/>
      <c r="H95" s="7"/>
      <c r="I95" s="5" t="str">
        <f>IFERROR(__xludf.DUMMYFUNCTION("if(OR(B95="""",E95=""""),"""", LET(
  Nama, B95,
  SKU, C95,
  Estimasi, E95,
  QtyOrder, F95,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96" ht="15.75" hidden="1" customHeight="1" outlineLevel="1">
      <c r="A96" s="5" t="str">
        <f t="shared" si="1"/>
        <v/>
      </c>
      <c r="B96" s="6"/>
      <c r="C96" s="7" t="str">
        <f t="array" ref="C96">IFS(B96="","",COUNTIF('Master Barang'!B:B,B96)=0,SUBSTITUTE(TRIM(B96)," ","-"),COUNTIF('Master Barang'!B:B,B96)=1,XLOOKUP(B96,'Master Barang'!B:B,'Master Barang'!C:C,,,1))</f>
        <v/>
      </c>
      <c r="D96" s="8"/>
      <c r="E96" s="9"/>
      <c r="G96" s="13"/>
      <c r="H96" s="7"/>
      <c r="I96" s="5" t="str">
        <f>IFERROR(__xludf.DUMMYFUNCTION("if(OR(B96="""",E96=""""),"""", LET(
  Nama, B96,
  SKU, C96,
  Estimasi, E96,
  QtyOrder, F96,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97" ht="15.75" hidden="1" customHeight="1" outlineLevel="1">
      <c r="A97" s="5" t="str">
        <f t="shared" si="1"/>
        <v/>
      </c>
      <c r="B97" s="6"/>
      <c r="C97" s="7" t="str">
        <f t="array" ref="C97">IFS(B97="","",COUNTIF('Master Barang'!B:B,B97)=0,SUBSTITUTE(TRIM(B97)," ","-"),COUNTIF('Master Barang'!B:B,B97)=1,XLOOKUP(B97,'Master Barang'!B:B,'Master Barang'!C:C,,,1))</f>
        <v/>
      </c>
      <c r="D97" s="8"/>
      <c r="E97" s="9"/>
      <c r="G97" s="13"/>
      <c r="H97" s="7"/>
      <c r="I97" s="5" t="str">
        <f>IFERROR(__xludf.DUMMYFUNCTION("if(OR(B97="""",E97=""""),"""", LET(
  Nama, B97,
  SKU, C97,
  Estimasi, E97,
  QtyOrder, F97,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98" ht="15.75" hidden="1" customHeight="1" outlineLevel="1">
      <c r="A98" s="5" t="str">
        <f t="shared" si="1"/>
        <v/>
      </c>
      <c r="B98" s="6"/>
      <c r="C98" s="7" t="str">
        <f t="array" ref="C98">IFS(B98="","",COUNTIF('Master Barang'!B:B,B98)=0,SUBSTITUTE(TRIM(B98)," ","-"),COUNTIF('Master Barang'!B:B,B98)=1,XLOOKUP(B98,'Master Barang'!B:B,'Master Barang'!C:C,,,1))</f>
        <v/>
      </c>
      <c r="D98" s="8"/>
      <c r="E98" s="9"/>
      <c r="G98" s="13"/>
      <c r="H98" s="7"/>
      <c r="I98" s="5" t="str">
        <f>IFERROR(__xludf.DUMMYFUNCTION("if(OR(B98="""",E98=""""),"""", LET(
  Nama, B98,
  SKU, C98,
  Estimasi, E98,
  QtyOrder, F98,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99" ht="15.75" hidden="1" customHeight="1" outlineLevel="1">
      <c r="A99" s="5" t="str">
        <f t="shared" si="1"/>
        <v/>
      </c>
      <c r="B99" s="6"/>
      <c r="C99" s="7" t="str">
        <f t="array" ref="C99">IFS(B99="","",COUNTIF('Master Barang'!B:B,B99)=0,SUBSTITUTE(TRIM(B99)," ","-"),COUNTIF('Master Barang'!B:B,B99)=1,XLOOKUP(B99,'Master Barang'!B:B,'Master Barang'!C:C,,,1))</f>
        <v/>
      </c>
      <c r="D99" s="8"/>
      <c r="E99" s="9"/>
      <c r="G99" s="13"/>
      <c r="H99" s="7"/>
      <c r="I99" s="5" t="str">
        <f>IFERROR(__xludf.DUMMYFUNCTION("if(OR(B99="""",E99=""""),"""", LET(
  Nama, B99,
  SKU, C99,
  Estimasi, E99,
  QtyOrder, F99,
  FilterTrans, FILTER(
    Transaksi!B:H,
    Transaksi!F:F=""Barang Datang"",
    Transaksi!D:D=Nama,
    Transaksi!E:E=SKU
  ),
  TotalDatang, IFERROR(S"&amp;"UM(INDEX(FilterTrans,,7)), 0),
  TanggalDatang, IFERROR(MAX(INDEX(FilterTrans,,1)), 0),
  SelisihQty, QtyOrder-TotalDatang,
  SelisihHari, TanggalDatang-Estimasi,
  KeteranganQty, IF(SelisihQty=0, ""Oke"", 
    IF(SelisihQty&gt;0, ""Kurang "" &amp; Selisih"&amp;"Qty &amp; "" pcs"", 
    ""Lebih "" &amp; ABS(SelisihQty) &amp; "" pcs"")),
  KeteranganHari, IF(TanggalDatang=0, ""Belum datang"",
    IF(SelisihHari=0, """", 
    IF(SelisihHari&gt;0, ""Terlambat "" &amp; SelisihHari &amp; "" hari"", 
    ""Lebih cepat "" &amp; ABS(SelisihHari"&amp;") &amp; "" hari""))),
  Hasil, IF(TanggalDatang=0, KeteranganHari,
    IF(AND(SelisihQty=0, SelisihHari=0), ""Oke"",
    IF(SelisihQty=0, KeteranganHari,
    IF(SelisihHari=0, KeteranganQty,
    KeteranganHari &amp; "" dengan "" &amp; LOWER(KeteranganQty))))),
"&amp;"  Hasil
))"),"")</f>
        <v/>
      </c>
    </row>
    <row r="100" ht="15.75" hidden="1" customHeight="1" outlineLevel="1">
      <c r="A100" s="5" t="str">
        <f t="shared" si="1"/>
        <v/>
      </c>
      <c r="B100" s="6"/>
      <c r="C100" s="7" t="str">
        <f t="array" ref="C100">IFS(B100="","",COUNTIF('Master Barang'!B:B,B100)=0,SUBSTITUTE(TRIM(B100)," ","-"),COUNTIF('Master Barang'!B:B,B100)=1,XLOOKUP(B100,'Master Barang'!B:B,'Master Barang'!C:C,,,1))</f>
        <v/>
      </c>
      <c r="D100" s="8"/>
      <c r="E100" s="9"/>
      <c r="G100" s="13"/>
      <c r="H100" s="7"/>
      <c r="I100" s="5" t="str">
        <f>IFERROR(__xludf.DUMMYFUNCTION("if(OR(B100="""",E100=""""),"""", LET(
  Nama, B100,
  SKU, C100,
  Estimasi, E100,
  QtyOrder, F100,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01" ht="15.75" hidden="1" customHeight="1" outlineLevel="1">
      <c r="A101" s="5" t="str">
        <f t="shared" si="1"/>
        <v/>
      </c>
      <c r="B101" s="6"/>
      <c r="C101" s="7" t="str">
        <f t="array" ref="C101">IFS(B101="","",COUNTIF('Master Barang'!B:B,B101)=0,SUBSTITUTE(TRIM(B101)," ","-"),COUNTIF('Master Barang'!B:B,B101)=1,XLOOKUP(B101,'Master Barang'!B:B,'Master Barang'!C:C,,,1))</f>
        <v/>
      </c>
      <c r="D101" s="8"/>
      <c r="E101" s="9"/>
      <c r="G101" s="13"/>
      <c r="H101" s="7"/>
      <c r="I101" s="5" t="str">
        <f>IFERROR(__xludf.DUMMYFUNCTION("if(OR(B101="""",E101=""""),"""", LET(
  Nama, B101,
  SKU, C101,
  Estimasi, E101,
  QtyOrder, F101,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02" ht="15.75" hidden="1" customHeight="1" outlineLevel="1">
      <c r="A102" s="5" t="str">
        <f t="shared" si="1"/>
        <v/>
      </c>
      <c r="B102" s="6"/>
      <c r="C102" s="7" t="str">
        <f t="array" ref="C102">IFS(B102="","",COUNTIF('Master Barang'!B:B,B102)=0,SUBSTITUTE(TRIM(B102)," ","-"),COUNTIF('Master Barang'!B:B,B102)=1,XLOOKUP(B102,'Master Barang'!B:B,'Master Barang'!C:C,,,1))</f>
        <v/>
      </c>
      <c r="D102" s="8"/>
      <c r="E102" s="9"/>
      <c r="G102" s="13"/>
      <c r="H102" s="7"/>
      <c r="I102" s="5" t="str">
        <f>IFERROR(__xludf.DUMMYFUNCTION("if(OR(B102="""",E102=""""),"""", LET(
  Nama, B102,
  SKU, C102,
  Estimasi, E102,
  QtyOrder, F102,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03" ht="15.75" hidden="1" customHeight="1" outlineLevel="1">
      <c r="A103" s="5" t="str">
        <f t="shared" si="1"/>
        <v/>
      </c>
      <c r="B103" s="6"/>
      <c r="C103" s="7" t="str">
        <f t="array" ref="C103">IFS(B103="","",COUNTIF('Master Barang'!B:B,B103)=0,SUBSTITUTE(TRIM(B103)," ","-"),COUNTIF('Master Barang'!B:B,B103)=1,XLOOKUP(B103,'Master Barang'!B:B,'Master Barang'!C:C,,,1))</f>
        <v/>
      </c>
      <c r="D103" s="8"/>
      <c r="E103" s="9"/>
      <c r="G103" s="13"/>
      <c r="H103" s="7"/>
      <c r="I103" s="5" t="str">
        <f>IFERROR(__xludf.DUMMYFUNCTION("if(OR(B103="""",E103=""""),"""", LET(
  Nama, B103,
  SKU, C103,
  Estimasi, E103,
  QtyOrder, F103,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04" ht="15.75" hidden="1" customHeight="1" outlineLevel="1">
      <c r="A104" s="5" t="str">
        <f t="shared" si="1"/>
        <v/>
      </c>
      <c r="B104" s="6"/>
      <c r="C104" s="7" t="str">
        <f t="array" ref="C104">IFS(B104="","",COUNTIF('Master Barang'!B:B,B104)=0,SUBSTITUTE(TRIM(B104)," ","-"),COUNTIF('Master Barang'!B:B,B104)=1,XLOOKUP(B104,'Master Barang'!B:B,'Master Barang'!C:C,,,1))</f>
        <v/>
      </c>
      <c r="D104" s="8"/>
      <c r="E104" s="9"/>
      <c r="G104" s="13"/>
      <c r="H104" s="7"/>
      <c r="I104" s="5" t="str">
        <f>IFERROR(__xludf.DUMMYFUNCTION("if(OR(B104="""",E104=""""),"""", LET(
  Nama, B104,
  SKU, C104,
  Estimasi, E104,
  QtyOrder, F104,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05" ht="15.75" hidden="1" customHeight="1" outlineLevel="1">
      <c r="A105" s="5" t="str">
        <f t="shared" si="1"/>
        <v/>
      </c>
      <c r="B105" s="6"/>
      <c r="C105" s="7" t="str">
        <f t="array" ref="C105">IFS(B105="","",COUNTIF('Master Barang'!B:B,B105)=0,SUBSTITUTE(TRIM(B105)," ","-"),COUNTIF('Master Barang'!B:B,B105)=1,XLOOKUP(B105,'Master Barang'!B:B,'Master Barang'!C:C,,,1))</f>
        <v/>
      </c>
      <c r="D105" s="8"/>
      <c r="E105" s="9"/>
      <c r="G105" s="13"/>
      <c r="H105" s="7"/>
      <c r="I105" s="5" t="str">
        <f>IFERROR(__xludf.DUMMYFUNCTION("if(OR(B105="""",E105=""""),"""", LET(
  Nama, B105,
  SKU, C105,
  Estimasi, E105,
  QtyOrder, F105,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06" ht="15.75" hidden="1" customHeight="1" outlineLevel="1">
      <c r="A106" s="5" t="str">
        <f t="shared" si="1"/>
        <v/>
      </c>
      <c r="B106" s="6"/>
      <c r="C106" s="7" t="str">
        <f t="array" ref="C106">IFS(B106="","",COUNTIF('Master Barang'!B:B,B106)=0,SUBSTITUTE(TRIM(B106)," ","-"),COUNTIF('Master Barang'!B:B,B106)=1,XLOOKUP(B106,'Master Barang'!B:B,'Master Barang'!C:C,,,1))</f>
        <v/>
      </c>
      <c r="D106" s="8"/>
      <c r="E106" s="9"/>
      <c r="G106" s="13"/>
      <c r="H106" s="7"/>
      <c r="I106" s="5" t="str">
        <f>IFERROR(__xludf.DUMMYFUNCTION("if(OR(B106="""",E106=""""),"""", LET(
  Nama, B106,
  SKU, C106,
  Estimasi, E106,
  QtyOrder, F106,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07" ht="15.75" hidden="1" customHeight="1" outlineLevel="1">
      <c r="A107" s="5" t="str">
        <f t="shared" si="1"/>
        <v/>
      </c>
      <c r="B107" s="6"/>
      <c r="C107" s="7" t="str">
        <f t="array" ref="C107">IFS(B107="","",COUNTIF('Master Barang'!B:B,B107)=0,SUBSTITUTE(TRIM(B107)," ","-"),COUNTIF('Master Barang'!B:B,B107)=1,XLOOKUP(B107,'Master Barang'!B:B,'Master Barang'!C:C,,,1))</f>
        <v/>
      </c>
      <c r="D107" s="8"/>
      <c r="E107" s="9"/>
      <c r="G107" s="13"/>
      <c r="H107" s="7"/>
      <c r="I107" s="5" t="str">
        <f>IFERROR(__xludf.DUMMYFUNCTION("if(OR(B107="""",E107=""""),"""", LET(
  Nama, B107,
  SKU, C107,
  Estimasi, E107,
  QtyOrder, F107,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08" ht="15.75" hidden="1" customHeight="1" outlineLevel="1">
      <c r="A108" s="5" t="str">
        <f t="shared" si="1"/>
        <v/>
      </c>
      <c r="B108" s="6"/>
      <c r="C108" s="7" t="str">
        <f t="array" ref="C108">IFS(B108="","",COUNTIF('Master Barang'!B:B,B108)=0,SUBSTITUTE(TRIM(B108)," ","-"),COUNTIF('Master Barang'!B:B,B108)=1,XLOOKUP(B108,'Master Barang'!B:B,'Master Barang'!C:C,,,1))</f>
        <v/>
      </c>
      <c r="D108" s="8"/>
      <c r="E108" s="9"/>
      <c r="G108" s="13"/>
      <c r="H108" s="7"/>
      <c r="I108" s="5" t="str">
        <f>IFERROR(__xludf.DUMMYFUNCTION("if(OR(B108="""",E108=""""),"""", LET(
  Nama, B108,
  SKU, C108,
  Estimasi, E108,
  QtyOrder, F108,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09" ht="15.75" hidden="1" customHeight="1" outlineLevel="1">
      <c r="A109" s="5" t="str">
        <f t="shared" si="1"/>
        <v/>
      </c>
      <c r="B109" s="6"/>
      <c r="C109" s="7" t="str">
        <f t="array" ref="C109">IFS(B109="","",COUNTIF('Master Barang'!B:B,B109)=0,SUBSTITUTE(TRIM(B109)," ","-"),COUNTIF('Master Barang'!B:B,B109)=1,XLOOKUP(B109,'Master Barang'!B:B,'Master Barang'!C:C,,,1))</f>
        <v/>
      </c>
      <c r="D109" s="8"/>
      <c r="E109" s="9"/>
      <c r="G109" s="13"/>
      <c r="H109" s="7"/>
      <c r="I109" s="5" t="str">
        <f>IFERROR(__xludf.DUMMYFUNCTION("if(OR(B109="""",E109=""""),"""", LET(
  Nama, B109,
  SKU, C109,
  Estimasi, E109,
  QtyOrder, F109,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10" ht="15.75" hidden="1" customHeight="1" outlineLevel="1">
      <c r="A110" s="5" t="str">
        <f t="shared" si="1"/>
        <v/>
      </c>
      <c r="B110" s="6"/>
      <c r="C110" s="7" t="str">
        <f t="array" ref="C110">IFS(B110="","",COUNTIF('Master Barang'!B:B,B110)=0,SUBSTITUTE(TRIM(B110)," ","-"),COUNTIF('Master Barang'!B:B,B110)=1,XLOOKUP(B110,'Master Barang'!B:B,'Master Barang'!C:C,,,1))</f>
        <v/>
      </c>
      <c r="D110" s="8"/>
      <c r="E110" s="9"/>
      <c r="G110" s="13"/>
      <c r="H110" s="7"/>
      <c r="I110" s="5" t="str">
        <f>IFERROR(__xludf.DUMMYFUNCTION("if(OR(B110="""",E110=""""),"""", LET(
  Nama, B110,
  SKU, C110,
  Estimasi, E110,
  QtyOrder, F110,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11" ht="15.75" hidden="1" customHeight="1" outlineLevel="1">
      <c r="A111" s="5" t="str">
        <f t="shared" si="1"/>
        <v/>
      </c>
      <c r="B111" s="6"/>
      <c r="C111" s="7" t="str">
        <f t="array" ref="C111">IFS(B111="","",COUNTIF('Master Barang'!B:B,B111)=0,SUBSTITUTE(TRIM(B111)," ","-"),COUNTIF('Master Barang'!B:B,B111)=1,XLOOKUP(B111,'Master Barang'!B:B,'Master Barang'!C:C,,,1))</f>
        <v/>
      </c>
      <c r="D111" s="8"/>
      <c r="E111" s="9"/>
      <c r="G111" s="13"/>
      <c r="H111" s="7"/>
      <c r="I111" s="5" t="str">
        <f>IFERROR(__xludf.DUMMYFUNCTION("if(OR(B111="""",E111=""""),"""", LET(
  Nama, B111,
  SKU, C111,
  Estimasi, E111,
  QtyOrder, F111,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12" ht="15.75" hidden="1" customHeight="1" outlineLevel="1">
      <c r="A112" s="5" t="str">
        <f t="shared" si="1"/>
        <v/>
      </c>
      <c r="B112" s="6"/>
      <c r="C112" s="7" t="str">
        <f t="array" ref="C112">IFS(B112="","",COUNTIF('Master Barang'!B:B,B112)=0,SUBSTITUTE(TRIM(B112)," ","-"),COUNTIF('Master Barang'!B:B,B112)=1,XLOOKUP(B112,'Master Barang'!B:B,'Master Barang'!C:C,,,1))</f>
        <v/>
      </c>
      <c r="D112" s="8"/>
      <c r="E112" s="9"/>
      <c r="G112" s="13"/>
      <c r="H112" s="7"/>
      <c r="I112" s="5" t="str">
        <f>IFERROR(__xludf.DUMMYFUNCTION("if(OR(B112="""",E112=""""),"""", LET(
  Nama, B112,
  SKU, C112,
  Estimasi, E112,
  QtyOrder, F112,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13" ht="15.75" hidden="1" customHeight="1" outlineLevel="1">
      <c r="A113" s="5" t="str">
        <f t="shared" si="1"/>
        <v/>
      </c>
      <c r="B113" s="6"/>
      <c r="C113" s="7" t="str">
        <f t="array" ref="C113">IFS(B113="","",COUNTIF('Master Barang'!B:B,B113)=0,SUBSTITUTE(TRIM(B113)," ","-"),COUNTIF('Master Barang'!B:B,B113)=1,XLOOKUP(B113,'Master Barang'!B:B,'Master Barang'!C:C,,,1))</f>
        <v/>
      </c>
      <c r="D113" s="8"/>
      <c r="E113" s="9"/>
      <c r="G113" s="13"/>
      <c r="H113" s="7"/>
      <c r="I113" s="5" t="str">
        <f>IFERROR(__xludf.DUMMYFUNCTION("if(OR(B113="""",E113=""""),"""", LET(
  Nama, B113,
  SKU, C113,
  Estimasi, E113,
  QtyOrder, F113,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14" ht="15.75" hidden="1" customHeight="1" outlineLevel="1">
      <c r="A114" s="5" t="str">
        <f t="shared" si="1"/>
        <v/>
      </c>
      <c r="B114" s="6"/>
      <c r="C114" s="7" t="str">
        <f t="array" ref="C114">IFS(B114="","",COUNTIF('Master Barang'!B:B,B114)=0,SUBSTITUTE(TRIM(B114)," ","-"),COUNTIF('Master Barang'!B:B,B114)=1,XLOOKUP(B114,'Master Barang'!B:B,'Master Barang'!C:C,,,1))</f>
        <v/>
      </c>
      <c r="D114" s="8"/>
      <c r="E114" s="9"/>
      <c r="G114" s="13"/>
      <c r="H114" s="7"/>
      <c r="I114" s="5" t="str">
        <f>IFERROR(__xludf.DUMMYFUNCTION("if(OR(B114="""",E114=""""),"""", LET(
  Nama, B114,
  SKU, C114,
  Estimasi, E114,
  QtyOrder, F114,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15" ht="15.75" hidden="1" customHeight="1" outlineLevel="1">
      <c r="A115" s="5" t="str">
        <f t="shared" si="1"/>
        <v/>
      </c>
      <c r="B115" s="6"/>
      <c r="C115" s="7" t="str">
        <f t="array" ref="C115">IFS(B115="","",COUNTIF('Master Barang'!B:B,B115)=0,SUBSTITUTE(TRIM(B115)," ","-"),COUNTIF('Master Barang'!B:B,B115)=1,XLOOKUP(B115,'Master Barang'!B:B,'Master Barang'!C:C,,,1))</f>
        <v/>
      </c>
      <c r="D115" s="8"/>
      <c r="E115" s="9"/>
      <c r="G115" s="13"/>
      <c r="H115" s="7"/>
      <c r="I115" s="5" t="str">
        <f>IFERROR(__xludf.DUMMYFUNCTION("if(OR(B115="""",E115=""""),"""", LET(
  Nama, B115,
  SKU, C115,
  Estimasi, E115,
  QtyOrder, F115,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16" ht="15.75" hidden="1" customHeight="1" outlineLevel="1">
      <c r="A116" s="5" t="str">
        <f t="shared" si="1"/>
        <v/>
      </c>
      <c r="B116" s="6"/>
      <c r="C116" s="7" t="str">
        <f t="array" ref="C116">IFS(B116="","",COUNTIF('Master Barang'!B:B,B116)=0,SUBSTITUTE(TRIM(B116)," ","-"),COUNTIF('Master Barang'!B:B,B116)=1,XLOOKUP(B116,'Master Barang'!B:B,'Master Barang'!C:C,,,1))</f>
        <v/>
      </c>
      <c r="D116" s="8"/>
      <c r="E116" s="9"/>
      <c r="G116" s="13"/>
      <c r="H116" s="7"/>
      <c r="I116" s="5" t="str">
        <f>IFERROR(__xludf.DUMMYFUNCTION("if(OR(B116="""",E116=""""),"""", LET(
  Nama, B116,
  SKU, C116,
  Estimasi, E116,
  QtyOrder, F116,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17" ht="15.75" hidden="1" customHeight="1" outlineLevel="1">
      <c r="A117" s="5" t="str">
        <f t="shared" si="1"/>
        <v/>
      </c>
      <c r="B117" s="6"/>
      <c r="C117" s="7" t="str">
        <f t="array" ref="C117">IFS(B117="","",COUNTIF('Master Barang'!B:B,B117)=0,SUBSTITUTE(TRIM(B117)," ","-"),COUNTIF('Master Barang'!B:B,B117)=1,XLOOKUP(B117,'Master Barang'!B:B,'Master Barang'!C:C,,,1))</f>
        <v/>
      </c>
      <c r="D117" s="8"/>
      <c r="E117" s="9"/>
      <c r="G117" s="13"/>
      <c r="H117" s="7"/>
      <c r="I117" s="5" t="str">
        <f>IFERROR(__xludf.DUMMYFUNCTION("if(OR(B117="""",E117=""""),"""", LET(
  Nama, B117,
  SKU, C117,
  Estimasi, E117,
  QtyOrder, F117,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18" ht="15.75" hidden="1" customHeight="1" outlineLevel="1">
      <c r="A118" s="5" t="str">
        <f t="shared" si="1"/>
        <v/>
      </c>
      <c r="B118" s="6"/>
      <c r="C118" s="7" t="str">
        <f t="array" ref="C118">IFS(B118="","",COUNTIF('Master Barang'!B:B,B118)=0,SUBSTITUTE(TRIM(B118)," ","-"),COUNTIF('Master Barang'!B:B,B118)=1,XLOOKUP(B118,'Master Barang'!B:B,'Master Barang'!C:C,,,1))</f>
        <v/>
      </c>
      <c r="D118" s="8"/>
      <c r="E118" s="9"/>
      <c r="G118" s="13"/>
      <c r="H118" s="7"/>
      <c r="I118" s="5" t="str">
        <f>IFERROR(__xludf.DUMMYFUNCTION("if(OR(B118="""",E118=""""),"""", LET(
  Nama, B118,
  SKU, C118,
  Estimasi, E118,
  QtyOrder, F118,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19" ht="15.75" hidden="1" customHeight="1" outlineLevel="1">
      <c r="A119" s="5" t="str">
        <f t="shared" si="1"/>
        <v/>
      </c>
      <c r="B119" s="6"/>
      <c r="C119" s="7" t="str">
        <f t="array" ref="C119">IFS(B119="","",COUNTIF('Master Barang'!B:B,B119)=0,SUBSTITUTE(TRIM(B119)," ","-"),COUNTIF('Master Barang'!B:B,B119)=1,XLOOKUP(B119,'Master Barang'!B:B,'Master Barang'!C:C,,,1))</f>
        <v/>
      </c>
      <c r="D119" s="8"/>
      <c r="E119" s="9"/>
      <c r="G119" s="13"/>
      <c r="H119" s="7"/>
      <c r="I119" s="5" t="str">
        <f>IFERROR(__xludf.DUMMYFUNCTION("if(OR(B119="""",E119=""""),"""", LET(
  Nama, B119,
  SKU, C119,
  Estimasi, E119,
  QtyOrder, F119,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20" ht="15.75" hidden="1" customHeight="1" outlineLevel="1">
      <c r="A120" s="5" t="str">
        <f t="shared" si="1"/>
        <v/>
      </c>
      <c r="B120" s="6"/>
      <c r="C120" s="7" t="str">
        <f t="array" ref="C120">IFS(B120="","",COUNTIF('Master Barang'!B:B,B120)=0,SUBSTITUTE(TRIM(B120)," ","-"),COUNTIF('Master Barang'!B:B,B120)=1,XLOOKUP(B120,'Master Barang'!B:B,'Master Barang'!C:C,,,1))</f>
        <v/>
      </c>
      <c r="D120" s="8"/>
      <c r="E120" s="9"/>
      <c r="G120" s="13"/>
      <c r="H120" s="7"/>
      <c r="I120" s="5" t="str">
        <f>IFERROR(__xludf.DUMMYFUNCTION("if(OR(B120="""",E120=""""),"""", LET(
  Nama, B120,
  SKU, C120,
  Estimasi, E120,
  QtyOrder, F120,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21" ht="15.75" hidden="1" customHeight="1" outlineLevel="1">
      <c r="A121" s="5" t="str">
        <f t="shared" si="1"/>
        <v/>
      </c>
      <c r="B121" s="6"/>
      <c r="C121" s="7" t="str">
        <f t="array" ref="C121">IFS(B121="","",COUNTIF('Master Barang'!B:B,B121)=0,SUBSTITUTE(TRIM(B121)," ","-"),COUNTIF('Master Barang'!B:B,B121)=1,XLOOKUP(B121,'Master Barang'!B:B,'Master Barang'!C:C,,,1))</f>
        <v/>
      </c>
      <c r="D121" s="8"/>
      <c r="E121" s="9"/>
      <c r="G121" s="13"/>
      <c r="H121" s="7"/>
      <c r="I121" s="5" t="str">
        <f>IFERROR(__xludf.DUMMYFUNCTION("if(OR(B121="""",E121=""""),"""", LET(
  Nama, B121,
  SKU, C121,
  Estimasi, E121,
  QtyOrder, F121,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22" ht="15.75" hidden="1" customHeight="1" outlineLevel="1">
      <c r="A122" s="5" t="str">
        <f t="shared" si="1"/>
        <v/>
      </c>
      <c r="B122" s="6"/>
      <c r="C122" s="7" t="str">
        <f t="array" ref="C122">IFS(B122="","",COUNTIF('Master Barang'!B:B,B122)=0,SUBSTITUTE(TRIM(B122)," ","-"),COUNTIF('Master Barang'!B:B,B122)=1,XLOOKUP(B122,'Master Barang'!B:B,'Master Barang'!C:C,,,1))</f>
        <v/>
      </c>
      <c r="D122" s="8"/>
      <c r="E122" s="9"/>
      <c r="G122" s="13"/>
      <c r="H122" s="7"/>
      <c r="I122" s="5" t="str">
        <f>IFERROR(__xludf.DUMMYFUNCTION("if(OR(B122="""",E122=""""),"""", LET(
  Nama, B122,
  SKU, C122,
  Estimasi, E122,
  QtyOrder, F122,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23" ht="15.75" hidden="1" customHeight="1" outlineLevel="1">
      <c r="A123" s="5" t="str">
        <f t="shared" si="1"/>
        <v/>
      </c>
      <c r="B123" s="6"/>
      <c r="C123" s="7" t="str">
        <f t="array" ref="C123">IFS(B123="","",COUNTIF('Master Barang'!B:B,B123)=0,SUBSTITUTE(TRIM(B123)," ","-"),COUNTIF('Master Barang'!B:B,B123)=1,XLOOKUP(B123,'Master Barang'!B:B,'Master Barang'!C:C,,,1))</f>
        <v/>
      </c>
      <c r="D123" s="8"/>
      <c r="E123" s="9"/>
      <c r="G123" s="13"/>
      <c r="H123" s="7"/>
      <c r="I123" s="5" t="str">
        <f>IFERROR(__xludf.DUMMYFUNCTION("if(OR(B123="""",E123=""""),"""", LET(
  Nama, B123,
  SKU, C123,
  Estimasi, E123,
  QtyOrder, F123,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24" ht="15.75" hidden="1" customHeight="1" outlineLevel="1">
      <c r="A124" s="5" t="str">
        <f t="shared" si="1"/>
        <v/>
      </c>
      <c r="B124" s="6"/>
      <c r="C124" s="7" t="str">
        <f t="array" ref="C124">IFS(B124="","",COUNTIF('Master Barang'!B:B,B124)=0,SUBSTITUTE(TRIM(B124)," ","-"),COUNTIF('Master Barang'!B:B,B124)=1,XLOOKUP(B124,'Master Barang'!B:B,'Master Barang'!C:C,,,1))</f>
        <v/>
      </c>
      <c r="D124" s="8"/>
      <c r="E124" s="9"/>
      <c r="G124" s="13"/>
      <c r="H124" s="7"/>
      <c r="I124" s="5" t="str">
        <f>IFERROR(__xludf.DUMMYFUNCTION("if(OR(B124="""",E124=""""),"""", LET(
  Nama, B124,
  SKU, C124,
  Estimasi, E124,
  QtyOrder, F124,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25" ht="15.75" hidden="1" customHeight="1" outlineLevel="1">
      <c r="A125" s="5" t="str">
        <f t="shared" si="1"/>
        <v/>
      </c>
      <c r="B125" s="6"/>
      <c r="C125" s="7" t="str">
        <f t="array" ref="C125">IFS(B125="","",COUNTIF('Master Barang'!B:B,B125)=0,SUBSTITUTE(TRIM(B125)," ","-"),COUNTIF('Master Barang'!B:B,B125)=1,XLOOKUP(B125,'Master Barang'!B:B,'Master Barang'!C:C,,,1))</f>
        <v/>
      </c>
      <c r="D125" s="8"/>
      <c r="E125" s="9"/>
      <c r="G125" s="13"/>
      <c r="H125" s="7"/>
      <c r="I125" s="5" t="str">
        <f>IFERROR(__xludf.DUMMYFUNCTION("if(OR(B125="""",E125=""""),"""", LET(
  Nama, B125,
  SKU, C125,
  Estimasi, E125,
  QtyOrder, F125,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26" ht="15.75" hidden="1" customHeight="1" outlineLevel="1">
      <c r="A126" s="5" t="str">
        <f t="shared" si="1"/>
        <v/>
      </c>
      <c r="B126" s="6"/>
      <c r="C126" s="7" t="str">
        <f t="array" ref="C126">IFS(B126="","",COUNTIF('Master Barang'!B:B,B126)=0,SUBSTITUTE(TRIM(B126)," ","-"),COUNTIF('Master Barang'!B:B,B126)=1,XLOOKUP(B126,'Master Barang'!B:B,'Master Barang'!C:C,,,1))</f>
        <v/>
      </c>
      <c r="D126" s="8"/>
      <c r="E126" s="9"/>
      <c r="G126" s="13"/>
      <c r="H126" s="7"/>
      <c r="I126" s="5" t="str">
        <f>IFERROR(__xludf.DUMMYFUNCTION("if(OR(B126="""",E126=""""),"""", LET(
  Nama, B126,
  SKU, C126,
  Estimasi, E126,
  QtyOrder, F126,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27" ht="15.75" hidden="1" customHeight="1" outlineLevel="1">
      <c r="A127" s="5" t="str">
        <f t="shared" si="1"/>
        <v/>
      </c>
      <c r="B127" s="6"/>
      <c r="C127" s="7" t="str">
        <f t="array" ref="C127">IFS(B127="","",COUNTIF('Master Barang'!B:B,B127)=0,SUBSTITUTE(TRIM(B127)," ","-"),COUNTIF('Master Barang'!B:B,B127)=1,XLOOKUP(B127,'Master Barang'!B:B,'Master Barang'!C:C,,,1))</f>
        <v/>
      </c>
      <c r="D127" s="8"/>
      <c r="E127" s="9"/>
      <c r="G127" s="13"/>
      <c r="H127" s="7"/>
      <c r="I127" s="5" t="str">
        <f>IFERROR(__xludf.DUMMYFUNCTION("if(OR(B127="""",E127=""""),"""", LET(
  Nama, B127,
  SKU, C127,
  Estimasi, E127,
  QtyOrder, F127,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28" ht="15.75" hidden="1" customHeight="1" outlineLevel="1">
      <c r="A128" s="5" t="str">
        <f t="shared" si="1"/>
        <v/>
      </c>
      <c r="B128" s="6"/>
      <c r="C128" s="7" t="str">
        <f t="array" ref="C128">IFS(B128="","",COUNTIF('Master Barang'!B:B,B128)=0,SUBSTITUTE(TRIM(B128)," ","-"),COUNTIF('Master Barang'!B:B,B128)=1,XLOOKUP(B128,'Master Barang'!B:B,'Master Barang'!C:C,,,1))</f>
        <v/>
      </c>
      <c r="D128" s="8"/>
      <c r="E128" s="9"/>
      <c r="G128" s="13"/>
      <c r="H128" s="7"/>
      <c r="I128" s="5" t="str">
        <f>IFERROR(__xludf.DUMMYFUNCTION("if(OR(B128="""",E128=""""),"""", LET(
  Nama, B128,
  SKU, C128,
  Estimasi, E128,
  QtyOrder, F128,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29" ht="15.75" hidden="1" customHeight="1" outlineLevel="1">
      <c r="A129" s="5" t="str">
        <f t="shared" si="1"/>
        <v/>
      </c>
      <c r="B129" s="6"/>
      <c r="C129" s="7" t="str">
        <f t="array" ref="C129">IFS(B129="","",COUNTIF('Master Barang'!B:B,B129)=0,SUBSTITUTE(TRIM(B129)," ","-"),COUNTIF('Master Barang'!B:B,B129)=1,XLOOKUP(B129,'Master Barang'!B:B,'Master Barang'!C:C,,,1))</f>
        <v/>
      </c>
      <c r="D129" s="8"/>
      <c r="E129" s="9"/>
      <c r="G129" s="13"/>
      <c r="H129" s="7"/>
      <c r="I129" s="5" t="str">
        <f>IFERROR(__xludf.DUMMYFUNCTION("if(OR(B129="""",E129=""""),"""", LET(
  Nama, B129,
  SKU, C129,
  Estimasi, E129,
  QtyOrder, F129,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30" ht="15.75" hidden="1" customHeight="1" outlineLevel="1">
      <c r="A130" s="5" t="str">
        <f t="shared" si="1"/>
        <v/>
      </c>
      <c r="B130" s="6"/>
      <c r="C130" s="7" t="str">
        <f t="array" ref="C130">IFS(B130="","",COUNTIF('Master Barang'!B:B,B130)=0,SUBSTITUTE(TRIM(B130)," ","-"),COUNTIF('Master Barang'!B:B,B130)=1,XLOOKUP(B130,'Master Barang'!B:B,'Master Barang'!C:C,,,1))</f>
        <v/>
      </c>
      <c r="D130" s="8"/>
      <c r="E130" s="9"/>
      <c r="G130" s="13"/>
      <c r="H130" s="7"/>
      <c r="I130" s="5" t="str">
        <f>IFERROR(__xludf.DUMMYFUNCTION("if(OR(B130="""",E130=""""),"""", LET(
  Nama, B130,
  SKU, C130,
  Estimasi, E130,
  QtyOrder, F130,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31" ht="15.75" hidden="1" customHeight="1" outlineLevel="1">
      <c r="A131" s="5" t="str">
        <f t="shared" si="1"/>
        <v/>
      </c>
      <c r="B131" s="6"/>
      <c r="C131" s="7" t="str">
        <f t="array" ref="C131">IFS(B131="","",COUNTIF('Master Barang'!B:B,B131)=0,SUBSTITUTE(TRIM(B131)," ","-"),COUNTIF('Master Barang'!B:B,B131)=1,XLOOKUP(B131,'Master Barang'!B:B,'Master Barang'!C:C,,,1))</f>
        <v/>
      </c>
      <c r="D131" s="8"/>
      <c r="E131" s="9"/>
      <c r="G131" s="13"/>
      <c r="H131" s="7"/>
      <c r="I131" s="5" t="str">
        <f>IFERROR(__xludf.DUMMYFUNCTION("if(OR(B131="""",E131=""""),"""", LET(
  Nama, B131,
  SKU, C131,
  Estimasi, E131,
  QtyOrder, F131,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32" ht="15.75" hidden="1" customHeight="1" outlineLevel="1">
      <c r="A132" s="5" t="str">
        <f t="shared" si="1"/>
        <v/>
      </c>
      <c r="B132" s="6"/>
      <c r="C132" s="7" t="str">
        <f t="array" ref="C132">IFS(B132="","",COUNTIF('Master Barang'!B:B,B132)=0,SUBSTITUTE(TRIM(B132)," ","-"),COUNTIF('Master Barang'!B:B,B132)=1,XLOOKUP(B132,'Master Barang'!B:B,'Master Barang'!C:C,,,1))</f>
        <v/>
      </c>
      <c r="D132" s="8"/>
      <c r="E132" s="9"/>
      <c r="G132" s="13"/>
      <c r="H132" s="7"/>
      <c r="I132" s="5" t="str">
        <f>IFERROR(__xludf.DUMMYFUNCTION("if(OR(B132="""",E132=""""),"""", LET(
  Nama, B132,
  SKU, C132,
  Estimasi, E132,
  QtyOrder, F132,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33" ht="15.75" hidden="1" customHeight="1" outlineLevel="1">
      <c r="A133" s="5" t="str">
        <f t="shared" si="1"/>
        <v/>
      </c>
      <c r="B133" s="6"/>
      <c r="C133" s="7" t="str">
        <f t="array" ref="C133">IFS(B133="","",COUNTIF('Master Barang'!B:B,B133)=0,SUBSTITUTE(TRIM(B133)," ","-"),COUNTIF('Master Barang'!B:B,B133)=1,XLOOKUP(B133,'Master Barang'!B:B,'Master Barang'!C:C,,,1))</f>
        <v/>
      </c>
      <c r="D133" s="8"/>
      <c r="E133" s="9"/>
      <c r="G133" s="13"/>
      <c r="H133" s="7"/>
      <c r="I133" s="5" t="str">
        <f>IFERROR(__xludf.DUMMYFUNCTION("if(OR(B133="""",E133=""""),"""", LET(
  Nama, B133,
  SKU, C133,
  Estimasi, E133,
  QtyOrder, F133,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34" ht="15.75" hidden="1" customHeight="1" outlineLevel="1">
      <c r="A134" s="5" t="str">
        <f t="shared" si="1"/>
        <v/>
      </c>
      <c r="B134" s="6"/>
      <c r="C134" s="7" t="str">
        <f t="array" ref="C134">IFS(B134="","",COUNTIF('Master Barang'!B:B,B134)=0,SUBSTITUTE(TRIM(B134)," ","-"),COUNTIF('Master Barang'!B:B,B134)=1,XLOOKUP(B134,'Master Barang'!B:B,'Master Barang'!C:C,,,1))</f>
        <v/>
      </c>
      <c r="D134" s="8"/>
      <c r="E134" s="9"/>
      <c r="G134" s="13"/>
      <c r="H134" s="7"/>
      <c r="I134" s="5" t="str">
        <f>IFERROR(__xludf.DUMMYFUNCTION("if(OR(B134="""",E134=""""),"""", LET(
  Nama, B134,
  SKU, C134,
  Estimasi, E134,
  QtyOrder, F134,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35" ht="15.75" hidden="1" customHeight="1" outlineLevel="1">
      <c r="A135" s="5" t="str">
        <f t="shared" si="1"/>
        <v/>
      </c>
      <c r="B135" s="6"/>
      <c r="C135" s="7" t="str">
        <f t="array" ref="C135">IFS(B135="","",COUNTIF('Master Barang'!B:B,B135)=0,SUBSTITUTE(TRIM(B135)," ","-"),COUNTIF('Master Barang'!B:B,B135)=1,XLOOKUP(B135,'Master Barang'!B:B,'Master Barang'!C:C,,,1))</f>
        <v/>
      </c>
      <c r="D135" s="8"/>
      <c r="E135" s="9"/>
      <c r="G135" s="13"/>
      <c r="H135" s="7"/>
      <c r="I135" s="5" t="str">
        <f>IFERROR(__xludf.DUMMYFUNCTION("if(OR(B135="""",E135=""""),"""", LET(
  Nama, B135,
  SKU, C135,
  Estimasi, E135,
  QtyOrder, F135,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36" ht="15.75" hidden="1" customHeight="1" outlineLevel="1">
      <c r="A136" s="5" t="str">
        <f t="shared" si="1"/>
        <v/>
      </c>
      <c r="B136" s="6"/>
      <c r="C136" s="7" t="str">
        <f t="array" ref="C136">IFS(B136="","",COUNTIF('Master Barang'!B:B,B136)=0,SUBSTITUTE(TRIM(B136)," ","-"),COUNTIF('Master Barang'!B:B,B136)=1,XLOOKUP(B136,'Master Barang'!B:B,'Master Barang'!C:C,,,1))</f>
        <v/>
      </c>
      <c r="D136" s="8"/>
      <c r="E136" s="9"/>
      <c r="G136" s="13"/>
      <c r="H136" s="7"/>
      <c r="I136" s="5" t="str">
        <f>IFERROR(__xludf.DUMMYFUNCTION("if(OR(B136="""",E136=""""),"""", LET(
  Nama, B136,
  SKU, C136,
  Estimasi, E136,
  QtyOrder, F136,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37" ht="15.75" hidden="1" customHeight="1" outlineLevel="1">
      <c r="A137" s="5" t="str">
        <f t="shared" si="1"/>
        <v/>
      </c>
      <c r="B137" s="6"/>
      <c r="C137" s="7" t="str">
        <f t="array" ref="C137">IFS(B137="","",COUNTIF('Master Barang'!B:B,B137)=0,SUBSTITUTE(TRIM(B137)," ","-"),COUNTIF('Master Barang'!B:B,B137)=1,XLOOKUP(B137,'Master Barang'!B:B,'Master Barang'!C:C,,,1))</f>
        <v/>
      </c>
      <c r="D137" s="8"/>
      <c r="E137" s="9"/>
      <c r="G137" s="13"/>
      <c r="H137" s="7"/>
      <c r="I137" s="5" t="str">
        <f>IFERROR(__xludf.DUMMYFUNCTION("if(OR(B137="""",E137=""""),"""", LET(
  Nama, B137,
  SKU, C137,
  Estimasi, E137,
  QtyOrder, F137,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38" ht="15.75" hidden="1" customHeight="1" outlineLevel="1">
      <c r="A138" s="5" t="str">
        <f t="shared" si="1"/>
        <v/>
      </c>
      <c r="B138" s="6"/>
      <c r="C138" s="7" t="str">
        <f t="array" ref="C138">IFS(B138="","",COUNTIF('Master Barang'!B:B,B138)=0,SUBSTITUTE(TRIM(B138)," ","-"),COUNTIF('Master Barang'!B:B,B138)=1,XLOOKUP(B138,'Master Barang'!B:B,'Master Barang'!C:C,,,1))</f>
        <v/>
      </c>
      <c r="D138" s="8"/>
      <c r="E138" s="9"/>
      <c r="G138" s="13"/>
      <c r="H138" s="7"/>
      <c r="I138" s="5" t="str">
        <f>IFERROR(__xludf.DUMMYFUNCTION("if(OR(B138="""",E138=""""),"""", LET(
  Nama, B138,
  SKU, C138,
  Estimasi, E138,
  QtyOrder, F138,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39" ht="15.75" hidden="1" customHeight="1" outlineLevel="1">
      <c r="A139" s="5" t="str">
        <f t="shared" si="1"/>
        <v/>
      </c>
      <c r="B139" s="6"/>
      <c r="C139" s="7" t="str">
        <f t="array" ref="C139">IFS(B139="","",COUNTIF('Master Barang'!B:B,B139)=0,SUBSTITUTE(TRIM(B139)," ","-"),COUNTIF('Master Barang'!B:B,B139)=1,XLOOKUP(B139,'Master Barang'!B:B,'Master Barang'!C:C,,,1))</f>
        <v/>
      </c>
      <c r="D139" s="8"/>
      <c r="E139" s="9"/>
      <c r="G139" s="13"/>
      <c r="H139" s="7"/>
      <c r="I139" s="5" t="str">
        <f>IFERROR(__xludf.DUMMYFUNCTION("if(OR(B139="""",E139=""""),"""", LET(
  Nama, B139,
  SKU, C139,
  Estimasi, E139,
  QtyOrder, F139,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40" ht="15.75" hidden="1" customHeight="1" outlineLevel="1">
      <c r="A140" s="5" t="str">
        <f t="shared" si="1"/>
        <v/>
      </c>
      <c r="B140" s="6"/>
      <c r="C140" s="7" t="str">
        <f t="array" ref="C140">IFS(B140="","",COUNTIF('Master Barang'!B:B,B140)=0,SUBSTITUTE(TRIM(B140)," ","-"),COUNTIF('Master Barang'!B:B,B140)=1,XLOOKUP(B140,'Master Barang'!B:B,'Master Barang'!C:C,,,1))</f>
        <v/>
      </c>
      <c r="D140" s="8"/>
      <c r="E140" s="9"/>
      <c r="G140" s="13"/>
      <c r="H140" s="7"/>
      <c r="I140" s="5" t="str">
        <f>IFERROR(__xludf.DUMMYFUNCTION("if(OR(B140="""",E140=""""),"""", LET(
  Nama, B140,
  SKU, C140,
  Estimasi, E140,
  QtyOrder, F140,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41" ht="15.75" hidden="1" customHeight="1" outlineLevel="1">
      <c r="A141" s="5" t="str">
        <f t="shared" si="1"/>
        <v/>
      </c>
      <c r="B141" s="6"/>
      <c r="C141" s="7" t="str">
        <f t="array" ref="C141">IFS(B141="","",COUNTIF('Master Barang'!B:B,B141)=0,SUBSTITUTE(TRIM(B141)," ","-"),COUNTIF('Master Barang'!B:B,B141)=1,XLOOKUP(B141,'Master Barang'!B:B,'Master Barang'!C:C,,,1))</f>
        <v/>
      </c>
      <c r="D141" s="8"/>
      <c r="E141" s="9"/>
      <c r="G141" s="13"/>
      <c r="H141" s="7"/>
      <c r="I141" s="5" t="str">
        <f>IFERROR(__xludf.DUMMYFUNCTION("if(OR(B141="""",E141=""""),"""", LET(
  Nama, B141,
  SKU, C141,
  Estimasi, E141,
  QtyOrder, F141,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42" ht="15.75" hidden="1" customHeight="1" outlineLevel="1">
      <c r="A142" s="5" t="str">
        <f t="shared" si="1"/>
        <v/>
      </c>
      <c r="B142" s="6"/>
      <c r="C142" s="7" t="str">
        <f t="array" ref="C142">IFS(B142="","",COUNTIF('Master Barang'!B:B,B142)=0,SUBSTITUTE(TRIM(B142)," ","-"),COUNTIF('Master Barang'!B:B,B142)=1,XLOOKUP(B142,'Master Barang'!B:B,'Master Barang'!C:C,,,1))</f>
        <v/>
      </c>
      <c r="D142" s="8"/>
      <c r="E142" s="9"/>
      <c r="G142" s="13"/>
      <c r="H142" s="7"/>
      <c r="I142" s="5" t="str">
        <f>IFERROR(__xludf.DUMMYFUNCTION("if(OR(B142="""",E142=""""),"""", LET(
  Nama, B142,
  SKU, C142,
  Estimasi, E142,
  QtyOrder, F142,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43" ht="15.75" hidden="1" customHeight="1" outlineLevel="1">
      <c r="A143" s="5" t="str">
        <f t="shared" si="1"/>
        <v/>
      </c>
      <c r="B143" s="6"/>
      <c r="C143" s="7" t="str">
        <f t="array" ref="C143">IFS(B143="","",COUNTIF('Master Barang'!B:B,B143)=0,SUBSTITUTE(TRIM(B143)," ","-"),COUNTIF('Master Barang'!B:B,B143)=1,XLOOKUP(B143,'Master Barang'!B:B,'Master Barang'!C:C,,,1))</f>
        <v/>
      </c>
      <c r="D143" s="8"/>
      <c r="E143" s="9"/>
      <c r="G143" s="13"/>
      <c r="H143" s="7"/>
      <c r="I143" s="5" t="str">
        <f>IFERROR(__xludf.DUMMYFUNCTION("if(OR(B143="""",E143=""""),"""", LET(
  Nama, B143,
  SKU, C143,
  Estimasi, E143,
  QtyOrder, F143,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44" ht="15.75" hidden="1" customHeight="1" outlineLevel="1">
      <c r="A144" s="5" t="str">
        <f t="shared" si="1"/>
        <v/>
      </c>
      <c r="B144" s="6"/>
      <c r="C144" s="7" t="str">
        <f t="array" ref="C144">IFS(B144="","",COUNTIF('Master Barang'!B:B,B144)=0,SUBSTITUTE(TRIM(B144)," ","-"),COUNTIF('Master Barang'!B:B,B144)=1,XLOOKUP(B144,'Master Barang'!B:B,'Master Barang'!C:C,,,1))</f>
        <v/>
      </c>
      <c r="D144" s="8"/>
      <c r="E144" s="9"/>
      <c r="G144" s="13"/>
      <c r="H144" s="7"/>
      <c r="I144" s="5" t="str">
        <f>IFERROR(__xludf.DUMMYFUNCTION("if(OR(B144="""",E144=""""),"""", LET(
  Nama, B144,
  SKU, C144,
  Estimasi, E144,
  QtyOrder, F144,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45" ht="15.75" hidden="1" customHeight="1" outlineLevel="1">
      <c r="A145" s="5" t="str">
        <f t="shared" si="1"/>
        <v/>
      </c>
      <c r="B145" s="6"/>
      <c r="C145" s="7" t="str">
        <f t="array" ref="C145">IFS(B145="","",COUNTIF('Master Barang'!B:B,B145)=0,SUBSTITUTE(TRIM(B145)," ","-"),COUNTIF('Master Barang'!B:B,B145)=1,XLOOKUP(B145,'Master Barang'!B:B,'Master Barang'!C:C,,,1))</f>
        <v/>
      </c>
      <c r="D145" s="8"/>
      <c r="E145" s="9"/>
      <c r="G145" s="13"/>
      <c r="H145" s="7"/>
      <c r="I145" s="5" t="str">
        <f>IFERROR(__xludf.DUMMYFUNCTION("if(OR(B145="""",E145=""""),"""", LET(
  Nama, B145,
  SKU, C145,
  Estimasi, E145,
  QtyOrder, F145,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46" ht="15.75" hidden="1" customHeight="1" outlineLevel="1">
      <c r="A146" s="5" t="str">
        <f t="shared" si="1"/>
        <v/>
      </c>
      <c r="B146" s="6"/>
      <c r="C146" s="7" t="str">
        <f t="array" ref="C146">IFS(B146="","",COUNTIF('Master Barang'!B:B,B146)=0,SUBSTITUTE(TRIM(B146)," ","-"),COUNTIF('Master Barang'!B:B,B146)=1,XLOOKUP(B146,'Master Barang'!B:B,'Master Barang'!C:C,,,1))</f>
        <v/>
      </c>
      <c r="D146" s="8"/>
      <c r="E146" s="9"/>
      <c r="G146" s="13"/>
      <c r="H146" s="7"/>
      <c r="I146" s="5" t="str">
        <f>IFERROR(__xludf.DUMMYFUNCTION("if(OR(B146="""",E146=""""),"""", LET(
  Nama, B146,
  SKU, C146,
  Estimasi, E146,
  QtyOrder, F146,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47" ht="15.75" hidden="1" customHeight="1" outlineLevel="1">
      <c r="A147" s="5" t="str">
        <f t="shared" si="1"/>
        <v/>
      </c>
      <c r="B147" s="6"/>
      <c r="C147" s="7" t="str">
        <f t="array" ref="C147">IFS(B147="","",COUNTIF('Master Barang'!B:B,B147)=0,SUBSTITUTE(TRIM(B147)," ","-"),COUNTIF('Master Barang'!B:B,B147)=1,XLOOKUP(B147,'Master Barang'!B:B,'Master Barang'!C:C,,,1))</f>
        <v/>
      </c>
      <c r="D147" s="8"/>
      <c r="E147" s="9"/>
      <c r="G147" s="13"/>
      <c r="H147" s="7"/>
      <c r="I147" s="5" t="str">
        <f>IFERROR(__xludf.DUMMYFUNCTION("if(OR(B147="""",E147=""""),"""", LET(
  Nama, B147,
  SKU, C147,
  Estimasi, E147,
  QtyOrder, F147,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48" ht="15.75" hidden="1" customHeight="1" outlineLevel="1">
      <c r="A148" s="5" t="str">
        <f t="shared" si="1"/>
        <v/>
      </c>
      <c r="B148" s="6"/>
      <c r="C148" s="7" t="str">
        <f t="array" ref="C148">IFS(B148="","",COUNTIF('Master Barang'!B:B,B148)=0,SUBSTITUTE(TRIM(B148)," ","-"),COUNTIF('Master Barang'!B:B,B148)=1,XLOOKUP(B148,'Master Barang'!B:B,'Master Barang'!C:C,,,1))</f>
        <v/>
      </c>
      <c r="D148" s="8"/>
      <c r="E148" s="9"/>
      <c r="G148" s="13"/>
      <c r="H148" s="7"/>
      <c r="I148" s="5" t="str">
        <f>IFERROR(__xludf.DUMMYFUNCTION("if(OR(B148="""",E148=""""),"""", LET(
  Nama, B148,
  SKU, C148,
  Estimasi, E148,
  QtyOrder, F148,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49" ht="15.75" hidden="1" customHeight="1" outlineLevel="1">
      <c r="A149" s="5" t="str">
        <f t="shared" si="1"/>
        <v/>
      </c>
      <c r="B149" s="6"/>
      <c r="C149" s="7" t="str">
        <f t="array" ref="C149">IFS(B149="","",COUNTIF('Master Barang'!B:B,B149)=0,SUBSTITUTE(TRIM(B149)," ","-"),COUNTIF('Master Barang'!B:B,B149)=1,XLOOKUP(B149,'Master Barang'!B:B,'Master Barang'!C:C,,,1))</f>
        <v/>
      </c>
      <c r="D149" s="8"/>
      <c r="E149" s="9"/>
      <c r="G149" s="13"/>
      <c r="H149" s="7"/>
      <c r="I149" s="5" t="str">
        <f>IFERROR(__xludf.DUMMYFUNCTION("if(OR(B149="""",E149=""""),"""", LET(
  Nama, B149,
  SKU, C149,
  Estimasi, E149,
  QtyOrder, F149,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50" ht="15.75" hidden="1" customHeight="1" outlineLevel="1">
      <c r="A150" s="5" t="str">
        <f t="shared" si="1"/>
        <v/>
      </c>
      <c r="B150" s="6"/>
      <c r="C150" s="7" t="str">
        <f t="array" ref="C150">IFS(B150="","",COUNTIF('Master Barang'!B:B,B150)=0,SUBSTITUTE(TRIM(B150)," ","-"),COUNTIF('Master Barang'!B:B,B150)=1,XLOOKUP(B150,'Master Barang'!B:B,'Master Barang'!C:C,,,1))</f>
        <v/>
      </c>
      <c r="D150" s="8"/>
      <c r="E150" s="9"/>
      <c r="G150" s="13"/>
      <c r="H150" s="7"/>
      <c r="I150" s="5" t="str">
        <f>IFERROR(__xludf.DUMMYFUNCTION("if(OR(B150="""",E150=""""),"""", LET(
  Nama, B150,
  SKU, C150,
  Estimasi, E150,
  QtyOrder, F150,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51" ht="15.75" hidden="1" customHeight="1" outlineLevel="1">
      <c r="A151" s="5" t="str">
        <f t="shared" si="1"/>
        <v/>
      </c>
      <c r="B151" s="6"/>
      <c r="C151" s="7" t="str">
        <f t="array" ref="C151">IFS(B151="","",COUNTIF('Master Barang'!B:B,B151)=0,SUBSTITUTE(TRIM(B151)," ","-"),COUNTIF('Master Barang'!B:B,B151)=1,XLOOKUP(B151,'Master Barang'!B:B,'Master Barang'!C:C,,,1))</f>
        <v/>
      </c>
      <c r="D151" s="8"/>
      <c r="E151" s="9"/>
      <c r="G151" s="13"/>
      <c r="H151" s="7"/>
      <c r="I151" s="5" t="str">
        <f>IFERROR(__xludf.DUMMYFUNCTION("if(OR(B151="""",E151=""""),"""", LET(
  Nama, B151,
  SKU, C151,
  Estimasi, E151,
  QtyOrder, F151,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52" ht="15.75" hidden="1" customHeight="1" outlineLevel="1">
      <c r="A152" s="5" t="str">
        <f t="shared" si="1"/>
        <v/>
      </c>
      <c r="B152" s="6"/>
      <c r="C152" s="7" t="str">
        <f t="array" ref="C152">IFS(B152="","",COUNTIF('Master Barang'!B:B,B152)=0,SUBSTITUTE(TRIM(B152)," ","-"),COUNTIF('Master Barang'!B:B,B152)=1,XLOOKUP(B152,'Master Barang'!B:B,'Master Barang'!C:C,,,1))</f>
        <v/>
      </c>
      <c r="D152" s="8"/>
      <c r="E152" s="9"/>
      <c r="G152" s="13"/>
      <c r="H152" s="7"/>
      <c r="I152" s="5" t="str">
        <f>IFERROR(__xludf.DUMMYFUNCTION("if(OR(B152="""",E152=""""),"""", LET(
  Nama, B152,
  SKU, C152,
  Estimasi, E152,
  QtyOrder, F152,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53" ht="15.75" hidden="1" customHeight="1" outlineLevel="1">
      <c r="A153" s="5" t="str">
        <f t="shared" si="1"/>
        <v/>
      </c>
      <c r="B153" s="6"/>
      <c r="C153" s="7" t="str">
        <f t="array" ref="C153">IFS(B153="","",COUNTIF('Master Barang'!B:B,B153)=0,SUBSTITUTE(TRIM(B153)," ","-"),COUNTIF('Master Barang'!B:B,B153)=1,XLOOKUP(B153,'Master Barang'!B:B,'Master Barang'!C:C,,,1))</f>
        <v/>
      </c>
      <c r="D153" s="8"/>
      <c r="E153" s="9"/>
      <c r="G153" s="13"/>
      <c r="H153" s="7"/>
      <c r="I153" s="5" t="str">
        <f>IFERROR(__xludf.DUMMYFUNCTION("if(OR(B153="""",E153=""""),"""", LET(
  Nama, B153,
  SKU, C153,
  Estimasi, E153,
  QtyOrder, F153,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54" ht="15.75" hidden="1" customHeight="1" outlineLevel="1">
      <c r="A154" s="5" t="str">
        <f t="shared" si="1"/>
        <v/>
      </c>
      <c r="B154" s="6"/>
      <c r="C154" s="7" t="str">
        <f t="array" ref="C154">IFS(B154="","",COUNTIF('Master Barang'!B:B,B154)=0,SUBSTITUTE(TRIM(B154)," ","-"),COUNTIF('Master Barang'!B:B,B154)=1,XLOOKUP(B154,'Master Barang'!B:B,'Master Barang'!C:C,,,1))</f>
        <v/>
      </c>
      <c r="D154" s="8"/>
      <c r="E154" s="9"/>
      <c r="G154" s="13"/>
      <c r="H154" s="7"/>
      <c r="I154" s="5" t="str">
        <f>IFERROR(__xludf.DUMMYFUNCTION("if(OR(B154="""",E154=""""),"""", LET(
  Nama, B154,
  SKU, C154,
  Estimasi, E154,
  QtyOrder, F154,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55" ht="15.75" hidden="1" customHeight="1" outlineLevel="1">
      <c r="A155" s="5" t="str">
        <f t="shared" si="1"/>
        <v/>
      </c>
      <c r="B155" s="6"/>
      <c r="C155" s="7" t="str">
        <f t="array" ref="C155">IFS(B155="","",COUNTIF('Master Barang'!B:B,B155)=0,SUBSTITUTE(TRIM(B155)," ","-"),COUNTIF('Master Barang'!B:B,B155)=1,XLOOKUP(B155,'Master Barang'!B:B,'Master Barang'!C:C,,,1))</f>
        <v/>
      </c>
      <c r="D155" s="8"/>
      <c r="E155" s="9"/>
      <c r="G155" s="13"/>
      <c r="H155" s="7"/>
      <c r="I155" s="5" t="str">
        <f>IFERROR(__xludf.DUMMYFUNCTION("if(OR(B155="""",E155=""""),"""", LET(
  Nama, B155,
  SKU, C155,
  Estimasi, E155,
  QtyOrder, F155,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56" ht="15.75" hidden="1" customHeight="1" outlineLevel="1">
      <c r="A156" s="5" t="str">
        <f t="shared" si="1"/>
        <v/>
      </c>
      <c r="B156" s="6"/>
      <c r="C156" s="7" t="str">
        <f t="array" ref="C156">IFS(B156="","",COUNTIF('Master Barang'!B:B,B156)=0,SUBSTITUTE(TRIM(B156)," ","-"),COUNTIF('Master Barang'!B:B,B156)=1,XLOOKUP(B156,'Master Barang'!B:B,'Master Barang'!C:C,,,1))</f>
        <v/>
      </c>
      <c r="D156" s="8"/>
      <c r="E156" s="9"/>
      <c r="G156" s="13"/>
      <c r="H156" s="7"/>
      <c r="I156" s="5" t="str">
        <f>IFERROR(__xludf.DUMMYFUNCTION("if(OR(B156="""",E156=""""),"""", LET(
  Nama, B156,
  SKU, C156,
  Estimasi, E156,
  QtyOrder, F156,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57" ht="15.75" hidden="1" customHeight="1" outlineLevel="1">
      <c r="A157" s="5" t="str">
        <f t="shared" si="1"/>
        <v/>
      </c>
      <c r="B157" s="6"/>
      <c r="C157" s="7" t="str">
        <f t="array" ref="C157">IFS(B157="","",COUNTIF('Master Barang'!B:B,B157)=0,SUBSTITUTE(TRIM(B157)," ","-"),COUNTIF('Master Barang'!B:B,B157)=1,XLOOKUP(B157,'Master Barang'!B:B,'Master Barang'!C:C,,,1))</f>
        <v/>
      </c>
      <c r="D157" s="8"/>
      <c r="E157" s="9"/>
      <c r="G157" s="13"/>
      <c r="H157" s="7"/>
      <c r="I157" s="5" t="str">
        <f>IFERROR(__xludf.DUMMYFUNCTION("if(OR(B157="""",E157=""""),"""", LET(
  Nama, B157,
  SKU, C157,
  Estimasi, E157,
  QtyOrder, F157,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58" ht="15.75" hidden="1" customHeight="1" outlineLevel="1">
      <c r="A158" s="5" t="str">
        <f t="shared" si="1"/>
        <v/>
      </c>
      <c r="B158" s="6"/>
      <c r="C158" s="7" t="str">
        <f t="array" ref="C158">IFS(B158="","",COUNTIF('Master Barang'!B:B,B158)=0,SUBSTITUTE(TRIM(B158)," ","-"),COUNTIF('Master Barang'!B:B,B158)=1,XLOOKUP(B158,'Master Barang'!B:B,'Master Barang'!C:C,,,1))</f>
        <v/>
      </c>
      <c r="D158" s="8"/>
      <c r="E158" s="9"/>
      <c r="G158" s="13"/>
      <c r="H158" s="7"/>
      <c r="I158" s="5" t="str">
        <f>IFERROR(__xludf.DUMMYFUNCTION("if(OR(B158="""",E158=""""),"""", LET(
  Nama, B158,
  SKU, C158,
  Estimasi, E158,
  QtyOrder, F158,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59" ht="15.75" hidden="1" customHeight="1" outlineLevel="1">
      <c r="A159" s="5" t="str">
        <f t="shared" si="1"/>
        <v/>
      </c>
      <c r="B159" s="6"/>
      <c r="C159" s="7" t="str">
        <f t="array" ref="C159">IFS(B159="","",COUNTIF('Master Barang'!B:B,B159)=0,SUBSTITUTE(TRIM(B159)," ","-"),COUNTIF('Master Barang'!B:B,B159)=1,XLOOKUP(B159,'Master Barang'!B:B,'Master Barang'!C:C,,,1))</f>
        <v/>
      </c>
      <c r="D159" s="8"/>
      <c r="E159" s="9"/>
      <c r="G159" s="13"/>
      <c r="H159" s="7"/>
      <c r="I159" s="5" t="str">
        <f>IFERROR(__xludf.DUMMYFUNCTION("if(OR(B159="""",E159=""""),"""", LET(
  Nama, B159,
  SKU, C159,
  Estimasi, E159,
  QtyOrder, F159,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60" ht="15.75" hidden="1" customHeight="1" outlineLevel="1">
      <c r="A160" s="5" t="str">
        <f t="shared" si="1"/>
        <v/>
      </c>
      <c r="B160" s="6"/>
      <c r="C160" s="7" t="str">
        <f t="array" ref="C160">IFS(B160="","",COUNTIF('Master Barang'!B:B,B160)=0,SUBSTITUTE(TRIM(B160)," ","-"),COUNTIF('Master Barang'!B:B,B160)=1,XLOOKUP(B160,'Master Barang'!B:B,'Master Barang'!C:C,,,1))</f>
        <v/>
      </c>
      <c r="D160" s="8"/>
      <c r="E160" s="9"/>
      <c r="G160" s="13"/>
      <c r="H160" s="7"/>
      <c r="I160" s="5" t="str">
        <f>IFERROR(__xludf.DUMMYFUNCTION("if(OR(B160="""",E160=""""),"""", LET(
  Nama, B160,
  SKU, C160,
  Estimasi, E160,
  QtyOrder, F160,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61" ht="15.75" hidden="1" customHeight="1" outlineLevel="1">
      <c r="A161" s="5" t="str">
        <f t="shared" si="1"/>
        <v/>
      </c>
      <c r="B161" s="6"/>
      <c r="C161" s="7" t="str">
        <f t="array" ref="C161">IFS(B161="","",COUNTIF('Master Barang'!B:B,B161)=0,SUBSTITUTE(TRIM(B161)," ","-"),COUNTIF('Master Barang'!B:B,B161)=1,XLOOKUP(B161,'Master Barang'!B:B,'Master Barang'!C:C,,,1))</f>
        <v/>
      </c>
      <c r="D161" s="8"/>
      <c r="E161" s="9"/>
      <c r="G161" s="13"/>
      <c r="H161" s="7"/>
      <c r="I161" s="5" t="str">
        <f>IFERROR(__xludf.DUMMYFUNCTION("if(OR(B161="""",E161=""""),"""", LET(
  Nama, B161,
  SKU, C161,
  Estimasi, E161,
  QtyOrder, F161,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62" ht="15.75" hidden="1" customHeight="1" outlineLevel="1">
      <c r="A162" s="5" t="str">
        <f t="shared" si="1"/>
        <v/>
      </c>
      <c r="B162" s="6"/>
      <c r="C162" s="7" t="str">
        <f t="array" ref="C162">IFS(B162="","",COUNTIF('Master Barang'!B:B,B162)=0,SUBSTITUTE(TRIM(B162)," ","-"),COUNTIF('Master Barang'!B:B,B162)=1,XLOOKUP(B162,'Master Barang'!B:B,'Master Barang'!C:C,,,1))</f>
        <v/>
      </c>
      <c r="D162" s="8"/>
      <c r="E162" s="9"/>
      <c r="G162" s="13"/>
      <c r="H162" s="7"/>
      <c r="I162" s="5" t="str">
        <f>IFERROR(__xludf.DUMMYFUNCTION("if(OR(B162="""",E162=""""),"""", LET(
  Nama, B162,
  SKU, C162,
  Estimasi, E162,
  QtyOrder, F162,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63" ht="15.75" hidden="1" customHeight="1" outlineLevel="1">
      <c r="A163" s="5" t="str">
        <f t="shared" si="1"/>
        <v/>
      </c>
      <c r="B163" s="6"/>
      <c r="C163" s="7" t="str">
        <f t="array" ref="C163">IFS(B163="","",COUNTIF('Master Barang'!B:B,B163)=0,SUBSTITUTE(TRIM(B163)," ","-"),COUNTIF('Master Barang'!B:B,B163)=1,XLOOKUP(B163,'Master Barang'!B:B,'Master Barang'!C:C,,,1))</f>
        <v/>
      </c>
      <c r="D163" s="8"/>
      <c r="E163" s="9"/>
      <c r="G163" s="13"/>
      <c r="H163" s="7"/>
      <c r="I163" s="5" t="str">
        <f>IFERROR(__xludf.DUMMYFUNCTION("if(OR(B163="""",E163=""""),"""", LET(
  Nama, B163,
  SKU, C163,
  Estimasi, E163,
  QtyOrder, F163,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64" ht="15.75" hidden="1" customHeight="1" outlineLevel="1">
      <c r="A164" s="5" t="str">
        <f t="shared" si="1"/>
        <v/>
      </c>
      <c r="B164" s="6"/>
      <c r="C164" s="7" t="str">
        <f t="array" ref="C164">IFS(B164="","",COUNTIF('Master Barang'!B:B,B164)=0,SUBSTITUTE(TRIM(B164)," ","-"),COUNTIF('Master Barang'!B:B,B164)=1,XLOOKUP(B164,'Master Barang'!B:B,'Master Barang'!C:C,,,1))</f>
        <v/>
      </c>
      <c r="D164" s="8"/>
      <c r="E164" s="9"/>
      <c r="G164" s="13"/>
      <c r="H164" s="7"/>
      <c r="I164" s="5" t="str">
        <f>IFERROR(__xludf.DUMMYFUNCTION("if(OR(B164="""",E164=""""),"""", LET(
  Nama, B164,
  SKU, C164,
  Estimasi, E164,
  QtyOrder, F164,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65" ht="15.75" hidden="1" customHeight="1" outlineLevel="1">
      <c r="A165" s="5" t="str">
        <f t="shared" si="1"/>
        <v/>
      </c>
      <c r="B165" s="6"/>
      <c r="C165" s="7" t="str">
        <f t="array" ref="C165">IFS(B165="","",COUNTIF('Master Barang'!B:B,B165)=0,SUBSTITUTE(TRIM(B165)," ","-"),COUNTIF('Master Barang'!B:B,B165)=1,XLOOKUP(B165,'Master Barang'!B:B,'Master Barang'!C:C,,,1))</f>
        <v/>
      </c>
      <c r="D165" s="8"/>
      <c r="E165" s="9"/>
      <c r="G165" s="13"/>
      <c r="H165" s="7"/>
      <c r="I165" s="5" t="str">
        <f>IFERROR(__xludf.DUMMYFUNCTION("if(OR(B165="""",E165=""""),"""", LET(
  Nama, B165,
  SKU, C165,
  Estimasi, E165,
  QtyOrder, F165,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66" ht="15.75" hidden="1" customHeight="1" outlineLevel="1">
      <c r="A166" s="5" t="str">
        <f t="shared" si="1"/>
        <v/>
      </c>
      <c r="B166" s="6"/>
      <c r="C166" s="7" t="str">
        <f t="array" ref="C166">IFS(B166="","",COUNTIF('Master Barang'!B:B,B166)=0,SUBSTITUTE(TRIM(B166)," ","-"),COUNTIF('Master Barang'!B:B,B166)=1,XLOOKUP(B166,'Master Barang'!B:B,'Master Barang'!C:C,,,1))</f>
        <v/>
      </c>
      <c r="D166" s="8"/>
      <c r="E166" s="9"/>
      <c r="G166" s="13"/>
      <c r="H166" s="7"/>
      <c r="I166" s="5" t="str">
        <f>IFERROR(__xludf.DUMMYFUNCTION("if(OR(B166="""",E166=""""),"""", LET(
  Nama, B166,
  SKU, C166,
  Estimasi, E166,
  QtyOrder, F166,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67" ht="15.75" hidden="1" customHeight="1" outlineLevel="1">
      <c r="A167" s="5" t="str">
        <f t="shared" si="1"/>
        <v/>
      </c>
      <c r="B167" s="6"/>
      <c r="C167" s="7" t="str">
        <f t="array" ref="C167">IFS(B167="","",COUNTIF('Master Barang'!B:B,B167)=0,SUBSTITUTE(TRIM(B167)," ","-"),COUNTIF('Master Barang'!B:B,B167)=1,XLOOKUP(B167,'Master Barang'!B:B,'Master Barang'!C:C,,,1))</f>
        <v/>
      </c>
      <c r="D167" s="8"/>
      <c r="E167" s="9"/>
      <c r="G167" s="13"/>
      <c r="H167" s="7"/>
      <c r="I167" s="5" t="str">
        <f>IFERROR(__xludf.DUMMYFUNCTION("if(OR(B167="""",E167=""""),"""", LET(
  Nama, B167,
  SKU, C167,
  Estimasi, E167,
  QtyOrder, F167,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68" ht="15.75" hidden="1" customHeight="1" outlineLevel="1">
      <c r="A168" s="5" t="str">
        <f t="shared" si="1"/>
        <v/>
      </c>
      <c r="B168" s="6"/>
      <c r="C168" s="7" t="str">
        <f t="array" ref="C168">IFS(B168="","",COUNTIF('Master Barang'!B:B,B168)=0,SUBSTITUTE(TRIM(B168)," ","-"),COUNTIF('Master Barang'!B:B,B168)=1,XLOOKUP(B168,'Master Barang'!B:B,'Master Barang'!C:C,,,1))</f>
        <v/>
      </c>
      <c r="D168" s="8"/>
      <c r="E168" s="9"/>
      <c r="G168" s="13"/>
      <c r="H168" s="7"/>
      <c r="I168" s="5" t="str">
        <f>IFERROR(__xludf.DUMMYFUNCTION("if(OR(B168="""",E168=""""),"""", LET(
  Nama, B168,
  SKU, C168,
  Estimasi, E168,
  QtyOrder, F168,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69" ht="15.75" hidden="1" customHeight="1" outlineLevel="1">
      <c r="A169" s="5" t="str">
        <f t="shared" si="1"/>
        <v/>
      </c>
      <c r="B169" s="6"/>
      <c r="C169" s="7" t="str">
        <f t="array" ref="C169">IFS(B169="","",COUNTIF('Master Barang'!B:B,B169)=0,SUBSTITUTE(TRIM(B169)," ","-"),COUNTIF('Master Barang'!B:B,B169)=1,XLOOKUP(B169,'Master Barang'!B:B,'Master Barang'!C:C,,,1))</f>
        <v/>
      </c>
      <c r="D169" s="8"/>
      <c r="E169" s="9"/>
      <c r="G169" s="13"/>
      <c r="H169" s="7"/>
      <c r="I169" s="5" t="str">
        <f>IFERROR(__xludf.DUMMYFUNCTION("if(OR(B169="""",E169=""""),"""", LET(
  Nama, B169,
  SKU, C169,
  Estimasi, E169,
  QtyOrder, F169,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70" ht="15.75" hidden="1" customHeight="1" outlineLevel="1">
      <c r="A170" s="5" t="str">
        <f t="shared" si="1"/>
        <v/>
      </c>
      <c r="B170" s="6"/>
      <c r="C170" s="7" t="str">
        <f t="array" ref="C170">IFS(B170="","",COUNTIF('Master Barang'!B:B,B170)=0,SUBSTITUTE(TRIM(B170)," ","-"),COUNTIF('Master Barang'!B:B,B170)=1,XLOOKUP(B170,'Master Barang'!B:B,'Master Barang'!C:C,,,1))</f>
        <v/>
      </c>
      <c r="D170" s="8"/>
      <c r="E170" s="9"/>
      <c r="G170" s="13"/>
      <c r="H170" s="7"/>
      <c r="I170" s="5" t="str">
        <f>IFERROR(__xludf.DUMMYFUNCTION("if(OR(B170="""",E170=""""),"""", LET(
  Nama, B170,
  SKU, C170,
  Estimasi, E170,
  QtyOrder, F170,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71" ht="15.75" hidden="1" customHeight="1" outlineLevel="1">
      <c r="A171" s="5" t="str">
        <f t="shared" si="1"/>
        <v/>
      </c>
      <c r="B171" s="6"/>
      <c r="C171" s="7" t="str">
        <f t="array" ref="C171">IFS(B171="","",COUNTIF('Master Barang'!B:B,B171)=0,SUBSTITUTE(TRIM(B171)," ","-"),COUNTIF('Master Barang'!B:B,B171)=1,XLOOKUP(B171,'Master Barang'!B:B,'Master Barang'!C:C,,,1))</f>
        <v/>
      </c>
      <c r="D171" s="8"/>
      <c r="E171" s="9"/>
      <c r="G171" s="13"/>
      <c r="H171" s="7"/>
      <c r="I171" s="5" t="str">
        <f>IFERROR(__xludf.DUMMYFUNCTION("if(OR(B171="""",E171=""""),"""", LET(
  Nama, B171,
  SKU, C171,
  Estimasi, E171,
  QtyOrder, F171,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72" ht="15.75" hidden="1" customHeight="1" outlineLevel="1">
      <c r="A172" s="5" t="str">
        <f t="shared" si="1"/>
        <v/>
      </c>
      <c r="B172" s="6"/>
      <c r="C172" s="7" t="str">
        <f t="array" ref="C172">IFS(B172="","",COUNTIF('Master Barang'!B:B,B172)=0,SUBSTITUTE(TRIM(B172)," ","-"),COUNTIF('Master Barang'!B:B,B172)=1,XLOOKUP(B172,'Master Barang'!B:B,'Master Barang'!C:C,,,1))</f>
        <v/>
      </c>
      <c r="D172" s="8"/>
      <c r="E172" s="9"/>
      <c r="G172" s="13"/>
      <c r="H172" s="7"/>
      <c r="I172" s="5" t="str">
        <f>IFERROR(__xludf.DUMMYFUNCTION("if(OR(B172="""",E172=""""),"""", LET(
  Nama, B172,
  SKU, C172,
  Estimasi, E172,
  QtyOrder, F172,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73" ht="15.75" hidden="1" customHeight="1" outlineLevel="1">
      <c r="A173" s="5" t="str">
        <f t="shared" si="1"/>
        <v/>
      </c>
      <c r="B173" s="6"/>
      <c r="C173" s="7" t="str">
        <f t="array" ref="C173">IFS(B173="","",COUNTIF('Master Barang'!B:B,B173)=0,SUBSTITUTE(TRIM(B173)," ","-"),COUNTIF('Master Barang'!B:B,B173)=1,XLOOKUP(B173,'Master Barang'!B:B,'Master Barang'!C:C,,,1))</f>
        <v/>
      </c>
      <c r="D173" s="8"/>
      <c r="E173" s="9"/>
      <c r="G173" s="13"/>
      <c r="H173" s="7"/>
      <c r="I173" s="5" t="str">
        <f>IFERROR(__xludf.DUMMYFUNCTION("if(OR(B173="""",E173=""""),"""", LET(
  Nama, B173,
  SKU, C173,
  Estimasi, E173,
  QtyOrder, F173,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74" ht="15.75" hidden="1" customHeight="1" outlineLevel="1">
      <c r="A174" s="5" t="str">
        <f t="shared" si="1"/>
        <v/>
      </c>
      <c r="B174" s="6"/>
      <c r="C174" s="7" t="str">
        <f t="array" ref="C174">IFS(B174="","",COUNTIF('Master Barang'!B:B,B174)=0,SUBSTITUTE(TRIM(B174)," ","-"),COUNTIF('Master Barang'!B:B,B174)=1,XLOOKUP(B174,'Master Barang'!B:B,'Master Barang'!C:C,,,1))</f>
        <v/>
      </c>
      <c r="D174" s="8"/>
      <c r="E174" s="9"/>
      <c r="G174" s="13"/>
      <c r="H174" s="7"/>
      <c r="I174" s="5" t="str">
        <f>IFERROR(__xludf.DUMMYFUNCTION("if(OR(B174="""",E174=""""),"""", LET(
  Nama, B174,
  SKU, C174,
  Estimasi, E174,
  QtyOrder, F174,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75" ht="15.75" hidden="1" customHeight="1" outlineLevel="1">
      <c r="A175" s="5" t="str">
        <f t="shared" si="1"/>
        <v/>
      </c>
      <c r="B175" s="6"/>
      <c r="C175" s="7" t="str">
        <f t="array" ref="C175">IFS(B175="","",COUNTIF('Master Barang'!B:B,B175)=0,SUBSTITUTE(TRIM(B175)," ","-"),COUNTIF('Master Barang'!B:B,B175)=1,XLOOKUP(B175,'Master Barang'!B:B,'Master Barang'!C:C,,,1))</f>
        <v/>
      </c>
      <c r="D175" s="8"/>
      <c r="E175" s="9"/>
      <c r="G175" s="13"/>
      <c r="H175" s="7"/>
      <c r="I175" s="5" t="str">
        <f>IFERROR(__xludf.DUMMYFUNCTION("if(OR(B175="""",E175=""""),"""", LET(
  Nama, B175,
  SKU, C175,
  Estimasi, E175,
  QtyOrder, F175,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76" ht="15.75" hidden="1" customHeight="1" outlineLevel="1">
      <c r="A176" s="5" t="str">
        <f t="shared" si="1"/>
        <v/>
      </c>
      <c r="B176" s="6"/>
      <c r="C176" s="7" t="str">
        <f t="array" ref="C176">IFS(B176="","",COUNTIF('Master Barang'!B:B,B176)=0,SUBSTITUTE(TRIM(B176)," ","-"),COUNTIF('Master Barang'!B:B,B176)=1,XLOOKUP(B176,'Master Barang'!B:B,'Master Barang'!C:C,,,1))</f>
        <v/>
      </c>
      <c r="D176" s="8"/>
      <c r="E176" s="9"/>
      <c r="G176" s="13"/>
      <c r="H176" s="7"/>
      <c r="I176" s="5" t="str">
        <f>IFERROR(__xludf.DUMMYFUNCTION("if(OR(B176="""",E176=""""),"""", LET(
  Nama, B176,
  SKU, C176,
  Estimasi, E176,
  QtyOrder, F176,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77" ht="15.75" hidden="1" customHeight="1" outlineLevel="1">
      <c r="A177" s="5" t="str">
        <f t="shared" si="1"/>
        <v/>
      </c>
      <c r="B177" s="6"/>
      <c r="C177" s="7" t="str">
        <f t="array" ref="C177">IFS(B177="","",COUNTIF('Master Barang'!B:B,B177)=0,SUBSTITUTE(TRIM(B177)," ","-"),COUNTIF('Master Barang'!B:B,B177)=1,XLOOKUP(B177,'Master Barang'!B:B,'Master Barang'!C:C,,,1))</f>
        <v/>
      </c>
      <c r="D177" s="8"/>
      <c r="E177" s="9"/>
      <c r="G177" s="13"/>
      <c r="H177" s="7"/>
      <c r="I177" s="5" t="str">
        <f>IFERROR(__xludf.DUMMYFUNCTION("if(OR(B177="""",E177=""""),"""", LET(
  Nama, B177,
  SKU, C177,
  Estimasi, E177,
  QtyOrder, F177,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78" ht="15.75" hidden="1" customHeight="1" outlineLevel="1">
      <c r="A178" s="5" t="str">
        <f t="shared" si="1"/>
        <v/>
      </c>
      <c r="B178" s="6"/>
      <c r="C178" s="7" t="str">
        <f t="array" ref="C178">IFS(B178="","",COUNTIF('Master Barang'!B:B,B178)=0,SUBSTITUTE(TRIM(B178)," ","-"),COUNTIF('Master Barang'!B:B,B178)=1,XLOOKUP(B178,'Master Barang'!B:B,'Master Barang'!C:C,,,1))</f>
        <v/>
      </c>
      <c r="D178" s="8"/>
      <c r="E178" s="9"/>
      <c r="G178" s="13"/>
      <c r="H178" s="7"/>
      <c r="I178" s="5" t="str">
        <f>IFERROR(__xludf.DUMMYFUNCTION("if(OR(B178="""",E178=""""),"""", LET(
  Nama, B178,
  SKU, C178,
  Estimasi, E178,
  QtyOrder, F178,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79" ht="15.75" hidden="1" customHeight="1" outlineLevel="1">
      <c r="A179" s="5" t="str">
        <f t="shared" si="1"/>
        <v/>
      </c>
      <c r="B179" s="6"/>
      <c r="C179" s="7" t="str">
        <f t="array" ref="C179">IFS(B179="","",COUNTIF('Master Barang'!B:B,B179)=0,SUBSTITUTE(TRIM(B179)," ","-"),COUNTIF('Master Barang'!B:B,B179)=1,XLOOKUP(B179,'Master Barang'!B:B,'Master Barang'!C:C,,,1))</f>
        <v/>
      </c>
      <c r="D179" s="8"/>
      <c r="E179" s="9"/>
      <c r="G179" s="13"/>
      <c r="H179" s="7"/>
      <c r="I179" s="5" t="str">
        <f>IFERROR(__xludf.DUMMYFUNCTION("if(OR(B179="""",E179=""""),"""", LET(
  Nama, B179,
  SKU, C179,
  Estimasi, E179,
  QtyOrder, F179,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80" ht="15.75" hidden="1" customHeight="1" outlineLevel="1">
      <c r="A180" s="5" t="str">
        <f t="shared" si="1"/>
        <v/>
      </c>
      <c r="B180" s="6"/>
      <c r="C180" s="7" t="str">
        <f t="array" ref="C180">IFS(B180="","",COUNTIF('Master Barang'!B:B,B180)=0,SUBSTITUTE(TRIM(B180)," ","-"),COUNTIF('Master Barang'!B:B,B180)=1,XLOOKUP(B180,'Master Barang'!B:B,'Master Barang'!C:C,,,1))</f>
        <v/>
      </c>
      <c r="D180" s="8"/>
      <c r="E180" s="9"/>
      <c r="G180" s="13"/>
      <c r="H180" s="7"/>
      <c r="I180" s="5" t="str">
        <f>IFERROR(__xludf.DUMMYFUNCTION("if(OR(B180="""",E180=""""),"""", LET(
  Nama, B180,
  SKU, C180,
  Estimasi, E180,
  QtyOrder, F180,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81" ht="15.75" hidden="1" customHeight="1" outlineLevel="1">
      <c r="A181" s="5" t="str">
        <f t="shared" si="1"/>
        <v/>
      </c>
      <c r="B181" s="6"/>
      <c r="C181" s="7" t="str">
        <f t="array" ref="C181">IFS(B181="","",COUNTIF('Master Barang'!B:B,B181)=0,SUBSTITUTE(TRIM(B181)," ","-"),COUNTIF('Master Barang'!B:B,B181)=1,XLOOKUP(B181,'Master Barang'!B:B,'Master Barang'!C:C,,,1))</f>
        <v/>
      </c>
      <c r="D181" s="8"/>
      <c r="E181" s="9"/>
      <c r="G181" s="13"/>
      <c r="H181" s="7"/>
      <c r="I181" s="5" t="str">
        <f>IFERROR(__xludf.DUMMYFUNCTION("if(OR(B181="""",E181=""""),"""", LET(
  Nama, B181,
  SKU, C181,
  Estimasi, E181,
  QtyOrder, F181,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82" ht="15.75" hidden="1" customHeight="1" outlineLevel="1">
      <c r="A182" s="5" t="str">
        <f t="shared" si="1"/>
        <v/>
      </c>
      <c r="B182" s="6"/>
      <c r="C182" s="7" t="str">
        <f t="array" ref="C182">IFS(B182="","",COUNTIF('Master Barang'!B:B,B182)=0,SUBSTITUTE(TRIM(B182)," ","-"),COUNTIF('Master Barang'!B:B,B182)=1,XLOOKUP(B182,'Master Barang'!B:B,'Master Barang'!C:C,,,1))</f>
        <v/>
      </c>
      <c r="D182" s="8"/>
      <c r="E182" s="9"/>
      <c r="G182" s="13"/>
      <c r="H182" s="7"/>
      <c r="I182" s="5" t="str">
        <f>IFERROR(__xludf.DUMMYFUNCTION("if(OR(B182="""",E182=""""),"""", LET(
  Nama, B182,
  SKU, C182,
  Estimasi, E182,
  QtyOrder, F182,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83" ht="15.75" hidden="1" customHeight="1" outlineLevel="1">
      <c r="A183" s="5" t="str">
        <f t="shared" si="1"/>
        <v/>
      </c>
      <c r="B183" s="6"/>
      <c r="C183" s="7" t="str">
        <f t="array" ref="C183">IFS(B183="","",COUNTIF('Master Barang'!B:B,B183)=0,SUBSTITUTE(TRIM(B183)," ","-"),COUNTIF('Master Barang'!B:B,B183)=1,XLOOKUP(B183,'Master Barang'!B:B,'Master Barang'!C:C,,,1))</f>
        <v/>
      </c>
      <c r="D183" s="8"/>
      <c r="E183" s="9"/>
      <c r="G183" s="13"/>
      <c r="H183" s="7"/>
      <c r="I183" s="5" t="str">
        <f>IFERROR(__xludf.DUMMYFUNCTION("if(OR(B183="""",E183=""""),"""", LET(
  Nama, B183,
  SKU, C183,
  Estimasi, E183,
  QtyOrder, F183,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84" ht="15.75" hidden="1" customHeight="1" outlineLevel="1">
      <c r="A184" s="5" t="str">
        <f t="shared" si="1"/>
        <v/>
      </c>
      <c r="B184" s="6"/>
      <c r="C184" s="7" t="str">
        <f t="array" ref="C184">IFS(B184="","",COUNTIF('Master Barang'!B:B,B184)=0,SUBSTITUTE(TRIM(B184)," ","-"),COUNTIF('Master Barang'!B:B,B184)=1,XLOOKUP(B184,'Master Barang'!B:B,'Master Barang'!C:C,,,1))</f>
        <v/>
      </c>
      <c r="D184" s="8"/>
      <c r="E184" s="9"/>
      <c r="G184" s="13"/>
      <c r="H184" s="7"/>
      <c r="I184" s="5" t="str">
        <f>IFERROR(__xludf.DUMMYFUNCTION("if(OR(B184="""",E184=""""),"""", LET(
  Nama, B184,
  SKU, C184,
  Estimasi, E184,
  QtyOrder, F184,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85" ht="15.75" hidden="1" customHeight="1" outlineLevel="1">
      <c r="A185" s="5" t="str">
        <f t="shared" si="1"/>
        <v/>
      </c>
      <c r="B185" s="6"/>
      <c r="C185" s="7" t="str">
        <f t="array" ref="C185">IFS(B185="","",COUNTIF('Master Barang'!B:B,B185)=0,SUBSTITUTE(TRIM(B185)," ","-"),COUNTIF('Master Barang'!B:B,B185)=1,XLOOKUP(B185,'Master Barang'!B:B,'Master Barang'!C:C,,,1))</f>
        <v/>
      </c>
      <c r="D185" s="8"/>
      <c r="E185" s="9"/>
      <c r="G185" s="13"/>
      <c r="H185" s="7"/>
      <c r="I185" s="5" t="str">
        <f>IFERROR(__xludf.DUMMYFUNCTION("if(OR(B185="""",E185=""""),"""", LET(
  Nama, B185,
  SKU, C185,
  Estimasi, E185,
  QtyOrder, F185,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86" ht="15.75" hidden="1" customHeight="1" outlineLevel="1">
      <c r="A186" s="5" t="str">
        <f t="shared" si="1"/>
        <v/>
      </c>
      <c r="B186" s="6"/>
      <c r="C186" s="7" t="str">
        <f t="array" ref="C186">IFS(B186="","",COUNTIF('Master Barang'!B:B,B186)=0,SUBSTITUTE(TRIM(B186)," ","-"),COUNTIF('Master Barang'!B:B,B186)=1,XLOOKUP(B186,'Master Barang'!B:B,'Master Barang'!C:C,,,1))</f>
        <v/>
      </c>
      <c r="D186" s="8"/>
      <c r="E186" s="9"/>
      <c r="G186" s="13"/>
      <c r="H186" s="7"/>
      <c r="I186" s="5" t="str">
        <f>IFERROR(__xludf.DUMMYFUNCTION("if(OR(B186="""",E186=""""),"""", LET(
  Nama, B186,
  SKU, C186,
  Estimasi, E186,
  QtyOrder, F186,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87" ht="15.75" hidden="1" customHeight="1" outlineLevel="1">
      <c r="A187" s="5" t="str">
        <f t="shared" si="1"/>
        <v/>
      </c>
      <c r="B187" s="6"/>
      <c r="C187" s="7" t="str">
        <f t="array" ref="C187">IFS(B187="","",COUNTIF('Master Barang'!B:B,B187)=0,SUBSTITUTE(TRIM(B187)," ","-"),COUNTIF('Master Barang'!B:B,B187)=1,XLOOKUP(B187,'Master Barang'!B:B,'Master Barang'!C:C,,,1))</f>
        <v/>
      </c>
      <c r="D187" s="8"/>
      <c r="E187" s="9"/>
      <c r="G187" s="13"/>
      <c r="H187" s="7"/>
      <c r="I187" s="5" t="str">
        <f>IFERROR(__xludf.DUMMYFUNCTION("if(OR(B187="""",E187=""""),"""", LET(
  Nama, B187,
  SKU, C187,
  Estimasi, E187,
  QtyOrder, F187,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88" ht="15.75" hidden="1" customHeight="1" outlineLevel="1">
      <c r="A188" s="5" t="str">
        <f t="shared" si="1"/>
        <v/>
      </c>
      <c r="B188" s="6"/>
      <c r="C188" s="7" t="str">
        <f t="array" ref="C188">IFS(B188="","",COUNTIF('Master Barang'!B:B,B188)=0,SUBSTITUTE(TRIM(B188)," ","-"),COUNTIF('Master Barang'!B:B,B188)=1,XLOOKUP(B188,'Master Barang'!B:B,'Master Barang'!C:C,,,1))</f>
        <v/>
      </c>
      <c r="D188" s="8"/>
      <c r="E188" s="9"/>
      <c r="G188" s="13"/>
      <c r="H188" s="7"/>
      <c r="I188" s="5" t="str">
        <f>IFERROR(__xludf.DUMMYFUNCTION("if(OR(B188="""",E188=""""),"""", LET(
  Nama, B188,
  SKU, C188,
  Estimasi, E188,
  QtyOrder, F188,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89" ht="15.75" hidden="1" customHeight="1" outlineLevel="1">
      <c r="A189" s="5" t="str">
        <f t="shared" si="1"/>
        <v/>
      </c>
      <c r="B189" s="6"/>
      <c r="C189" s="7" t="str">
        <f t="array" ref="C189">IFS(B189="","",COUNTIF('Master Barang'!B:B,B189)=0,SUBSTITUTE(TRIM(B189)," ","-"),COUNTIF('Master Barang'!B:B,B189)=1,XLOOKUP(B189,'Master Barang'!B:B,'Master Barang'!C:C,,,1))</f>
        <v/>
      </c>
      <c r="D189" s="8"/>
      <c r="E189" s="9"/>
      <c r="G189" s="13"/>
      <c r="H189" s="7"/>
      <c r="I189" s="5" t="str">
        <f>IFERROR(__xludf.DUMMYFUNCTION("if(OR(B189="""",E189=""""),"""", LET(
  Nama, B189,
  SKU, C189,
  Estimasi, E189,
  QtyOrder, F189,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90" ht="15.75" hidden="1" customHeight="1" outlineLevel="1">
      <c r="A190" s="5" t="str">
        <f t="shared" si="1"/>
        <v/>
      </c>
      <c r="B190" s="6"/>
      <c r="C190" s="7" t="str">
        <f t="array" ref="C190">IFS(B190="","",COUNTIF('Master Barang'!B:B,B190)=0,SUBSTITUTE(TRIM(B190)," ","-"),COUNTIF('Master Barang'!B:B,B190)=1,XLOOKUP(B190,'Master Barang'!B:B,'Master Barang'!C:C,,,1))</f>
        <v/>
      </c>
      <c r="D190" s="8"/>
      <c r="E190" s="9"/>
      <c r="G190" s="13"/>
      <c r="H190" s="7"/>
      <c r="I190" s="5" t="str">
        <f>IFERROR(__xludf.DUMMYFUNCTION("if(OR(B190="""",E190=""""),"""", LET(
  Nama, B190,
  SKU, C190,
  Estimasi, E190,
  QtyOrder, F190,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91" ht="15.75" hidden="1" customHeight="1" outlineLevel="1">
      <c r="A191" s="5" t="str">
        <f t="shared" si="1"/>
        <v/>
      </c>
      <c r="B191" s="6"/>
      <c r="C191" s="7" t="str">
        <f t="array" ref="C191">IFS(B191="","",COUNTIF('Master Barang'!B:B,B191)=0,SUBSTITUTE(TRIM(B191)," ","-"),COUNTIF('Master Barang'!B:B,B191)=1,XLOOKUP(B191,'Master Barang'!B:B,'Master Barang'!C:C,,,1))</f>
        <v/>
      </c>
      <c r="D191" s="8"/>
      <c r="E191" s="9"/>
      <c r="G191" s="13"/>
      <c r="H191" s="7"/>
      <c r="I191" s="5" t="str">
        <f>IFERROR(__xludf.DUMMYFUNCTION("if(OR(B191="""",E191=""""),"""", LET(
  Nama, B191,
  SKU, C191,
  Estimasi, E191,
  QtyOrder, F191,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92" ht="15.75" hidden="1" customHeight="1" outlineLevel="1">
      <c r="A192" s="5" t="str">
        <f t="shared" si="1"/>
        <v/>
      </c>
      <c r="B192" s="6"/>
      <c r="C192" s="7" t="str">
        <f t="array" ref="C192">IFS(B192="","",COUNTIF('Master Barang'!B:B,B192)=0,SUBSTITUTE(TRIM(B192)," ","-"),COUNTIF('Master Barang'!B:B,B192)=1,XLOOKUP(B192,'Master Barang'!B:B,'Master Barang'!C:C,,,1))</f>
        <v/>
      </c>
      <c r="D192" s="8"/>
      <c r="E192" s="9"/>
      <c r="G192" s="13"/>
      <c r="H192" s="7"/>
      <c r="I192" s="5" t="str">
        <f>IFERROR(__xludf.DUMMYFUNCTION("if(OR(B192="""",E192=""""),"""", LET(
  Nama, B192,
  SKU, C192,
  Estimasi, E192,
  QtyOrder, F192,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93" ht="15.75" hidden="1" customHeight="1" outlineLevel="1">
      <c r="A193" s="5" t="str">
        <f t="shared" si="1"/>
        <v/>
      </c>
      <c r="B193" s="6"/>
      <c r="C193" s="7" t="str">
        <f t="array" ref="C193">IFS(B193="","",COUNTIF('Master Barang'!B:B,B193)=0,SUBSTITUTE(TRIM(B193)," ","-"),COUNTIF('Master Barang'!B:B,B193)=1,XLOOKUP(B193,'Master Barang'!B:B,'Master Barang'!C:C,,,1))</f>
        <v/>
      </c>
      <c r="D193" s="8"/>
      <c r="E193" s="9"/>
      <c r="G193" s="13"/>
      <c r="H193" s="7"/>
      <c r="I193" s="5" t="str">
        <f>IFERROR(__xludf.DUMMYFUNCTION("if(OR(B193="""",E193=""""),"""", LET(
  Nama, B193,
  SKU, C193,
  Estimasi, E193,
  QtyOrder, F193,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94" ht="15.75" hidden="1" customHeight="1" outlineLevel="1">
      <c r="A194" s="5" t="str">
        <f t="shared" si="1"/>
        <v/>
      </c>
      <c r="B194" s="6"/>
      <c r="C194" s="7" t="str">
        <f t="array" ref="C194">IFS(B194="","",COUNTIF('Master Barang'!B:B,B194)=0,SUBSTITUTE(TRIM(B194)," ","-"),COUNTIF('Master Barang'!B:B,B194)=1,XLOOKUP(B194,'Master Barang'!B:B,'Master Barang'!C:C,,,1))</f>
        <v/>
      </c>
      <c r="D194" s="8"/>
      <c r="E194" s="9"/>
      <c r="G194" s="13"/>
      <c r="H194" s="7"/>
      <c r="I194" s="5" t="str">
        <f>IFERROR(__xludf.DUMMYFUNCTION("if(OR(B194="""",E194=""""),"""", LET(
  Nama, B194,
  SKU, C194,
  Estimasi, E194,
  QtyOrder, F194,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95" ht="15.75" hidden="1" customHeight="1" outlineLevel="1">
      <c r="A195" s="5" t="str">
        <f t="shared" si="1"/>
        <v/>
      </c>
      <c r="B195" s="6"/>
      <c r="C195" s="7" t="str">
        <f t="array" ref="C195">IFS(B195="","",COUNTIF('Master Barang'!B:B,B195)=0,SUBSTITUTE(TRIM(B195)," ","-"),COUNTIF('Master Barang'!B:B,B195)=1,XLOOKUP(B195,'Master Barang'!B:B,'Master Barang'!C:C,,,1))</f>
        <v/>
      </c>
      <c r="D195" s="8"/>
      <c r="E195" s="9"/>
      <c r="G195" s="13"/>
      <c r="H195" s="7"/>
      <c r="I195" s="5" t="str">
        <f>IFERROR(__xludf.DUMMYFUNCTION("if(OR(B195="""",E195=""""),"""", LET(
  Nama, B195,
  SKU, C195,
  Estimasi, E195,
  QtyOrder, F195,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96" ht="15.75" hidden="1" customHeight="1" outlineLevel="1">
      <c r="A196" s="5" t="str">
        <f t="shared" si="1"/>
        <v/>
      </c>
      <c r="B196" s="6"/>
      <c r="C196" s="7" t="str">
        <f t="array" ref="C196">IFS(B196="","",COUNTIF('Master Barang'!B:B,B196)=0,SUBSTITUTE(TRIM(B196)," ","-"),COUNTIF('Master Barang'!B:B,B196)=1,XLOOKUP(B196,'Master Barang'!B:B,'Master Barang'!C:C,,,1))</f>
        <v/>
      </c>
      <c r="D196" s="8"/>
      <c r="E196" s="9"/>
      <c r="G196" s="13"/>
      <c r="H196" s="7"/>
      <c r="I196" s="5" t="str">
        <f>IFERROR(__xludf.DUMMYFUNCTION("if(OR(B196="""",E196=""""),"""", LET(
  Nama, B196,
  SKU, C196,
  Estimasi, E196,
  QtyOrder, F196,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97" ht="15.75" hidden="1" customHeight="1" outlineLevel="1">
      <c r="A197" s="5" t="str">
        <f t="shared" si="1"/>
        <v/>
      </c>
      <c r="B197" s="6"/>
      <c r="C197" s="7" t="str">
        <f t="array" ref="C197">IFS(B197="","",COUNTIF('Master Barang'!B:B,B197)=0,SUBSTITUTE(TRIM(B197)," ","-"),COUNTIF('Master Barang'!B:B,B197)=1,XLOOKUP(B197,'Master Barang'!B:B,'Master Barang'!C:C,,,1))</f>
        <v/>
      </c>
      <c r="D197" s="8"/>
      <c r="E197" s="9"/>
      <c r="G197" s="13"/>
      <c r="H197" s="7"/>
      <c r="I197" s="5" t="str">
        <f>IFERROR(__xludf.DUMMYFUNCTION("if(OR(B197="""",E197=""""),"""", LET(
  Nama, B197,
  SKU, C197,
  Estimasi, E197,
  QtyOrder, F197,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98" ht="15.75" hidden="1" customHeight="1" outlineLevel="1">
      <c r="A198" s="5" t="str">
        <f t="shared" si="1"/>
        <v/>
      </c>
      <c r="B198" s="6"/>
      <c r="C198" s="7" t="str">
        <f t="array" ref="C198">IFS(B198="","",COUNTIF('Master Barang'!B:B,B198)=0,SUBSTITUTE(TRIM(B198)," ","-"),COUNTIF('Master Barang'!B:B,B198)=1,XLOOKUP(B198,'Master Barang'!B:B,'Master Barang'!C:C,,,1))</f>
        <v/>
      </c>
      <c r="D198" s="8"/>
      <c r="E198" s="9"/>
      <c r="G198" s="13"/>
      <c r="H198" s="7"/>
      <c r="I198" s="5" t="str">
        <f>IFERROR(__xludf.DUMMYFUNCTION("if(OR(B198="""",E198=""""),"""", LET(
  Nama, B198,
  SKU, C198,
  Estimasi, E198,
  QtyOrder, F198,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199" ht="15.75" hidden="1" customHeight="1" outlineLevel="1">
      <c r="A199" s="5" t="str">
        <f t="shared" si="1"/>
        <v/>
      </c>
      <c r="B199" s="6"/>
      <c r="C199" s="7" t="str">
        <f t="array" ref="C199">IFS(B199="","",COUNTIF('Master Barang'!B:B,B199)=0,SUBSTITUTE(TRIM(B199)," ","-"),COUNTIF('Master Barang'!B:B,B199)=1,XLOOKUP(B199,'Master Barang'!B:B,'Master Barang'!C:C,,,1))</f>
        <v/>
      </c>
      <c r="D199" s="8"/>
      <c r="E199" s="9"/>
      <c r="G199" s="13"/>
      <c r="H199" s="7"/>
      <c r="I199" s="5" t="str">
        <f>IFERROR(__xludf.DUMMYFUNCTION("if(OR(B199="""",E199=""""),"""", LET(
  Nama, B199,
  SKU, C199,
  Estimasi, E199,
  QtyOrder, F199,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00" ht="15.75" hidden="1" customHeight="1" outlineLevel="1">
      <c r="A200" s="5" t="str">
        <f t="shared" si="1"/>
        <v/>
      </c>
      <c r="B200" s="6"/>
      <c r="C200" s="7" t="str">
        <f t="array" ref="C200">IFS(B200="","",COUNTIF('Master Barang'!B:B,B200)=0,SUBSTITUTE(TRIM(B200)," ","-"),COUNTIF('Master Barang'!B:B,B200)=1,XLOOKUP(B200,'Master Barang'!B:B,'Master Barang'!C:C,,,1))</f>
        <v/>
      </c>
      <c r="D200" s="8"/>
      <c r="E200" s="9"/>
      <c r="G200" s="13"/>
      <c r="H200" s="7"/>
      <c r="I200" s="5" t="str">
        <f>IFERROR(__xludf.DUMMYFUNCTION("if(OR(B200="""",E200=""""),"""", LET(
  Nama, B200,
  SKU, C200,
  Estimasi, E200,
  QtyOrder, F200,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01" ht="15.75" hidden="1" customHeight="1" outlineLevel="1">
      <c r="A201" s="5" t="str">
        <f t="shared" si="1"/>
        <v/>
      </c>
      <c r="B201" s="6"/>
      <c r="C201" s="7" t="str">
        <f t="array" ref="C201">IFS(B201="","",COUNTIF('Master Barang'!B:B,B201)=0,SUBSTITUTE(TRIM(B201)," ","-"),COUNTIF('Master Barang'!B:B,B201)=1,XLOOKUP(B201,'Master Barang'!B:B,'Master Barang'!C:C,,,1))</f>
        <v/>
      </c>
      <c r="D201" s="8"/>
      <c r="E201" s="9"/>
      <c r="G201" s="13"/>
      <c r="H201" s="7"/>
      <c r="I201" s="5" t="str">
        <f>IFERROR(__xludf.DUMMYFUNCTION("if(OR(B201="""",E201=""""),"""", LET(
  Nama, B201,
  SKU, C201,
  Estimasi, E201,
  QtyOrder, F201,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02" ht="15.75" hidden="1" customHeight="1" outlineLevel="1">
      <c r="A202" s="5" t="str">
        <f t="shared" si="1"/>
        <v/>
      </c>
      <c r="B202" s="6"/>
      <c r="C202" s="7" t="str">
        <f t="array" ref="C202">IFS(B202="","",COUNTIF('Master Barang'!B:B,B202)=0,SUBSTITUTE(TRIM(B202)," ","-"),COUNTIF('Master Barang'!B:B,B202)=1,XLOOKUP(B202,'Master Barang'!B:B,'Master Barang'!C:C,,,1))</f>
        <v/>
      </c>
      <c r="D202" s="8"/>
      <c r="E202" s="9"/>
      <c r="G202" s="13"/>
      <c r="H202" s="7"/>
      <c r="I202" s="5" t="str">
        <f>IFERROR(__xludf.DUMMYFUNCTION("if(OR(B202="""",E202=""""),"""", LET(
  Nama, B202,
  SKU, C202,
  Estimasi, E202,
  QtyOrder, F202,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03" ht="15.75" hidden="1" customHeight="1" outlineLevel="1">
      <c r="A203" s="5" t="str">
        <f t="shared" si="1"/>
        <v/>
      </c>
      <c r="B203" s="6"/>
      <c r="C203" s="7" t="str">
        <f t="array" ref="C203">IFS(B203="","",COUNTIF('Master Barang'!B:B,B203)=0,SUBSTITUTE(TRIM(B203)," ","-"),COUNTIF('Master Barang'!B:B,B203)=1,XLOOKUP(B203,'Master Barang'!B:B,'Master Barang'!C:C,,,1))</f>
        <v/>
      </c>
      <c r="D203" s="8"/>
      <c r="E203" s="9"/>
      <c r="G203" s="13"/>
      <c r="H203" s="7"/>
      <c r="I203" s="5" t="str">
        <f>IFERROR(__xludf.DUMMYFUNCTION("if(OR(B203="""",E203=""""),"""", LET(
  Nama, B203,
  SKU, C203,
  Estimasi, E203,
  QtyOrder, F203,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04" ht="15.75" hidden="1" customHeight="1" outlineLevel="1">
      <c r="A204" s="5" t="str">
        <f t="shared" si="1"/>
        <v/>
      </c>
      <c r="B204" s="6"/>
      <c r="C204" s="7" t="str">
        <f t="array" ref="C204">IFS(B204="","",COUNTIF('Master Barang'!B:B,B204)=0,SUBSTITUTE(TRIM(B204)," ","-"),COUNTIF('Master Barang'!B:B,B204)=1,XLOOKUP(B204,'Master Barang'!B:B,'Master Barang'!C:C,,,1))</f>
        <v/>
      </c>
      <c r="D204" s="8"/>
      <c r="E204" s="9"/>
      <c r="G204" s="13"/>
      <c r="H204" s="7"/>
      <c r="I204" s="5" t="str">
        <f>IFERROR(__xludf.DUMMYFUNCTION("if(OR(B204="""",E204=""""),"""", LET(
  Nama, B204,
  SKU, C204,
  Estimasi, E204,
  QtyOrder, F204,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05" ht="15.75" hidden="1" customHeight="1" outlineLevel="1">
      <c r="A205" s="5" t="str">
        <f t="shared" si="1"/>
        <v/>
      </c>
      <c r="B205" s="6"/>
      <c r="C205" s="7" t="str">
        <f t="array" ref="C205">IFS(B205="","",COUNTIF('Master Barang'!B:B,B205)=0,SUBSTITUTE(TRIM(B205)," ","-"),COUNTIF('Master Barang'!B:B,B205)=1,XLOOKUP(B205,'Master Barang'!B:B,'Master Barang'!C:C,,,1))</f>
        <v/>
      </c>
      <c r="D205" s="8"/>
      <c r="E205" s="9"/>
      <c r="G205" s="13"/>
      <c r="H205" s="7"/>
      <c r="I205" s="5" t="str">
        <f>IFERROR(__xludf.DUMMYFUNCTION("if(OR(B205="""",E205=""""),"""", LET(
  Nama, B205,
  SKU, C205,
  Estimasi, E205,
  QtyOrder, F205,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06" ht="15.75" hidden="1" customHeight="1" outlineLevel="1">
      <c r="A206" s="5" t="str">
        <f t="shared" si="1"/>
        <v/>
      </c>
      <c r="B206" s="6"/>
      <c r="C206" s="7" t="str">
        <f t="array" ref="C206">IFS(B206="","",COUNTIF('Master Barang'!B:B,B206)=0,SUBSTITUTE(TRIM(B206)," ","-"),COUNTIF('Master Barang'!B:B,B206)=1,XLOOKUP(B206,'Master Barang'!B:B,'Master Barang'!C:C,,,1))</f>
        <v/>
      </c>
      <c r="D206" s="8"/>
      <c r="E206" s="9"/>
      <c r="G206" s="13"/>
      <c r="H206" s="7"/>
      <c r="I206" s="5" t="str">
        <f>IFERROR(__xludf.DUMMYFUNCTION("if(OR(B206="""",E206=""""),"""", LET(
  Nama, B206,
  SKU, C206,
  Estimasi, E206,
  QtyOrder, F206,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07" ht="15.75" hidden="1" customHeight="1" outlineLevel="1">
      <c r="A207" s="5" t="str">
        <f t="shared" si="1"/>
        <v/>
      </c>
      <c r="B207" s="6"/>
      <c r="C207" s="7" t="str">
        <f t="array" ref="C207">IFS(B207="","",COUNTIF('Master Barang'!B:B,B207)=0,SUBSTITUTE(TRIM(B207)," ","-"),COUNTIF('Master Barang'!B:B,B207)=1,XLOOKUP(B207,'Master Barang'!B:B,'Master Barang'!C:C,,,1))</f>
        <v/>
      </c>
      <c r="D207" s="8"/>
      <c r="E207" s="9"/>
      <c r="G207" s="13"/>
      <c r="H207" s="7"/>
      <c r="I207" s="5" t="str">
        <f>IFERROR(__xludf.DUMMYFUNCTION("if(OR(B207="""",E207=""""),"""", LET(
  Nama, B207,
  SKU, C207,
  Estimasi, E207,
  QtyOrder, F207,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08" ht="15.75" hidden="1" customHeight="1" outlineLevel="1">
      <c r="A208" s="5" t="str">
        <f t="shared" si="1"/>
        <v/>
      </c>
      <c r="B208" s="6"/>
      <c r="C208" s="7" t="str">
        <f t="array" ref="C208">IFS(B208="","",COUNTIF('Master Barang'!B:B,B208)=0,SUBSTITUTE(TRIM(B208)," ","-"),COUNTIF('Master Barang'!B:B,B208)=1,XLOOKUP(B208,'Master Barang'!B:B,'Master Barang'!C:C,,,1))</f>
        <v/>
      </c>
      <c r="D208" s="8"/>
      <c r="E208" s="9"/>
      <c r="G208" s="13"/>
      <c r="H208" s="7"/>
      <c r="I208" s="5" t="str">
        <f>IFERROR(__xludf.DUMMYFUNCTION("if(OR(B208="""",E208=""""),"""", LET(
  Nama, B208,
  SKU, C208,
  Estimasi, E208,
  QtyOrder, F208,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09" ht="15.75" hidden="1" customHeight="1" outlineLevel="1">
      <c r="A209" s="5" t="str">
        <f t="shared" si="1"/>
        <v/>
      </c>
      <c r="B209" s="6"/>
      <c r="C209" s="7" t="str">
        <f t="array" ref="C209">IFS(B209="","",COUNTIF('Master Barang'!B:B,B209)=0,SUBSTITUTE(TRIM(B209)," ","-"),COUNTIF('Master Barang'!B:B,B209)=1,XLOOKUP(B209,'Master Barang'!B:B,'Master Barang'!C:C,,,1))</f>
        <v/>
      </c>
      <c r="D209" s="8"/>
      <c r="E209" s="9"/>
      <c r="G209" s="13"/>
      <c r="H209" s="7"/>
      <c r="I209" s="5" t="str">
        <f>IFERROR(__xludf.DUMMYFUNCTION("if(OR(B209="""",E209=""""),"""", LET(
  Nama, B209,
  SKU, C209,
  Estimasi, E209,
  QtyOrder, F209,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10" ht="15.75" hidden="1" customHeight="1" outlineLevel="1">
      <c r="A210" s="5" t="str">
        <f t="shared" si="1"/>
        <v/>
      </c>
      <c r="B210" s="6"/>
      <c r="C210" s="7" t="str">
        <f t="array" ref="C210">IFS(B210="","",COUNTIF('Master Barang'!B:B,B210)=0,SUBSTITUTE(TRIM(B210)," ","-"),COUNTIF('Master Barang'!B:B,B210)=1,XLOOKUP(B210,'Master Barang'!B:B,'Master Barang'!C:C,,,1))</f>
        <v/>
      </c>
      <c r="D210" s="8"/>
      <c r="E210" s="9"/>
      <c r="G210" s="13"/>
      <c r="H210" s="7"/>
      <c r="I210" s="5" t="str">
        <f>IFERROR(__xludf.DUMMYFUNCTION("if(OR(B210="""",E210=""""),"""", LET(
  Nama, B210,
  SKU, C210,
  Estimasi, E210,
  QtyOrder, F210,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11" ht="15.75" hidden="1" customHeight="1" outlineLevel="1">
      <c r="A211" s="5" t="str">
        <f t="shared" si="1"/>
        <v/>
      </c>
      <c r="B211" s="6"/>
      <c r="C211" s="7" t="str">
        <f t="array" ref="C211">IFS(B211="","",COUNTIF('Master Barang'!B:B,B211)=0,SUBSTITUTE(TRIM(B211)," ","-"),COUNTIF('Master Barang'!B:B,B211)=1,XLOOKUP(B211,'Master Barang'!B:B,'Master Barang'!C:C,,,1))</f>
        <v/>
      </c>
      <c r="D211" s="8"/>
      <c r="E211" s="9"/>
      <c r="G211" s="13"/>
      <c r="H211" s="7"/>
      <c r="I211" s="5" t="str">
        <f>IFERROR(__xludf.DUMMYFUNCTION("if(OR(B211="""",E211=""""),"""", LET(
  Nama, B211,
  SKU, C211,
  Estimasi, E211,
  QtyOrder, F211,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12" ht="15.75" hidden="1" customHeight="1" outlineLevel="1">
      <c r="A212" s="5" t="str">
        <f t="shared" si="1"/>
        <v/>
      </c>
      <c r="B212" s="6"/>
      <c r="C212" s="7" t="str">
        <f t="array" ref="C212">IFS(B212="","",COUNTIF('Master Barang'!B:B,B212)=0,SUBSTITUTE(TRIM(B212)," ","-"),COUNTIF('Master Barang'!B:B,B212)=1,XLOOKUP(B212,'Master Barang'!B:B,'Master Barang'!C:C,,,1))</f>
        <v/>
      </c>
      <c r="D212" s="8"/>
      <c r="E212" s="9"/>
      <c r="G212" s="13"/>
      <c r="H212" s="7"/>
      <c r="I212" s="5" t="str">
        <f>IFERROR(__xludf.DUMMYFUNCTION("if(OR(B212="""",E212=""""),"""", LET(
  Nama, B212,
  SKU, C212,
  Estimasi, E212,
  QtyOrder, F212,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13" ht="15.75" hidden="1" customHeight="1" outlineLevel="1">
      <c r="A213" s="5" t="str">
        <f t="shared" si="1"/>
        <v/>
      </c>
      <c r="B213" s="6"/>
      <c r="C213" s="7" t="str">
        <f t="array" ref="C213">IFS(B213="","",COUNTIF('Master Barang'!B:B,B213)=0,SUBSTITUTE(TRIM(B213)," ","-"),COUNTIF('Master Barang'!B:B,B213)=1,XLOOKUP(B213,'Master Barang'!B:B,'Master Barang'!C:C,,,1))</f>
        <v/>
      </c>
      <c r="D213" s="8"/>
      <c r="E213" s="9"/>
      <c r="G213" s="13"/>
      <c r="H213" s="7"/>
      <c r="I213" s="5" t="str">
        <f>IFERROR(__xludf.DUMMYFUNCTION("if(OR(B213="""",E213=""""),"""", LET(
  Nama, B213,
  SKU, C213,
  Estimasi, E213,
  QtyOrder, F213,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14" ht="15.75" hidden="1" customHeight="1" outlineLevel="1">
      <c r="A214" s="5" t="str">
        <f t="shared" si="1"/>
        <v/>
      </c>
      <c r="B214" s="6"/>
      <c r="C214" s="7" t="str">
        <f t="array" ref="C214">IFS(B214="","",COUNTIF('Master Barang'!B:B,B214)=0,SUBSTITUTE(TRIM(B214)," ","-"),COUNTIF('Master Barang'!B:B,B214)=1,XLOOKUP(B214,'Master Barang'!B:B,'Master Barang'!C:C,,,1))</f>
        <v/>
      </c>
      <c r="D214" s="8"/>
      <c r="E214" s="9"/>
      <c r="G214" s="13"/>
      <c r="H214" s="7"/>
      <c r="I214" s="5" t="str">
        <f>IFERROR(__xludf.DUMMYFUNCTION("if(OR(B214="""",E214=""""),"""", LET(
  Nama, B214,
  SKU, C214,
  Estimasi, E214,
  QtyOrder, F214,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15" ht="15.75" hidden="1" customHeight="1" outlineLevel="1">
      <c r="A215" s="5" t="str">
        <f t="shared" si="1"/>
        <v/>
      </c>
      <c r="B215" s="6"/>
      <c r="C215" s="7" t="str">
        <f t="array" ref="C215">IFS(B215="","",COUNTIF('Master Barang'!B:B,B215)=0,SUBSTITUTE(TRIM(B215)," ","-"),COUNTIF('Master Barang'!B:B,B215)=1,XLOOKUP(B215,'Master Barang'!B:B,'Master Barang'!C:C,,,1))</f>
        <v/>
      </c>
      <c r="D215" s="8"/>
      <c r="E215" s="9"/>
      <c r="G215" s="13"/>
      <c r="H215" s="7"/>
      <c r="I215" s="5" t="str">
        <f>IFERROR(__xludf.DUMMYFUNCTION("if(OR(B215="""",E215=""""),"""", LET(
  Nama, B215,
  SKU, C215,
  Estimasi, E215,
  QtyOrder, F215,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16" ht="15.75" hidden="1" customHeight="1" outlineLevel="1">
      <c r="A216" s="5" t="str">
        <f t="shared" si="1"/>
        <v/>
      </c>
      <c r="B216" s="6"/>
      <c r="C216" s="7" t="str">
        <f t="array" ref="C216">IFS(B216="","",COUNTIF('Master Barang'!B:B,B216)=0,SUBSTITUTE(TRIM(B216)," ","-"),COUNTIF('Master Barang'!B:B,B216)=1,XLOOKUP(B216,'Master Barang'!B:B,'Master Barang'!C:C,,,1))</f>
        <v/>
      </c>
      <c r="D216" s="8"/>
      <c r="E216" s="9"/>
      <c r="G216" s="13"/>
      <c r="H216" s="7"/>
      <c r="I216" s="5" t="str">
        <f>IFERROR(__xludf.DUMMYFUNCTION("if(OR(B216="""",E216=""""),"""", LET(
  Nama, B216,
  SKU, C216,
  Estimasi, E216,
  QtyOrder, F216,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17" ht="15.75" hidden="1" customHeight="1" outlineLevel="1">
      <c r="A217" s="5" t="str">
        <f t="shared" si="1"/>
        <v/>
      </c>
      <c r="B217" s="6"/>
      <c r="C217" s="7" t="str">
        <f t="array" ref="C217">IFS(B217="","",COUNTIF('Master Barang'!B:B,B217)=0,SUBSTITUTE(TRIM(B217)," ","-"),COUNTIF('Master Barang'!B:B,B217)=1,XLOOKUP(B217,'Master Barang'!B:B,'Master Barang'!C:C,,,1))</f>
        <v/>
      </c>
      <c r="D217" s="8"/>
      <c r="E217" s="9"/>
      <c r="G217" s="13"/>
      <c r="H217" s="7"/>
      <c r="I217" s="5" t="str">
        <f>IFERROR(__xludf.DUMMYFUNCTION("if(OR(B217="""",E217=""""),"""", LET(
  Nama, B217,
  SKU, C217,
  Estimasi, E217,
  QtyOrder, F217,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18" ht="15.75" hidden="1" customHeight="1" outlineLevel="1">
      <c r="A218" s="5" t="str">
        <f t="shared" si="1"/>
        <v/>
      </c>
      <c r="B218" s="6"/>
      <c r="C218" s="7" t="str">
        <f t="array" ref="C218">IFS(B218="","",COUNTIF('Master Barang'!B:B,B218)=0,SUBSTITUTE(TRIM(B218)," ","-"),COUNTIF('Master Barang'!B:B,B218)=1,XLOOKUP(B218,'Master Barang'!B:B,'Master Barang'!C:C,,,1))</f>
        <v/>
      </c>
      <c r="D218" s="8"/>
      <c r="E218" s="9"/>
      <c r="G218" s="13"/>
      <c r="H218" s="7"/>
      <c r="I218" s="5" t="str">
        <f>IFERROR(__xludf.DUMMYFUNCTION("if(OR(B218="""",E218=""""),"""", LET(
  Nama, B218,
  SKU, C218,
  Estimasi, E218,
  QtyOrder, F218,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19" ht="15.75" hidden="1" customHeight="1" outlineLevel="1">
      <c r="A219" s="5" t="str">
        <f t="shared" si="1"/>
        <v/>
      </c>
      <c r="B219" s="6"/>
      <c r="C219" s="7" t="str">
        <f t="array" ref="C219">IFS(B219="","",COUNTIF('Master Barang'!B:B,B219)=0,SUBSTITUTE(TRIM(B219)," ","-"),COUNTIF('Master Barang'!B:B,B219)=1,XLOOKUP(B219,'Master Barang'!B:B,'Master Barang'!C:C,,,1))</f>
        <v/>
      </c>
      <c r="D219" s="8"/>
      <c r="E219" s="9"/>
      <c r="G219" s="13"/>
      <c r="H219" s="7"/>
      <c r="I219" s="5" t="str">
        <f>IFERROR(__xludf.DUMMYFUNCTION("if(OR(B219="""",E219=""""),"""", LET(
  Nama, B219,
  SKU, C219,
  Estimasi, E219,
  QtyOrder, F219,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20" ht="15.75" hidden="1" customHeight="1" outlineLevel="1">
      <c r="A220" s="5" t="str">
        <f t="shared" si="1"/>
        <v/>
      </c>
      <c r="B220" s="6"/>
      <c r="C220" s="7" t="str">
        <f t="array" ref="C220">IFS(B220="","",COUNTIF('Master Barang'!B:B,B220)=0,SUBSTITUTE(TRIM(B220)," ","-"),COUNTIF('Master Barang'!B:B,B220)=1,XLOOKUP(B220,'Master Barang'!B:B,'Master Barang'!C:C,,,1))</f>
        <v/>
      </c>
      <c r="D220" s="8"/>
      <c r="E220" s="9"/>
      <c r="G220" s="13"/>
      <c r="H220" s="7"/>
      <c r="I220" s="5" t="str">
        <f>IFERROR(__xludf.DUMMYFUNCTION("if(OR(B220="""",E220=""""),"""", LET(
  Nama, B220,
  SKU, C220,
  Estimasi, E220,
  QtyOrder, F220,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21" ht="15.75" hidden="1" customHeight="1" outlineLevel="1">
      <c r="A221" s="5" t="str">
        <f t="shared" si="1"/>
        <v/>
      </c>
      <c r="B221" s="6"/>
      <c r="C221" s="7" t="str">
        <f t="array" ref="C221">IFS(B221="","",COUNTIF('Master Barang'!B:B,B221)=0,SUBSTITUTE(TRIM(B221)," ","-"),COUNTIF('Master Barang'!B:B,B221)=1,XLOOKUP(B221,'Master Barang'!B:B,'Master Barang'!C:C,,,1))</f>
        <v/>
      </c>
      <c r="D221" s="8"/>
      <c r="E221" s="9"/>
      <c r="G221" s="13"/>
      <c r="H221" s="7"/>
      <c r="I221" s="5" t="str">
        <f>IFERROR(__xludf.DUMMYFUNCTION("if(OR(B221="""",E221=""""),"""", LET(
  Nama, B221,
  SKU, C221,
  Estimasi, E221,
  QtyOrder, F221,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22" ht="15.75" hidden="1" customHeight="1" outlineLevel="1">
      <c r="A222" s="5" t="str">
        <f t="shared" si="1"/>
        <v/>
      </c>
      <c r="B222" s="6"/>
      <c r="C222" s="7" t="str">
        <f t="array" ref="C222">IFS(B222="","",COUNTIF('Master Barang'!B:B,B222)=0,SUBSTITUTE(TRIM(B222)," ","-"),COUNTIF('Master Barang'!B:B,B222)=1,XLOOKUP(B222,'Master Barang'!B:B,'Master Barang'!C:C,,,1))</f>
        <v/>
      </c>
      <c r="D222" s="8"/>
      <c r="E222" s="9"/>
      <c r="G222" s="13"/>
      <c r="H222" s="7"/>
      <c r="I222" s="5" t="str">
        <f>IFERROR(__xludf.DUMMYFUNCTION("if(OR(B222="""",E222=""""),"""", LET(
  Nama, B222,
  SKU, C222,
  Estimasi, E222,
  QtyOrder, F222,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23" ht="15.75" hidden="1" customHeight="1" outlineLevel="1">
      <c r="A223" s="5" t="str">
        <f t="shared" si="1"/>
        <v/>
      </c>
      <c r="B223" s="6"/>
      <c r="C223" s="7" t="str">
        <f t="array" ref="C223">IFS(B223="","",COUNTIF('Master Barang'!B:B,B223)=0,SUBSTITUTE(TRIM(B223)," ","-"),COUNTIF('Master Barang'!B:B,B223)=1,XLOOKUP(B223,'Master Barang'!B:B,'Master Barang'!C:C,,,1))</f>
        <v/>
      </c>
      <c r="D223" s="8"/>
      <c r="E223" s="9"/>
      <c r="G223" s="13"/>
      <c r="H223" s="7"/>
      <c r="I223" s="5" t="str">
        <f>IFERROR(__xludf.DUMMYFUNCTION("if(OR(B223="""",E223=""""),"""", LET(
  Nama, B223,
  SKU, C223,
  Estimasi, E223,
  QtyOrder, F223,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24" ht="15.75" hidden="1" customHeight="1" outlineLevel="1">
      <c r="A224" s="5" t="str">
        <f t="shared" si="1"/>
        <v/>
      </c>
      <c r="B224" s="6"/>
      <c r="C224" s="7" t="str">
        <f t="array" ref="C224">IFS(B224="","",COUNTIF('Master Barang'!B:B,B224)=0,SUBSTITUTE(TRIM(B224)," ","-"),COUNTIF('Master Barang'!B:B,B224)=1,XLOOKUP(B224,'Master Barang'!B:B,'Master Barang'!C:C,,,1))</f>
        <v/>
      </c>
      <c r="D224" s="8"/>
      <c r="E224" s="9"/>
      <c r="G224" s="13"/>
      <c r="H224" s="7"/>
      <c r="I224" s="5" t="str">
        <f>IFERROR(__xludf.DUMMYFUNCTION("if(OR(B224="""",E224=""""),"""", LET(
  Nama, B224,
  SKU, C224,
  Estimasi, E224,
  QtyOrder, F224,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25" ht="15.75" hidden="1" customHeight="1" outlineLevel="1">
      <c r="A225" s="5" t="str">
        <f t="shared" si="1"/>
        <v/>
      </c>
      <c r="B225" s="6"/>
      <c r="C225" s="7" t="str">
        <f t="array" ref="C225">IFS(B225="","",COUNTIF('Master Barang'!B:B,B225)=0,SUBSTITUTE(TRIM(B225)," ","-"),COUNTIF('Master Barang'!B:B,B225)=1,XLOOKUP(B225,'Master Barang'!B:B,'Master Barang'!C:C,,,1))</f>
        <v/>
      </c>
      <c r="D225" s="8"/>
      <c r="E225" s="9"/>
      <c r="G225" s="13"/>
      <c r="H225" s="7"/>
      <c r="I225" s="5" t="str">
        <f>IFERROR(__xludf.DUMMYFUNCTION("if(OR(B225="""",E225=""""),"""", LET(
  Nama, B225,
  SKU, C225,
  Estimasi, E225,
  QtyOrder, F225,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26" ht="15.75" hidden="1" customHeight="1" outlineLevel="1">
      <c r="A226" s="5" t="str">
        <f t="shared" si="1"/>
        <v/>
      </c>
      <c r="B226" s="6"/>
      <c r="C226" s="7" t="str">
        <f t="array" ref="C226">IFS(B226="","",COUNTIF('Master Barang'!B:B,B226)=0,SUBSTITUTE(TRIM(B226)," ","-"),COUNTIF('Master Barang'!B:B,B226)=1,XLOOKUP(B226,'Master Barang'!B:B,'Master Barang'!C:C,,,1))</f>
        <v/>
      </c>
      <c r="D226" s="8"/>
      <c r="E226" s="9"/>
      <c r="G226" s="13"/>
      <c r="H226" s="7"/>
      <c r="I226" s="5" t="str">
        <f>IFERROR(__xludf.DUMMYFUNCTION("if(OR(B226="""",E226=""""),"""", LET(
  Nama, B226,
  SKU, C226,
  Estimasi, E226,
  QtyOrder, F226,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27" ht="15.75" hidden="1" customHeight="1" outlineLevel="1">
      <c r="A227" s="5" t="str">
        <f t="shared" si="1"/>
        <v/>
      </c>
      <c r="B227" s="6"/>
      <c r="C227" s="7" t="str">
        <f t="array" ref="C227">IFS(B227="","",COUNTIF('Master Barang'!B:B,B227)=0,SUBSTITUTE(TRIM(B227)," ","-"),COUNTIF('Master Barang'!B:B,B227)=1,XLOOKUP(B227,'Master Barang'!B:B,'Master Barang'!C:C,,,1))</f>
        <v/>
      </c>
      <c r="D227" s="8"/>
      <c r="E227" s="9"/>
      <c r="G227" s="13"/>
      <c r="H227" s="7"/>
      <c r="I227" s="5" t="str">
        <f>IFERROR(__xludf.DUMMYFUNCTION("if(OR(B227="""",E227=""""),"""", LET(
  Nama, B227,
  SKU, C227,
  Estimasi, E227,
  QtyOrder, F227,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28" ht="15.75" hidden="1" customHeight="1" outlineLevel="1">
      <c r="A228" s="5" t="str">
        <f t="shared" si="1"/>
        <v/>
      </c>
      <c r="B228" s="6"/>
      <c r="C228" s="7" t="str">
        <f t="array" ref="C228">IFS(B228="","",COUNTIF('Master Barang'!B:B,B228)=0,SUBSTITUTE(TRIM(B228)," ","-"),COUNTIF('Master Barang'!B:B,B228)=1,XLOOKUP(B228,'Master Barang'!B:B,'Master Barang'!C:C,,,1))</f>
        <v/>
      </c>
      <c r="D228" s="8"/>
      <c r="E228" s="9"/>
      <c r="G228" s="13"/>
      <c r="H228" s="7"/>
      <c r="I228" s="5" t="str">
        <f>IFERROR(__xludf.DUMMYFUNCTION("if(OR(B228="""",E228=""""),"""", LET(
  Nama, B228,
  SKU, C228,
  Estimasi, E228,
  QtyOrder, F228,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29" ht="15.75" hidden="1" customHeight="1" outlineLevel="1">
      <c r="A229" s="5" t="str">
        <f t="shared" si="1"/>
        <v/>
      </c>
      <c r="B229" s="6"/>
      <c r="C229" s="7" t="str">
        <f t="array" ref="C229">IFS(B229="","",COUNTIF('Master Barang'!B:B,B229)=0,SUBSTITUTE(TRIM(B229)," ","-"),COUNTIF('Master Barang'!B:B,B229)=1,XLOOKUP(B229,'Master Barang'!B:B,'Master Barang'!C:C,,,1))</f>
        <v/>
      </c>
      <c r="D229" s="8"/>
      <c r="E229" s="9"/>
      <c r="G229" s="13"/>
      <c r="H229" s="7"/>
      <c r="I229" s="5" t="str">
        <f>IFERROR(__xludf.DUMMYFUNCTION("if(OR(B229="""",E229=""""),"""", LET(
  Nama, B229,
  SKU, C229,
  Estimasi, E229,
  QtyOrder, F229,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30" ht="15.75" hidden="1" customHeight="1" outlineLevel="1">
      <c r="A230" s="5" t="str">
        <f t="shared" si="1"/>
        <v/>
      </c>
      <c r="B230" s="6"/>
      <c r="C230" s="7" t="str">
        <f t="array" ref="C230">IFS(B230="","",COUNTIF('Master Barang'!B:B,B230)=0,SUBSTITUTE(TRIM(B230)," ","-"),COUNTIF('Master Barang'!B:B,B230)=1,XLOOKUP(B230,'Master Barang'!B:B,'Master Barang'!C:C,,,1))</f>
        <v/>
      </c>
      <c r="D230" s="8"/>
      <c r="E230" s="9"/>
      <c r="G230" s="13"/>
      <c r="H230" s="7"/>
      <c r="I230" s="5" t="str">
        <f>IFERROR(__xludf.DUMMYFUNCTION("if(OR(B230="""",E230=""""),"""", LET(
  Nama, B230,
  SKU, C230,
  Estimasi, E230,
  QtyOrder, F230,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31" ht="15.75" hidden="1" customHeight="1" outlineLevel="1">
      <c r="A231" s="5" t="str">
        <f t="shared" si="1"/>
        <v/>
      </c>
      <c r="B231" s="6"/>
      <c r="C231" s="7" t="str">
        <f t="array" ref="C231">IFS(B231="","",COUNTIF('Master Barang'!B:B,B231)=0,SUBSTITUTE(TRIM(B231)," ","-"),COUNTIF('Master Barang'!B:B,B231)=1,XLOOKUP(B231,'Master Barang'!B:B,'Master Barang'!C:C,,,1))</f>
        <v/>
      </c>
      <c r="D231" s="8"/>
      <c r="E231" s="9"/>
      <c r="G231" s="13"/>
      <c r="H231" s="7"/>
      <c r="I231" s="5" t="str">
        <f>IFERROR(__xludf.DUMMYFUNCTION("if(OR(B231="""",E231=""""),"""", LET(
  Nama, B231,
  SKU, C231,
  Estimasi, E231,
  QtyOrder, F231,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32" ht="15.75" hidden="1" customHeight="1" outlineLevel="1">
      <c r="A232" s="5" t="str">
        <f t="shared" si="1"/>
        <v/>
      </c>
      <c r="B232" s="6"/>
      <c r="C232" s="7" t="str">
        <f t="array" ref="C232">IFS(B232="","",COUNTIF('Master Barang'!B:B,B232)=0,SUBSTITUTE(TRIM(B232)," ","-"),COUNTIF('Master Barang'!B:B,B232)=1,XLOOKUP(B232,'Master Barang'!B:B,'Master Barang'!C:C,,,1))</f>
        <v/>
      </c>
      <c r="D232" s="8"/>
      <c r="E232" s="9"/>
      <c r="G232" s="13"/>
      <c r="H232" s="7"/>
      <c r="I232" s="5" t="str">
        <f>IFERROR(__xludf.DUMMYFUNCTION("if(OR(B232="""",E232=""""),"""", LET(
  Nama, B232,
  SKU, C232,
  Estimasi, E232,
  QtyOrder, F232,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33" ht="15.75" hidden="1" customHeight="1" outlineLevel="1">
      <c r="A233" s="5" t="str">
        <f t="shared" si="1"/>
        <v/>
      </c>
      <c r="B233" s="6"/>
      <c r="C233" s="7" t="str">
        <f t="array" ref="C233">IFS(B233="","",COUNTIF('Master Barang'!B:B,B233)=0,SUBSTITUTE(TRIM(B233)," ","-"),COUNTIF('Master Barang'!B:B,B233)=1,XLOOKUP(B233,'Master Barang'!B:B,'Master Barang'!C:C,,,1))</f>
        <v/>
      </c>
      <c r="D233" s="8"/>
      <c r="E233" s="9"/>
      <c r="G233" s="13"/>
      <c r="H233" s="7"/>
      <c r="I233" s="5" t="str">
        <f>IFERROR(__xludf.DUMMYFUNCTION("if(OR(B233="""",E233=""""),"""", LET(
  Nama, B233,
  SKU, C233,
  Estimasi, E233,
  QtyOrder, F233,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34" ht="15.75" hidden="1" customHeight="1" outlineLevel="1">
      <c r="A234" s="5" t="str">
        <f t="shared" si="1"/>
        <v/>
      </c>
      <c r="B234" s="6"/>
      <c r="C234" s="7" t="str">
        <f t="array" ref="C234">IFS(B234="","",COUNTIF('Master Barang'!B:B,B234)=0,SUBSTITUTE(TRIM(B234)," ","-"),COUNTIF('Master Barang'!B:B,B234)=1,XLOOKUP(B234,'Master Barang'!B:B,'Master Barang'!C:C,,,1))</f>
        <v/>
      </c>
      <c r="D234" s="8"/>
      <c r="E234" s="9"/>
      <c r="G234" s="13"/>
      <c r="H234" s="7"/>
      <c r="I234" s="5" t="str">
        <f>IFERROR(__xludf.DUMMYFUNCTION("if(OR(B234="""",E234=""""),"""", LET(
  Nama, B234,
  SKU, C234,
  Estimasi, E234,
  QtyOrder, F234,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35" ht="15.75" hidden="1" customHeight="1" outlineLevel="1">
      <c r="A235" s="5" t="str">
        <f t="shared" si="1"/>
        <v/>
      </c>
      <c r="B235" s="6"/>
      <c r="C235" s="7" t="str">
        <f t="array" ref="C235">IFS(B235="","",COUNTIF('Master Barang'!B:B,B235)=0,SUBSTITUTE(TRIM(B235)," ","-"),COUNTIF('Master Barang'!B:B,B235)=1,XLOOKUP(B235,'Master Barang'!B:B,'Master Barang'!C:C,,,1))</f>
        <v/>
      </c>
      <c r="D235" s="8"/>
      <c r="E235" s="9"/>
      <c r="G235" s="13"/>
      <c r="H235" s="7"/>
      <c r="I235" s="5" t="str">
        <f>IFERROR(__xludf.DUMMYFUNCTION("if(OR(B235="""",E235=""""),"""", LET(
  Nama, B235,
  SKU, C235,
  Estimasi, E235,
  QtyOrder, F235,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36" ht="15.75" hidden="1" customHeight="1" outlineLevel="1">
      <c r="A236" s="5" t="str">
        <f t="shared" si="1"/>
        <v/>
      </c>
      <c r="B236" s="6"/>
      <c r="C236" s="7" t="str">
        <f t="array" ref="C236">IFS(B236="","",COUNTIF('Master Barang'!B:B,B236)=0,SUBSTITUTE(TRIM(B236)," ","-"),COUNTIF('Master Barang'!B:B,B236)=1,XLOOKUP(B236,'Master Barang'!B:B,'Master Barang'!C:C,,,1))</f>
        <v/>
      </c>
      <c r="D236" s="8"/>
      <c r="E236" s="9"/>
      <c r="G236" s="13"/>
      <c r="H236" s="7"/>
      <c r="I236" s="5" t="str">
        <f>IFERROR(__xludf.DUMMYFUNCTION("if(OR(B236="""",E236=""""),"""", LET(
  Nama, B236,
  SKU, C236,
  Estimasi, E236,
  QtyOrder, F236,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37" ht="15.75" hidden="1" customHeight="1" outlineLevel="1">
      <c r="A237" s="5" t="str">
        <f t="shared" si="1"/>
        <v/>
      </c>
      <c r="B237" s="6"/>
      <c r="C237" s="7" t="str">
        <f t="array" ref="C237">IFS(B237="","",COUNTIF('Master Barang'!B:B,B237)=0,SUBSTITUTE(TRIM(B237)," ","-"),COUNTIF('Master Barang'!B:B,B237)=1,XLOOKUP(B237,'Master Barang'!B:B,'Master Barang'!C:C,,,1))</f>
        <v/>
      </c>
      <c r="D237" s="8"/>
      <c r="E237" s="9"/>
      <c r="G237" s="13"/>
      <c r="H237" s="7"/>
      <c r="I237" s="5" t="str">
        <f>IFERROR(__xludf.DUMMYFUNCTION("if(OR(B237="""",E237=""""),"""", LET(
  Nama, B237,
  SKU, C237,
  Estimasi, E237,
  QtyOrder, F237,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38" ht="15.75" hidden="1" customHeight="1" outlineLevel="1">
      <c r="A238" s="5" t="str">
        <f t="shared" si="1"/>
        <v/>
      </c>
      <c r="B238" s="6"/>
      <c r="C238" s="7" t="str">
        <f t="array" ref="C238">IFS(B238="","",COUNTIF('Master Barang'!B:B,B238)=0,SUBSTITUTE(TRIM(B238)," ","-"),COUNTIF('Master Barang'!B:B,B238)=1,XLOOKUP(B238,'Master Barang'!B:B,'Master Barang'!C:C,,,1))</f>
        <v/>
      </c>
      <c r="D238" s="8"/>
      <c r="E238" s="9"/>
      <c r="G238" s="13"/>
      <c r="H238" s="7"/>
      <c r="I238" s="5" t="str">
        <f>IFERROR(__xludf.DUMMYFUNCTION("if(OR(B238="""",E238=""""),"""", LET(
  Nama, B238,
  SKU, C238,
  Estimasi, E238,
  QtyOrder, F238,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39" ht="15.75" hidden="1" customHeight="1" outlineLevel="1">
      <c r="A239" s="5" t="str">
        <f t="shared" si="1"/>
        <v/>
      </c>
      <c r="B239" s="6"/>
      <c r="C239" s="7" t="str">
        <f t="array" ref="C239">IFS(B239="","",COUNTIF('Master Barang'!B:B,B239)=0,SUBSTITUTE(TRIM(B239)," ","-"),COUNTIF('Master Barang'!B:B,B239)=1,XLOOKUP(B239,'Master Barang'!B:B,'Master Barang'!C:C,,,1))</f>
        <v/>
      </c>
      <c r="D239" s="8"/>
      <c r="E239" s="9"/>
      <c r="G239" s="13"/>
      <c r="H239" s="7"/>
      <c r="I239" s="5" t="str">
        <f>IFERROR(__xludf.DUMMYFUNCTION("if(OR(B239="""",E239=""""),"""", LET(
  Nama, B239,
  SKU, C239,
  Estimasi, E239,
  QtyOrder, F239,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40" ht="15.75" hidden="1" customHeight="1" outlineLevel="1">
      <c r="A240" s="5" t="str">
        <f t="shared" si="1"/>
        <v/>
      </c>
      <c r="B240" s="6"/>
      <c r="C240" s="7" t="str">
        <f t="array" ref="C240">IFS(B240="","",COUNTIF('Master Barang'!B:B,B240)=0,SUBSTITUTE(TRIM(B240)," ","-"),COUNTIF('Master Barang'!B:B,B240)=1,XLOOKUP(B240,'Master Barang'!B:B,'Master Barang'!C:C,,,1))</f>
        <v/>
      </c>
      <c r="D240" s="8"/>
      <c r="E240" s="9"/>
      <c r="G240" s="13"/>
      <c r="H240" s="7"/>
      <c r="I240" s="5" t="str">
        <f>IFERROR(__xludf.DUMMYFUNCTION("if(OR(B240="""",E240=""""),"""", LET(
  Nama, B240,
  SKU, C240,
  Estimasi, E240,
  QtyOrder, F240,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41" ht="15.75" hidden="1" customHeight="1" outlineLevel="1">
      <c r="A241" s="5" t="str">
        <f t="shared" si="1"/>
        <v/>
      </c>
      <c r="B241" s="6"/>
      <c r="C241" s="7" t="str">
        <f t="array" ref="C241">IFS(B241="","",COUNTIF('Master Barang'!B:B,B241)=0,SUBSTITUTE(TRIM(B241)," ","-"),COUNTIF('Master Barang'!B:B,B241)=1,XLOOKUP(B241,'Master Barang'!B:B,'Master Barang'!C:C,,,1))</f>
        <v/>
      </c>
      <c r="D241" s="8"/>
      <c r="E241" s="9"/>
      <c r="G241" s="13"/>
      <c r="H241" s="7"/>
      <c r="I241" s="5" t="str">
        <f>IFERROR(__xludf.DUMMYFUNCTION("if(OR(B241="""",E241=""""),"""", LET(
  Nama, B241,
  SKU, C241,
  Estimasi, E241,
  QtyOrder, F241,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42" ht="15.75" hidden="1" customHeight="1" outlineLevel="1">
      <c r="A242" s="5" t="str">
        <f t="shared" si="1"/>
        <v/>
      </c>
      <c r="B242" s="6"/>
      <c r="C242" s="7" t="str">
        <f t="array" ref="C242">IFS(B242="","",COUNTIF('Master Barang'!B:B,B242)=0,SUBSTITUTE(TRIM(B242)," ","-"),COUNTIF('Master Barang'!B:B,B242)=1,XLOOKUP(B242,'Master Barang'!B:B,'Master Barang'!C:C,,,1))</f>
        <v/>
      </c>
      <c r="D242" s="8"/>
      <c r="E242" s="9"/>
      <c r="G242" s="13"/>
      <c r="H242" s="7"/>
      <c r="I242" s="5" t="str">
        <f>IFERROR(__xludf.DUMMYFUNCTION("if(OR(B242="""",E242=""""),"""", LET(
  Nama, B242,
  SKU, C242,
  Estimasi, E242,
  QtyOrder, F242,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43" ht="15.75" hidden="1" customHeight="1" outlineLevel="1">
      <c r="A243" s="5" t="str">
        <f t="shared" si="1"/>
        <v/>
      </c>
      <c r="B243" s="6"/>
      <c r="C243" s="7" t="str">
        <f t="array" ref="C243">IFS(B243="","",COUNTIF('Master Barang'!B:B,B243)=0,SUBSTITUTE(TRIM(B243)," ","-"),COUNTIF('Master Barang'!B:B,B243)=1,XLOOKUP(B243,'Master Barang'!B:B,'Master Barang'!C:C,,,1))</f>
        <v/>
      </c>
      <c r="D243" s="8"/>
      <c r="E243" s="9"/>
      <c r="G243" s="13"/>
      <c r="H243" s="7"/>
      <c r="I243" s="5" t="str">
        <f>IFERROR(__xludf.DUMMYFUNCTION("if(OR(B243="""",E243=""""),"""", LET(
  Nama, B243,
  SKU, C243,
  Estimasi, E243,
  QtyOrder, F243,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44" ht="15.75" hidden="1" customHeight="1" outlineLevel="1">
      <c r="A244" s="5" t="str">
        <f t="shared" si="1"/>
        <v/>
      </c>
      <c r="B244" s="6"/>
      <c r="C244" s="7" t="str">
        <f t="array" ref="C244">IFS(B244="","",COUNTIF('Master Barang'!B:B,B244)=0,SUBSTITUTE(TRIM(B244)," ","-"),COUNTIF('Master Barang'!B:B,B244)=1,XLOOKUP(B244,'Master Barang'!B:B,'Master Barang'!C:C,,,1))</f>
        <v/>
      </c>
      <c r="D244" s="8"/>
      <c r="E244" s="9"/>
      <c r="G244" s="13"/>
      <c r="H244" s="7"/>
      <c r="I244" s="5" t="str">
        <f>IFERROR(__xludf.DUMMYFUNCTION("if(OR(B244="""",E244=""""),"""", LET(
  Nama, B244,
  SKU, C244,
  Estimasi, E244,
  QtyOrder, F244,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45" ht="15.75" hidden="1" customHeight="1" outlineLevel="1">
      <c r="A245" s="5" t="str">
        <f t="shared" si="1"/>
        <v/>
      </c>
      <c r="B245" s="6"/>
      <c r="C245" s="7" t="str">
        <f t="array" ref="C245">IFS(B245="","",COUNTIF('Master Barang'!B:B,B245)=0,SUBSTITUTE(TRIM(B245)," ","-"),COUNTIF('Master Barang'!B:B,B245)=1,XLOOKUP(B245,'Master Barang'!B:B,'Master Barang'!C:C,,,1))</f>
        <v/>
      </c>
      <c r="D245" s="8"/>
      <c r="E245" s="9"/>
      <c r="G245" s="13"/>
      <c r="H245" s="7"/>
      <c r="I245" s="5" t="str">
        <f>IFERROR(__xludf.DUMMYFUNCTION("if(OR(B245="""",E245=""""),"""", LET(
  Nama, B245,
  SKU, C245,
  Estimasi, E245,
  QtyOrder, F245,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46" ht="15.75" hidden="1" customHeight="1" outlineLevel="1">
      <c r="A246" s="5"/>
      <c r="B246" s="6"/>
      <c r="C246" s="7"/>
      <c r="D246" s="8"/>
      <c r="E246" s="9"/>
      <c r="G246" s="13"/>
      <c r="H246" s="7"/>
      <c r="I246" s="5"/>
    </row>
    <row r="247" ht="15.75" hidden="1" customHeight="1" outlineLevel="1">
      <c r="A247" s="5" t="str">
        <f t="shared" ref="A247:A296" si="2">IF(B247&lt;&gt;"",ROW(B247)-ROW($B$1),"")</f>
        <v/>
      </c>
      <c r="B247" s="6"/>
      <c r="C247" s="7" t="str">
        <f t="array" ref="C247">IFS(B247="","",COUNTIF('Master Barang'!B:B,B247)=0,SUBSTITUTE(TRIM(B247)," ","-"),COUNTIF('Master Barang'!B:B,B247)=1,XLOOKUP(B247,'Master Barang'!B:B,'Master Barang'!C:C,,,1))</f>
        <v/>
      </c>
      <c r="D247" s="8"/>
      <c r="E247" s="9"/>
      <c r="G247" s="13"/>
      <c r="H247" s="7"/>
      <c r="I247" s="5" t="str">
        <f>IFERROR(__xludf.DUMMYFUNCTION("if(OR(B247="""",E247=""""),"""", LET(
  Nama, B247,
  SKU, C247,
  Estimasi, E247,
  QtyOrder, F247,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48" ht="15.75" hidden="1" customHeight="1" outlineLevel="1">
      <c r="A248" s="5" t="str">
        <f t="shared" si="2"/>
        <v/>
      </c>
      <c r="B248" s="6"/>
      <c r="C248" s="7" t="str">
        <f t="array" ref="C248">IFS(B248="","",COUNTIF('Master Barang'!B:B,B248)=0,SUBSTITUTE(TRIM(B248)," ","-"),COUNTIF('Master Barang'!B:B,B248)=1,XLOOKUP(B248,'Master Barang'!B:B,'Master Barang'!C:C,,,1))</f>
        <v/>
      </c>
      <c r="D248" s="8"/>
      <c r="E248" s="9"/>
      <c r="G248" s="13"/>
      <c r="H248" s="7"/>
      <c r="I248" s="5" t="str">
        <f>IFERROR(__xludf.DUMMYFUNCTION("if(OR(B248="""",E248=""""),"""", LET(
  Nama, B248,
  SKU, C248,
  Estimasi, E248,
  QtyOrder, F248,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49" ht="15.75" hidden="1" customHeight="1" outlineLevel="1">
      <c r="A249" s="5" t="str">
        <f t="shared" si="2"/>
        <v/>
      </c>
      <c r="B249" s="6"/>
      <c r="C249" s="7" t="str">
        <f t="array" ref="C249">IFS(B249="","",COUNTIF('Master Barang'!B:B,B249)=0,SUBSTITUTE(TRIM(B249)," ","-"),COUNTIF('Master Barang'!B:B,B249)=1,XLOOKUP(B249,'Master Barang'!B:B,'Master Barang'!C:C,,,1))</f>
        <v/>
      </c>
      <c r="D249" s="8"/>
      <c r="E249" s="9"/>
      <c r="G249" s="13"/>
      <c r="H249" s="7"/>
      <c r="I249" s="5" t="str">
        <f>IFERROR(__xludf.DUMMYFUNCTION("if(OR(B249="""",E249=""""),"""", LET(
  Nama, B249,
  SKU, C249,
  Estimasi, E249,
  QtyOrder, F249,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50" ht="15.75" hidden="1" customHeight="1" outlineLevel="1">
      <c r="A250" s="5" t="str">
        <f t="shared" si="2"/>
        <v/>
      </c>
      <c r="B250" s="6"/>
      <c r="C250" s="7" t="str">
        <f t="array" ref="C250">IFS(B250="","",COUNTIF('Master Barang'!B:B,B250)=0,SUBSTITUTE(TRIM(B250)," ","-"),COUNTIF('Master Barang'!B:B,B250)=1,XLOOKUP(B250,'Master Barang'!B:B,'Master Barang'!C:C,,,1))</f>
        <v/>
      </c>
      <c r="D250" s="8"/>
      <c r="E250" s="9"/>
      <c r="G250" s="13"/>
      <c r="H250" s="7"/>
      <c r="I250" s="5" t="str">
        <f>IFERROR(__xludf.DUMMYFUNCTION("if(OR(B250="""",E250=""""),"""", LET(
  Nama, B250,
  SKU, C250,
  Estimasi, E250,
  QtyOrder, F250,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51" ht="15.75" hidden="1" customHeight="1" outlineLevel="1">
      <c r="A251" s="5" t="str">
        <f t="shared" si="2"/>
        <v/>
      </c>
      <c r="B251" s="6"/>
      <c r="C251" s="7" t="str">
        <f t="array" ref="C251">IFS(B251="","",COUNTIF('Master Barang'!B:B,B251)=0,SUBSTITUTE(TRIM(B251)," ","-"),COUNTIF('Master Barang'!B:B,B251)=1,XLOOKUP(B251,'Master Barang'!B:B,'Master Barang'!C:C,,,1))</f>
        <v/>
      </c>
      <c r="D251" s="8"/>
      <c r="E251" s="9"/>
      <c r="G251" s="13"/>
      <c r="H251" s="7"/>
      <c r="I251" s="5" t="str">
        <f>IFERROR(__xludf.DUMMYFUNCTION("if(OR(B251="""",E251=""""),"""", LET(
  Nama, B251,
  SKU, C251,
  Estimasi, E251,
  QtyOrder, F251,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52" ht="15.75" hidden="1" customHeight="1" outlineLevel="1">
      <c r="A252" s="5" t="str">
        <f t="shared" si="2"/>
        <v/>
      </c>
      <c r="B252" s="6"/>
      <c r="C252" s="7" t="str">
        <f t="array" ref="C252">IFS(B252="","",COUNTIF('Master Barang'!B:B,B252)=0,SUBSTITUTE(TRIM(B252)," ","-"),COUNTIF('Master Barang'!B:B,B252)=1,XLOOKUP(B252,'Master Barang'!B:B,'Master Barang'!C:C,,,1))</f>
        <v/>
      </c>
      <c r="D252" s="8"/>
      <c r="E252" s="9"/>
      <c r="G252" s="13"/>
      <c r="H252" s="7"/>
      <c r="I252" s="5" t="str">
        <f>IFERROR(__xludf.DUMMYFUNCTION("if(OR(B252="""",E252=""""),"""", LET(
  Nama, B252,
  SKU, C252,
  Estimasi, E252,
  QtyOrder, F252,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53" ht="15.75" hidden="1" customHeight="1" outlineLevel="1">
      <c r="A253" s="5" t="str">
        <f t="shared" si="2"/>
        <v/>
      </c>
      <c r="B253" s="6"/>
      <c r="C253" s="7" t="str">
        <f t="array" ref="C253">IFS(B253="","",COUNTIF('Master Barang'!B:B,B253)=0,SUBSTITUTE(TRIM(B253)," ","-"),COUNTIF('Master Barang'!B:B,B253)=1,XLOOKUP(B253,'Master Barang'!B:B,'Master Barang'!C:C,,,1))</f>
        <v/>
      </c>
      <c r="D253" s="8"/>
      <c r="E253" s="9"/>
      <c r="G253" s="13"/>
      <c r="H253" s="7"/>
      <c r="I253" s="5" t="str">
        <f>IFERROR(__xludf.DUMMYFUNCTION("if(OR(B253="""",E253=""""),"""", LET(
  Nama, B253,
  SKU, C253,
  Estimasi, E253,
  QtyOrder, F253,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54" ht="15.75" hidden="1" customHeight="1" outlineLevel="1">
      <c r="A254" s="5" t="str">
        <f t="shared" si="2"/>
        <v/>
      </c>
      <c r="B254" s="6"/>
      <c r="C254" s="7" t="str">
        <f t="array" ref="C254">IFS(B254="","",COUNTIF('Master Barang'!B:B,B254)=0,SUBSTITUTE(TRIM(B254)," ","-"),COUNTIF('Master Barang'!B:B,B254)=1,XLOOKUP(B254,'Master Barang'!B:B,'Master Barang'!C:C,,,1))</f>
        <v/>
      </c>
      <c r="D254" s="8"/>
      <c r="E254" s="9"/>
      <c r="G254" s="13"/>
      <c r="H254" s="7"/>
      <c r="I254" s="5" t="str">
        <f>IFERROR(__xludf.DUMMYFUNCTION("if(OR(B254="""",E254=""""),"""", LET(
  Nama, B254,
  SKU, C254,
  Estimasi, E254,
  QtyOrder, F254,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55" ht="15.75" hidden="1" customHeight="1" outlineLevel="1">
      <c r="A255" s="5" t="str">
        <f t="shared" si="2"/>
        <v/>
      </c>
      <c r="B255" s="6"/>
      <c r="C255" s="7" t="str">
        <f t="array" ref="C255">IFS(B255="","",COUNTIF('Master Barang'!B:B,B255)=0,SUBSTITUTE(TRIM(B255)," ","-"),COUNTIF('Master Barang'!B:B,B255)=1,XLOOKUP(B255,'Master Barang'!B:B,'Master Barang'!C:C,,,1))</f>
        <v/>
      </c>
      <c r="D255" s="8"/>
      <c r="E255" s="9"/>
      <c r="G255" s="13"/>
      <c r="H255" s="7"/>
      <c r="I255" s="5" t="str">
        <f>IFERROR(__xludf.DUMMYFUNCTION("if(OR(B255="""",E255=""""),"""", LET(
  Nama, B255,
  SKU, C255,
  Estimasi, E255,
  QtyOrder, F255,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56" ht="15.75" hidden="1" customHeight="1" outlineLevel="1">
      <c r="A256" s="5" t="str">
        <f t="shared" si="2"/>
        <v/>
      </c>
      <c r="B256" s="6"/>
      <c r="C256" s="7" t="str">
        <f t="array" ref="C256">IFS(B256="","",COUNTIF('Master Barang'!B:B,B256)=0,SUBSTITUTE(TRIM(B256)," ","-"),COUNTIF('Master Barang'!B:B,B256)=1,XLOOKUP(B256,'Master Barang'!B:B,'Master Barang'!C:C,,,1))</f>
        <v/>
      </c>
      <c r="D256" s="8"/>
      <c r="E256" s="9"/>
      <c r="G256" s="13"/>
      <c r="H256" s="7"/>
      <c r="I256" s="5" t="str">
        <f>IFERROR(__xludf.DUMMYFUNCTION("if(OR(B256="""",E256=""""),"""", LET(
  Nama, B256,
  SKU, C256,
  Estimasi, E256,
  QtyOrder, F256,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57" ht="15.75" hidden="1" customHeight="1" outlineLevel="1">
      <c r="A257" s="5" t="str">
        <f t="shared" si="2"/>
        <v/>
      </c>
      <c r="B257" s="6"/>
      <c r="C257" s="7" t="str">
        <f t="array" ref="C257">IFS(B257="","",COUNTIF('Master Barang'!B:B,B257)=0,SUBSTITUTE(TRIM(B257)," ","-"),COUNTIF('Master Barang'!B:B,B257)=1,XLOOKUP(B257,'Master Barang'!B:B,'Master Barang'!C:C,,,1))</f>
        <v/>
      </c>
      <c r="D257" s="8"/>
      <c r="E257" s="9"/>
      <c r="G257" s="13"/>
      <c r="H257" s="7"/>
      <c r="I257" s="5" t="str">
        <f>IFERROR(__xludf.DUMMYFUNCTION("if(OR(B257="""",E257=""""),"""", LET(
  Nama, B257,
  SKU, C257,
  Estimasi, E257,
  QtyOrder, F257,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58" ht="15.75" hidden="1" customHeight="1" outlineLevel="1">
      <c r="A258" s="5" t="str">
        <f t="shared" si="2"/>
        <v/>
      </c>
      <c r="B258" s="6"/>
      <c r="C258" s="7" t="str">
        <f t="array" ref="C258">IFS(B258="","",COUNTIF('Master Barang'!B:B,B258)=0,SUBSTITUTE(TRIM(B258)," ","-"),COUNTIF('Master Barang'!B:B,B258)=1,XLOOKUP(B258,'Master Barang'!B:B,'Master Barang'!C:C,,,1))</f>
        <v/>
      </c>
      <c r="D258" s="8"/>
      <c r="E258" s="9"/>
      <c r="G258" s="13"/>
      <c r="H258" s="7"/>
      <c r="I258" s="5" t="str">
        <f>IFERROR(__xludf.DUMMYFUNCTION("if(OR(B258="""",E258=""""),"""", LET(
  Nama, B258,
  SKU, C258,
  Estimasi, E258,
  QtyOrder, F258,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59" ht="15.75" hidden="1" customHeight="1" outlineLevel="1">
      <c r="A259" s="5" t="str">
        <f t="shared" si="2"/>
        <v/>
      </c>
      <c r="B259" s="6"/>
      <c r="C259" s="7" t="str">
        <f t="array" ref="C259">IFS(B259="","",COUNTIF('Master Barang'!B:B,B259)=0,SUBSTITUTE(TRIM(B259)," ","-"),COUNTIF('Master Barang'!B:B,B259)=1,XLOOKUP(B259,'Master Barang'!B:B,'Master Barang'!C:C,,,1))</f>
        <v/>
      </c>
      <c r="D259" s="8"/>
      <c r="E259" s="9"/>
      <c r="G259" s="13"/>
      <c r="H259" s="7"/>
      <c r="I259" s="5" t="str">
        <f>IFERROR(__xludf.DUMMYFUNCTION("if(OR(B259="""",E259=""""),"""", LET(
  Nama, B259,
  SKU, C259,
  Estimasi, E259,
  QtyOrder, F259,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60" ht="15.75" hidden="1" customHeight="1" outlineLevel="1">
      <c r="A260" s="5" t="str">
        <f t="shared" si="2"/>
        <v/>
      </c>
      <c r="B260" s="6"/>
      <c r="C260" s="7" t="str">
        <f t="array" ref="C260">IFS(B260="","",COUNTIF('Master Barang'!B:B,B260)=0,SUBSTITUTE(TRIM(B260)," ","-"),COUNTIF('Master Barang'!B:B,B260)=1,XLOOKUP(B260,'Master Barang'!B:B,'Master Barang'!C:C,,,1))</f>
        <v/>
      </c>
      <c r="D260" s="8"/>
      <c r="E260" s="9"/>
      <c r="G260" s="13"/>
      <c r="H260" s="7"/>
      <c r="I260" s="5" t="str">
        <f>IFERROR(__xludf.DUMMYFUNCTION("if(OR(B260="""",E260=""""),"""", LET(
  Nama, B260,
  SKU, C260,
  Estimasi, E260,
  QtyOrder, F260,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61" ht="15.75" hidden="1" customHeight="1" outlineLevel="1">
      <c r="A261" s="5" t="str">
        <f t="shared" si="2"/>
        <v/>
      </c>
      <c r="B261" s="6"/>
      <c r="C261" s="7" t="str">
        <f t="array" ref="C261">IFS(B261="","",COUNTIF('Master Barang'!B:B,B261)=0,SUBSTITUTE(TRIM(B261)," ","-"),COUNTIF('Master Barang'!B:B,B261)=1,XLOOKUP(B261,'Master Barang'!B:B,'Master Barang'!C:C,,,1))</f>
        <v/>
      </c>
      <c r="D261" s="8"/>
      <c r="E261" s="9"/>
      <c r="G261" s="13"/>
      <c r="H261" s="7"/>
      <c r="I261" s="5" t="str">
        <f>IFERROR(__xludf.DUMMYFUNCTION("if(OR(B261="""",E261=""""),"""", LET(
  Nama, B261,
  SKU, C261,
  Estimasi, E261,
  QtyOrder, F261,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62" ht="15.75" hidden="1" customHeight="1" outlineLevel="1">
      <c r="A262" s="5" t="str">
        <f t="shared" si="2"/>
        <v/>
      </c>
      <c r="B262" s="6"/>
      <c r="C262" s="7" t="str">
        <f t="array" ref="C262">IFS(B262="","",COUNTIF('Master Barang'!B:B,B262)=0,SUBSTITUTE(TRIM(B262)," ","-"),COUNTIF('Master Barang'!B:B,B262)=1,XLOOKUP(B262,'Master Barang'!B:B,'Master Barang'!C:C,,,1))</f>
        <v/>
      </c>
      <c r="D262" s="8"/>
      <c r="E262" s="9"/>
      <c r="G262" s="13"/>
      <c r="H262" s="7"/>
      <c r="I262" s="5" t="str">
        <f>IFERROR(__xludf.DUMMYFUNCTION("if(OR(B262="""",E262=""""),"""", LET(
  Nama, B262,
  SKU, C262,
  Estimasi, E262,
  QtyOrder, F262,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63" ht="15.75" hidden="1" customHeight="1" outlineLevel="1">
      <c r="A263" s="5" t="str">
        <f t="shared" si="2"/>
        <v/>
      </c>
      <c r="B263" s="6"/>
      <c r="C263" s="7" t="str">
        <f t="array" ref="C263">IFS(B263="","",COUNTIF('Master Barang'!B:B,B263)=0,SUBSTITUTE(TRIM(B263)," ","-"),COUNTIF('Master Barang'!B:B,B263)=1,XLOOKUP(B263,'Master Barang'!B:B,'Master Barang'!C:C,,,1))</f>
        <v/>
      </c>
      <c r="D263" s="8"/>
      <c r="E263" s="9"/>
      <c r="G263" s="13"/>
      <c r="H263" s="7"/>
      <c r="I263" s="5" t="str">
        <f>IFERROR(__xludf.DUMMYFUNCTION("if(OR(B263="""",E263=""""),"""", LET(
  Nama, B263,
  SKU, C263,
  Estimasi, E263,
  QtyOrder, F263,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64" ht="15.75" hidden="1" customHeight="1" outlineLevel="1">
      <c r="A264" s="5" t="str">
        <f t="shared" si="2"/>
        <v/>
      </c>
      <c r="B264" s="6"/>
      <c r="C264" s="7" t="str">
        <f t="array" ref="C264">IFS(B264="","",COUNTIF('Master Barang'!B:B,B264)=0,SUBSTITUTE(TRIM(B264)," ","-"),COUNTIF('Master Barang'!B:B,B264)=1,XLOOKUP(B264,'Master Barang'!B:B,'Master Barang'!C:C,,,1))</f>
        <v/>
      </c>
      <c r="D264" s="8"/>
      <c r="E264" s="9"/>
      <c r="G264" s="13"/>
      <c r="H264" s="7"/>
      <c r="I264" s="5" t="str">
        <f>IFERROR(__xludf.DUMMYFUNCTION("if(OR(B264="""",E264=""""),"""", LET(
  Nama, B264,
  SKU, C264,
  Estimasi, E264,
  QtyOrder, F264,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65" ht="15.75" hidden="1" customHeight="1" outlineLevel="1">
      <c r="A265" s="5" t="str">
        <f t="shared" si="2"/>
        <v/>
      </c>
      <c r="B265" s="6"/>
      <c r="C265" s="7" t="str">
        <f t="array" ref="C265">IFS(B265="","",COUNTIF('Master Barang'!B:B,B265)=0,SUBSTITUTE(TRIM(B265)," ","-"),COUNTIF('Master Barang'!B:B,B265)=1,XLOOKUP(B265,'Master Barang'!B:B,'Master Barang'!C:C,,,1))</f>
        <v/>
      </c>
      <c r="D265" s="8"/>
      <c r="E265" s="9"/>
      <c r="G265" s="13"/>
      <c r="H265" s="7"/>
      <c r="I265" s="5" t="str">
        <f>IFERROR(__xludf.DUMMYFUNCTION("if(OR(B265="""",E265=""""),"""", LET(
  Nama, B265,
  SKU, C265,
  Estimasi, E265,
  QtyOrder, F265,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66" ht="15.75" hidden="1" customHeight="1" outlineLevel="1">
      <c r="A266" s="5" t="str">
        <f t="shared" si="2"/>
        <v/>
      </c>
      <c r="B266" s="6"/>
      <c r="C266" s="7" t="str">
        <f t="array" ref="C266">IFS(B266="","",COUNTIF('Master Barang'!B:B,B266)=0,SUBSTITUTE(TRIM(B266)," ","-"),COUNTIF('Master Barang'!B:B,B266)=1,XLOOKUP(B266,'Master Barang'!B:B,'Master Barang'!C:C,,,1))</f>
        <v/>
      </c>
      <c r="D266" s="8"/>
      <c r="E266" s="9"/>
      <c r="G266" s="13"/>
      <c r="H266" s="7"/>
      <c r="I266" s="5" t="str">
        <f>IFERROR(__xludf.DUMMYFUNCTION("if(OR(B266="""",E266=""""),"""", LET(
  Nama, B266,
  SKU, C266,
  Estimasi, E266,
  QtyOrder, F266,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67" ht="15.75" hidden="1" customHeight="1" outlineLevel="1">
      <c r="A267" s="5" t="str">
        <f t="shared" si="2"/>
        <v/>
      </c>
      <c r="B267" s="6"/>
      <c r="C267" s="7" t="str">
        <f t="array" ref="C267">IFS(B267="","",COUNTIF('Master Barang'!B:B,B267)=0,SUBSTITUTE(TRIM(B267)," ","-"),COUNTIF('Master Barang'!B:B,B267)=1,XLOOKUP(B267,'Master Barang'!B:B,'Master Barang'!C:C,,,1))</f>
        <v/>
      </c>
      <c r="D267" s="8"/>
      <c r="E267" s="9"/>
      <c r="G267" s="13"/>
      <c r="H267" s="7"/>
      <c r="I267" s="5" t="str">
        <f>IFERROR(__xludf.DUMMYFUNCTION("if(OR(B267="""",E267=""""),"""", LET(
  Nama, B267,
  SKU, C267,
  Estimasi, E267,
  QtyOrder, F267,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68" ht="15.75" hidden="1" customHeight="1" outlineLevel="1">
      <c r="A268" s="5" t="str">
        <f t="shared" si="2"/>
        <v/>
      </c>
      <c r="B268" s="6"/>
      <c r="C268" s="7" t="str">
        <f t="array" ref="C268">IFS(B268="","",COUNTIF('Master Barang'!B:B,B268)=0,SUBSTITUTE(TRIM(B268)," ","-"),COUNTIF('Master Barang'!B:B,B268)=1,XLOOKUP(B268,'Master Barang'!B:B,'Master Barang'!C:C,,,1))</f>
        <v/>
      </c>
      <c r="D268" s="8"/>
      <c r="E268" s="9"/>
      <c r="G268" s="13"/>
      <c r="H268" s="7"/>
      <c r="I268" s="5" t="str">
        <f>IFERROR(__xludf.DUMMYFUNCTION("if(OR(B268="""",E268=""""),"""", LET(
  Nama, B268,
  SKU, C268,
  Estimasi, E268,
  QtyOrder, F268,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69" ht="15.75" hidden="1" customHeight="1" outlineLevel="1">
      <c r="A269" s="5" t="str">
        <f t="shared" si="2"/>
        <v/>
      </c>
      <c r="B269" s="6"/>
      <c r="C269" s="7" t="str">
        <f t="array" ref="C269">IFS(B269="","",COUNTIF('Master Barang'!B:B,B269)=0,SUBSTITUTE(TRIM(B269)," ","-"),COUNTIF('Master Barang'!B:B,B269)=1,XLOOKUP(B269,'Master Barang'!B:B,'Master Barang'!C:C,,,1))</f>
        <v/>
      </c>
      <c r="D269" s="8"/>
      <c r="E269" s="9"/>
      <c r="G269" s="13"/>
      <c r="H269" s="7"/>
      <c r="I269" s="5" t="str">
        <f>IFERROR(__xludf.DUMMYFUNCTION("if(OR(B269="""",E269=""""),"""", LET(
  Nama, B269,
  SKU, C269,
  Estimasi, E269,
  QtyOrder, F269,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70" ht="15.75" hidden="1" customHeight="1" outlineLevel="1">
      <c r="A270" s="5" t="str">
        <f t="shared" si="2"/>
        <v/>
      </c>
      <c r="B270" s="6"/>
      <c r="C270" s="7" t="str">
        <f t="array" ref="C270">IFS(B270="","",COUNTIF('Master Barang'!B:B,B270)=0,SUBSTITUTE(TRIM(B270)," ","-"),COUNTIF('Master Barang'!B:B,B270)=1,XLOOKUP(B270,'Master Barang'!B:B,'Master Barang'!C:C,,,1))</f>
        <v/>
      </c>
      <c r="D270" s="8"/>
      <c r="E270" s="9"/>
      <c r="G270" s="13"/>
      <c r="H270" s="7"/>
      <c r="I270" s="5" t="str">
        <f>IFERROR(__xludf.DUMMYFUNCTION("if(OR(B270="""",E270=""""),"""", LET(
  Nama, B270,
  SKU, C270,
  Estimasi, E270,
  QtyOrder, F270,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71" ht="15.75" hidden="1" customHeight="1" outlineLevel="1">
      <c r="A271" s="5" t="str">
        <f t="shared" si="2"/>
        <v/>
      </c>
      <c r="B271" s="6"/>
      <c r="C271" s="7" t="str">
        <f t="array" ref="C271">IFS(B271="","",COUNTIF('Master Barang'!B:B,B271)=0,SUBSTITUTE(TRIM(B271)," ","-"),COUNTIF('Master Barang'!B:B,B271)=1,XLOOKUP(B271,'Master Barang'!B:B,'Master Barang'!C:C,,,1))</f>
        <v/>
      </c>
      <c r="D271" s="8"/>
      <c r="E271" s="9"/>
      <c r="G271" s="13"/>
      <c r="H271" s="7"/>
      <c r="I271" s="5" t="str">
        <f>IFERROR(__xludf.DUMMYFUNCTION("if(OR(B271="""",E271=""""),"""", LET(
  Nama, B271,
  SKU, C271,
  Estimasi, E271,
  QtyOrder, F271,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72" ht="15.75" hidden="1" customHeight="1" outlineLevel="1">
      <c r="A272" s="5" t="str">
        <f t="shared" si="2"/>
        <v/>
      </c>
      <c r="B272" s="6"/>
      <c r="C272" s="7" t="str">
        <f t="array" ref="C272">IFS(B272="","",COUNTIF('Master Barang'!B:B,B272)=0,SUBSTITUTE(TRIM(B272)," ","-"),COUNTIF('Master Barang'!B:B,B272)=1,XLOOKUP(B272,'Master Barang'!B:B,'Master Barang'!C:C,,,1))</f>
        <v/>
      </c>
      <c r="D272" s="8"/>
      <c r="E272" s="9"/>
      <c r="G272" s="13"/>
      <c r="H272" s="7"/>
      <c r="I272" s="5" t="str">
        <f>IFERROR(__xludf.DUMMYFUNCTION("if(OR(B272="""",E272=""""),"""", LET(
  Nama, B272,
  SKU, C272,
  Estimasi, E272,
  QtyOrder, F272,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73" ht="15.75" hidden="1" customHeight="1" outlineLevel="1">
      <c r="A273" s="5" t="str">
        <f t="shared" si="2"/>
        <v/>
      </c>
      <c r="B273" s="6"/>
      <c r="C273" s="7" t="str">
        <f t="array" ref="C273">IFS(B273="","",COUNTIF('Master Barang'!B:B,B273)=0,SUBSTITUTE(TRIM(B273)," ","-"),COUNTIF('Master Barang'!B:B,B273)=1,XLOOKUP(B273,'Master Barang'!B:B,'Master Barang'!C:C,,,1))</f>
        <v/>
      </c>
      <c r="D273" s="8"/>
      <c r="E273" s="9"/>
      <c r="G273" s="13"/>
      <c r="H273" s="7"/>
      <c r="I273" s="5" t="str">
        <f>IFERROR(__xludf.DUMMYFUNCTION("if(OR(B273="""",E273=""""),"""", LET(
  Nama, B273,
  SKU, C273,
  Estimasi, E273,
  QtyOrder, F273,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74" ht="15.75" hidden="1" customHeight="1" outlineLevel="1">
      <c r="A274" s="5" t="str">
        <f t="shared" si="2"/>
        <v/>
      </c>
      <c r="B274" s="6"/>
      <c r="C274" s="7" t="str">
        <f t="array" ref="C274">IFS(B274="","",COUNTIF('Master Barang'!B:B,B274)=0,SUBSTITUTE(TRIM(B274)," ","-"),COUNTIF('Master Barang'!B:B,B274)=1,XLOOKUP(B274,'Master Barang'!B:B,'Master Barang'!C:C,,,1))</f>
        <v/>
      </c>
      <c r="D274" s="8"/>
      <c r="E274" s="9"/>
      <c r="G274" s="13"/>
      <c r="H274" s="7"/>
      <c r="I274" s="5" t="str">
        <f>IFERROR(__xludf.DUMMYFUNCTION("if(OR(B274="""",E274=""""),"""", LET(
  Nama, B274,
  SKU, C274,
  Estimasi, E274,
  QtyOrder, F274,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75" ht="15.75" hidden="1" customHeight="1" outlineLevel="1">
      <c r="A275" s="5" t="str">
        <f t="shared" si="2"/>
        <v/>
      </c>
      <c r="B275" s="6"/>
      <c r="C275" s="7" t="str">
        <f t="array" ref="C275">IFS(B275="","",COUNTIF('Master Barang'!B:B,B275)=0,SUBSTITUTE(TRIM(B275)," ","-"),COUNTIF('Master Barang'!B:B,B275)=1,XLOOKUP(B275,'Master Barang'!B:B,'Master Barang'!C:C,,,1))</f>
        <v/>
      </c>
      <c r="D275" s="8"/>
      <c r="E275" s="9"/>
      <c r="G275" s="13"/>
      <c r="H275" s="7"/>
      <c r="I275" s="5" t="str">
        <f>IFERROR(__xludf.DUMMYFUNCTION("if(OR(B275="""",E275=""""),"""", LET(
  Nama, B275,
  SKU, C275,
  Estimasi, E275,
  QtyOrder, F275,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76" ht="15.75" hidden="1" customHeight="1" outlineLevel="1">
      <c r="A276" s="5" t="str">
        <f t="shared" si="2"/>
        <v/>
      </c>
      <c r="B276" s="6"/>
      <c r="C276" s="7" t="str">
        <f t="array" ref="C276">IFS(B276="","",COUNTIF('Master Barang'!B:B,B276)=0,SUBSTITUTE(TRIM(B276)," ","-"),COUNTIF('Master Barang'!B:B,B276)=1,XLOOKUP(B276,'Master Barang'!B:B,'Master Barang'!C:C,,,1))</f>
        <v/>
      </c>
      <c r="D276" s="8"/>
      <c r="E276" s="9"/>
      <c r="G276" s="13"/>
      <c r="H276" s="7"/>
      <c r="I276" s="5" t="str">
        <f>IFERROR(__xludf.DUMMYFUNCTION("if(OR(B276="""",E276=""""),"""", LET(
  Nama, B276,
  SKU, C276,
  Estimasi, E276,
  QtyOrder, F276,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77" ht="15.75" hidden="1" customHeight="1" outlineLevel="1">
      <c r="A277" s="5" t="str">
        <f t="shared" si="2"/>
        <v/>
      </c>
      <c r="B277" s="6"/>
      <c r="C277" s="7" t="str">
        <f t="array" ref="C277">IFS(B277="","",COUNTIF('Master Barang'!B:B,B277)=0,SUBSTITUTE(TRIM(B277)," ","-"),COUNTIF('Master Barang'!B:B,B277)=1,XLOOKUP(B277,'Master Barang'!B:B,'Master Barang'!C:C,,,1))</f>
        <v/>
      </c>
      <c r="D277" s="8"/>
      <c r="E277" s="9"/>
      <c r="G277" s="13"/>
      <c r="H277" s="7"/>
      <c r="I277" s="5" t="str">
        <f>IFERROR(__xludf.DUMMYFUNCTION("if(OR(B277="""",E277=""""),"""", LET(
  Nama, B277,
  SKU, C277,
  Estimasi, E277,
  QtyOrder, F277,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78" ht="15.75" hidden="1" customHeight="1" outlineLevel="1">
      <c r="A278" s="5" t="str">
        <f t="shared" si="2"/>
        <v/>
      </c>
      <c r="B278" s="6"/>
      <c r="C278" s="7" t="str">
        <f t="array" ref="C278">IFS(B278="","",COUNTIF('Master Barang'!B:B,B278)=0,SUBSTITUTE(TRIM(B278)," ","-"),COUNTIF('Master Barang'!B:B,B278)=1,XLOOKUP(B278,'Master Barang'!B:B,'Master Barang'!C:C,,,1))</f>
        <v/>
      </c>
      <c r="D278" s="8"/>
      <c r="E278" s="9"/>
      <c r="G278" s="13"/>
      <c r="H278" s="7"/>
      <c r="I278" s="5" t="str">
        <f>IFERROR(__xludf.DUMMYFUNCTION("if(OR(B278="""",E278=""""),"""", LET(
  Nama, B278,
  SKU, C278,
  Estimasi, E278,
  QtyOrder, F278,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79" ht="15.75" hidden="1" customHeight="1" outlineLevel="1">
      <c r="A279" s="5" t="str">
        <f t="shared" si="2"/>
        <v/>
      </c>
      <c r="B279" s="6"/>
      <c r="C279" s="7" t="str">
        <f t="array" ref="C279">IFS(B279="","",COUNTIF('Master Barang'!B:B,B279)=0,SUBSTITUTE(TRIM(B279)," ","-"),COUNTIF('Master Barang'!B:B,B279)=1,XLOOKUP(B279,'Master Barang'!B:B,'Master Barang'!C:C,,,1))</f>
        <v/>
      </c>
      <c r="D279" s="8"/>
      <c r="E279" s="9"/>
      <c r="G279" s="13"/>
      <c r="H279" s="7"/>
      <c r="I279" s="5" t="str">
        <f>IFERROR(__xludf.DUMMYFUNCTION("if(OR(B279="""",E279=""""),"""", LET(
  Nama, B279,
  SKU, C279,
  Estimasi, E279,
  QtyOrder, F279,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80" ht="15.75" hidden="1" customHeight="1" outlineLevel="1">
      <c r="A280" s="5" t="str">
        <f t="shared" si="2"/>
        <v/>
      </c>
      <c r="B280" s="6"/>
      <c r="C280" s="7" t="str">
        <f t="array" ref="C280">IFS(B280="","",COUNTIF('Master Barang'!B:B,B280)=0,SUBSTITUTE(TRIM(B280)," ","-"),COUNTIF('Master Barang'!B:B,B280)=1,XLOOKUP(B280,'Master Barang'!B:B,'Master Barang'!C:C,,,1))</f>
        <v/>
      </c>
      <c r="D280" s="8"/>
      <c r="E280" s="9"/>
      <c r="G280" s="13"/>
      <c r="H280" s="7"/>
      <c r="I280" s="5" t="str">
        <f>IFERROR(__xludf.DUMMYFUNCTION("if(OR(B280="""",E280=""""),"""", LET(
  Nama, B280,
  SKU, C280,
  Estimasi, E280,
  QtyOrder, F280,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81" ht="15.75" hidden="1" customHeight="1" outlineLevel="1">
      <c r="A281" s="5" t="str">
        <f t="shared" si="2"/>
        <v/>
      </c>
      <c r="B281" s="6"/>
      <c r="C281" s="7" t="str">
        <f t="array" ref="C281">IFS(B281="","",COUNTIF('Master Barang'!B:B,B281)=0,SUBSTITUTE(TRIM(B281)," ","-"),COUNTIF('Master Barang'!B:B,B281)=1,XLOOKUP(B281,'Master Barang'!B:B,'Master Barang'!C:C,,,1))</f>
        <v/>
      </c>
      <c r="D281" s="8"/>
      <c r="E281" s="9"/>
      <c r="G281" s="13"/>
      <c r="H281" s="7"/>
      <c r="I281" s="5" t="str">
        <f>IFERROR(__xludf.DUMMYFUNCTION("if(OR(B281="""",E281=""""),"""", LET(
  Nama, B281,
  SKU, C281,
  Estimasi, E281,
  QtyOrder, F281,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82" ht="15.75" hidden="1" customHeight="1" outlineLevel="1">
      <c r="A282" s="5" t="str">
        <f t="shared" si="2"/>
        <v/>
      </c>
      <c r="B282" s="6"/>
      <c r="C282" s="7" t="str">
        <f t="array" ref="C282">IFS(B282="","",COUNTIF('Master Barang'!B:B,B282)=0,SUBSTITUTE(TRIM(B282)," ","-"),COUNTIF('Master Barang'!B:B,B282)=1,XLOOKUP(B282,'Master Barang'!B:B,'Master Barang'!C:C,,,1))</f>
        <v/>
      </c>
      <c r="D282" s="8"/>
      <c r="E282" s="9"/>
      <c r="G282" s="13"/>
      <c r="H282" s="7"/>
      <c r="I282" s="5" t="str">
        <f>IFERROR(__xludf.DUMMYFUNCTION("if(OR(B282="""",E282=""""),"""", LET(
  Nama, B282,
  SKU, C282,
  Estimasi, E282,
  QtyOrder, F282,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83" ht="15.75" hidden="1" customHeight="1" outlineLevel="1">
      <c r="A283" s="5" t="str">
        <f t="shared" si="2"/>
        <v/>
      </c>
      <c r="B283" s="6"/>
      <c r="C283" s="7" t="str">
        <f t="array" ref="C283">IFS(B283="","",COUNTIF('Master Barang'!B:B,B283)=0,SUBSTITUTE(TRIM(B283)," ","-"),COUNTIF('Master Barang'!B:B,B283)=1,XLOOKUP(B283,'Master Barang'!B:B,'Master Barang'!C:C,,,1))</f>
        <v/>
      </c>
      <c r="D283" s="8"/>
      <c r="E283" s="9"/>
      <c r="G283" s="13"/>
      <c r="H283" s="7"/>
      <c r="I283" s="5" t="str">
        <f>IFERROR(__xludf.DUMMYFUNCTION("if(OR(B283="""",E283=""""),"""", LET(
  Nama, B283,
  SKU, C283,
  Estimasi, E283,
  QtyOrder, F283,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84" ht="15.75" hidden="1" customHeight="1" outlineLevel="1">
      <c r="A284" s="5" t="str">
        <f t="shared" si="2"/>
        <v/>
      </c>
      <c r="B284" s="6"/>
      <c r="C284" s="7" t="str">
        <f t="array" ref="C284">IFS(B284="","",COUNTIF('Master Barang'!B:B,B284)=0,SUBSTITUTE(TRIM(B284)," ","-"),COUNTIF('Master Barang'!B:B,B284)=1,XLOOKUP(B284,'Master Barang'!B:B,'Master Barang'!C:C,,,1))</f>
        <v/>
      </c>
      <c r="D284" s="8"/>
      <c r="E284" s="9"/>
      <c r="G284" s="13"/>
      <c r="H284" s="7"/>
      <c r="I284" s="5" t="str">
        <f>IFERROR(__xludf.DUMMYFUNCTION("if(OR(B284="""",E284=""""),"""", LET(
  Nama, B284,
  SKU, C284,
  Estimasi, E284,
  QtyOrder, F284,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85" ht="15.75" hidden="1" customHeight="1" outlineLevel="1">
      <c r="A285" s="5" t="str">
        <f t="shared" si="2"/>
        <v/>
      </c>
      <c r="B285" s="6"/>
      <c r="C285" s="7" t="str">
        <f t="array" ref="C285">IFS(B285="","",COUNTIF('Master Barang'!B:B,B285)=0,SUBSTITUTE(TRIM(B285)," ","-"),COUNTIF('Master Barang'!B:B,B285)=1,XLOOKUP(B285,'Master Barang'!B:B,'Master Barang'!C:C,,,1))</f>
        <v/>
      </c>
      <c r="D285" s="8"/>
      <c r="E285" s="9"/>
      <c r="G285" s="13"/>
      <c r="H285" s="7"/>
      <c r="I285" s="5" t="str">
        <f>IFERROR(__xludf.DUMMYFUNCTION("if(OR(B285="""",E285=""""),"""", LET(
  Nama, B285,
  SKU, C285,
  Estimasi, E285,
  QtyOrder, F285,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86" ht="15.75" hidden="1" customHeight="1" outlineLevel="1">
      <c r="A286" s="5" t="str">
        <f t="shared" si="2"/>
        <v/>
      </c>
      <c r="B286" s="6"/>
      <c r="C286" s="7" t="str">
        <f t="array" ref="C286">IFS(B286="","",COUNTIF('Master Barang'!B:B,B286)=0,SUBSTITUTE(TRIM(B286)," ","-"),COUNTIF('Master Barang'!B:B,B286)=1,XLOOKUP(B286,'Master Barang'!B:B,'Master Barang'!C:C,,,1))</f>
        <v/>
      </c>
      <c r="D286" s="8"/>
      <c r="E286" s="9"/>
      <c r="G286" s="13"/>
      <c r="H286" s="7"/>
      <c r="I286" s="5" t="str">
        <f>IFERROR(__xludf.DUMMYFUNCTION("if(OR(B286="""",E286=""""),"""", LET(
  Nama, B286,
  SKU, C286,
  Estimasi, E286,
  QtyOrder, F286,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87" ht="15.75" hidden="1" customHeight="1" outlineLevel="1">
      <c r="A287" s="5" t="str">
        <f t="shared" si="2"/>
        <v/>
      </c>
      <c r="B287" s="6"/>
      <c r="C287" s="7" t="str">
        <f t="array" ref="C287">IFS(B287="","",COUNTIF('Master Barang'!B:B,B287)=0,SUBSTITUTE(TRIM(B287)," ","-"),COUNTIF('Master Barang'!B:B,B287)=1,XLOOKUP(B287,'Master Barang'!B:B,'Master Barang'!C:C,,,1))</f>
        <v/>
      </c>
      <c r="D287" s="8"/>
      <c r="E287" s="9"/>
      <c r="G287" s="13"/>
      <c r="H287" s="7"/>
      <c r="I287" s="5" t="str">
        <f>IFERROR(__xludf.DUMMYFUNCTION("if(OR(B287="""",E287=""""),"""", LET(
  Nama, B287,
  SKU, C287,
  Estimasi, E287,
  QtyOrder, F287,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88" ht="15.75" hidden="1" customHeight="1" outlineLevel="1">
      <c r="A288" s="5" t="str">
        <f t="shared" si="2"/>
        <v/>
      </c>
      <c r="B288" s="6"/>
      <c r="C288" s="7" t="str">
        <f t="array" ref="C288">IFS(B288="","",COUNTIF('Master Barang'!B:B,B288)=0,SUBSTITUTE(TRIM(B288)," ","-"),COUNTIF('Master Barang'!B:B,B288)=1,XLOOKUP(B288,'Master Barang'!B:B,'Master Barang'!C:C,,,1))</f>
        <v/>
      </c>
      <c r="D288" s="8"/>
      <c r="E288" s="9"/>
      <c r="G288" s="13"/>
      <c r="H288" s="7"/>
      <c r="I288" s="5" t="str">
        <f>IFERROR(__xludf.DUMMYFUNCTION("if(OR(B288="""",E288=""""),"""", LET(
  Nama, B288,
  SKU, C288,
  Estimasi, E288,
  QtyOrder, F288,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89" ht="15.75" hidden="1" customHeight="1" outlineLevel="1">
      <c r="A289" s="5" t="str">
        <f t="shared" si="2"/>
        <v/>
      </c>
      <c r="B289" s="6"/>
      <c r="C289" s="7" t="str">
        <f t="array" ref="C289">IFS(B289="","",COUNTIF('Master Barang'!B:B,B289)=0,SUBSTITUTE(TRIM(B289)," ","-"),COUNTIF('Master Barang'!B:B,B289)=1,XLOOKUP(B289,'Master Barang'!B:B,'Master Barang'!C:C,,,1))</f>
        <v/>
      </c>
      <c r="D289" s="8"/>
      <c r="E289" s="9"/>
      <c r="G289" s="13"/>
      <c r="H289" s="7"/>
      <c r="I289" s="5" t="str">
        <f>IFERROR(__xludf.DUMMYFUNCTION("if(OR(B289="""",E289=""""),"""", LET(
  Nama, B289,
  SKU, C289,
  Estimasi, E289,
  QtyOrder, F289,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90" ht="15.75" hidden="1" customHeight="1" outlineLevel="1">
      <c r="A290" s="5" t="str">
        <f t="shared" si="2"/>
        <v/>
      </c>
      <c r="B290" s="6"/>
      <c r="C290" s="7" t="str">
        <f t="array" ref="C290">IFS(B290="","",COUNTIF('Master Barang'!B:B,B290)=0,SUBSTITUTE(TRIM(B290)," ","-"),COUNTIF('Master Barang'!B:B,B290)=1,XLOOKUP(B290,'Master Barang'!B:B,'Master Barang'!C:C,,,1))</f>
        <v/>
      </c>
      <c r="D290" s="8"/>
      <c r="E290" s="9"/>
      <c r="G290" s="13"/>
      <c r="H290" s="7"/>
      <c r="I290" s="5" t="str">
        <f>IFERROR(__xludf.DUMMYFUNCTION("if(OR(B290="""",E290=""""),"""", LET(
  Nama, B290,
  SKU, C290,
  Estimasi, E290,
  QtyOrder, F290,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91" ht="15.75" hidden="1" customHeight="1" outlineLevel="1">
      <c r="A291" s="5" t="str">
        <f t="shared" si="2"/>
        <v/>
      </c>
      <c r="B291" s="6"/>
      <c r="C291" s="7" t="str">
        <f t="array" ref="C291">IFS(B291="","",COUNTIF('Master Barang'!B:B,B291)=0,SUBSTITUTE(TRIM(B291)," ","-"),COUNTIF('Master Barang'!B:B,B291)=1,XLOOKUP(B291,'Master Barang'!B:B,'Master Barang'!C:C,,,1))</f>
        <v/>
      </c>
      <c r="D291" s="8"/>
      <c r="E291" s="9"/>
      <c r="G291" s="13"/>
      <c r="H291" s="7"/>
      <c r="I291" s="5" t="str">
        <f>IFERROR(__xludf.DUMMYFUNCTION("if(OR(B291="""",E291=""""),"""", LET(
  Nama, B291,
  SKU, C291,
  Estimasi, E291,
  QtyOrder, F291,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92" ht="15.75" hidden="1" customHeight="1" outlineLevel="1">
      <c r="A292" s="5" t="str">
        <f t="shared" si="2"/>
        <v/>
      </c>
      <c r="B292" s="6"/>
      <c r="C292" s="7" t="str">
        <f t="array" ref="C292">IFS(B292="","",COUNTIF('Master Barang'!B:B,B292)=0,SUBSTITUTE(TRIM(B292)," ","-"),COUNTIF('Master Barang'!B:B,B292)=1,XLOOKUP(B292,'Master Barang'!B:B,'Master Barang'!C:C,,,1))</f>
        <v/>
      </c>
      <c r="D292" s="8"/>
      <c r="E292" s="9"/>
      <c r="G292" s="13"/>
      <c r="H292" s="7"/>
      <c r="I292" s="5" t="str">
        <f>IFERROR(__xludf.DUMMYFUNCTION("if(OR(B292="""",E292=""""),"""", LET(
  Nama, B292,
  SKU, C292,
  Estimasi, E292,
  QtyOrder, F292,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93" ht="15.75" hidden="1" customHeight="1" outlineLevel="1">
      <c r="A293" s="5" t="str">
        <f t="shared" si="2"/>
        <v/>
      </c>
      <c r="B293" s="6"/>
      <c r="C293" s="7" t="str">
        <f t="array" ref="C293">IFS(B293="","",COUNTIF('Master Barang'!B:B,B293)=0,SUBSTITUTE(TRIM(B293)," ","-"),COUNTIF('Master Barang'!B:B,B293)=1,XLOOKUP(B293,'Master Barang'!B:B,'Master Barang'!C:C,,,1))</f>
        <v/>
      </c>
      <c r="D293" s="8"/>
      <c r="E293" s="9"/>
      <c r="G293" s="13"/>
      <c r="H293" s="7"/>
      <c r="I293" s="5" t="str">
        <f>IFERROR(__xludf.DUMMYFUNCTION("if(OR(B293="""",E293=""""),"""", LET(
  Nama, B293,
  SKU, C293,
  Estimasi, E293,
  QtyOrder, F293,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94" ht="15.75" hidden="1" customHeight="1" outlineLevel="1">
      <c r="A294" s="5" t="str">
        <f t="shared" si="2"/>
        <v/>
      </c>
      <c r="B294" s="6"/>
      <c r="C294" s="7" t="str">
        <f t="array" ref="C294">IFS(B294="","",COUNTIF('Master Barang'!B:B,B294)=0,SUBSTITUTE(TRIM(B294)," ","-"),COUNTIF('Master Barang'!B:B,B294)=1,XLOOKUP(B294,'Master Barang'!B:B,'Master Barang'!C:C,,,1))</f>
        <v/>
      </c>
      <c r="D294" s="8"/>
      <c r="E294" s="9"/>
      <c r="G294" s="13"/>
      <c r="H294" s="7"/>
      <c r="I294" s="5" t="str">
        <f>IFERROR(__xludf.DUMMYFUNCTION("if(OR(B294="""",E294=""""),"""", LET(
  Nama, B294,
  SKU, C294,
  Estimasi, E294,
  QtyOrder, F294,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95" ht="15.75" hidden="1" customHeight="1" outlineLevel="1">
      <c r="A295" s="5" t="str">
        <f t="shared" si="2"/>
        <v/>
      </c>
      <c r="B295" s="6"/>
      <c r="C295" s="7" t="str">
        <f t="array" ref="C295">IFS(B295="","",COUNTIF('Master Barang'!B:B,B295)=0,SUBSTITUTE(TRIM(B295)," ","-"),COUNTIF('Master Barang'!B:B,B295)=1,XLOOKUP(B295,'Master Barang'!B:B,'Master Barang'!C:C,,,1))</f>
        <v/>
      </c>
      <c r="D295" s="8"/>
      <c r="E295" s="9"/>
      <c r="G295" s="13"/>
      <c r="H295" s="7"/>
      <c r="I295" s="5" t="str">
        <f>IFERROR(__xludf.DUMMYFUNCTION("if(OR(B295="""",E295=""""),"""", LET(
  Nama, B295,
  SKU, C295,
  Estimasi, E295,
  QtyOrder, F295,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  <row r="296" ht="15.75" hidden="1" customHeight="1" outlineLevel="1">
      <c r="A296" s="5" t="str">
        <f t="shared" si="2"/>
        <v/>
      </c>
      <c r="B296" s="6"/>
      <c r="C296" s="7" t="str">
        <f t="array" ref="C296">IFS(B296="","",COUNTIF('Master Barang'!B:B,B296)=0,SUBSTITUTE(TRIM(B296)," ","-"),COUNTIF('Master Barang'!B:B,B296)=1,XLOOKUP(B296,'Master Barang'!B:B,'Master Barang'!C:C,,,1))</f>
        <v/>
      </c>
      <c r="D296" s="8"/>
      <c r="E296" s="9"/>
      <c r="G296" s="13"/>
      <c r="H296" s="7"/>
      <c r="I296" s="5" t="str">
        <f>IFERROR(__xludf.DUMMYFUNCTION("if(OR(B296="""",E296=""""),"""", LET(
  Nama, B296,
  SKU, C296,
  Estimasi, E296,
  QtyOrder, F296,
  FilterTrans, FILTER(
    Transaksi!B:H,
    Transaksi!F:F=""Barang Datang"",
    Transaksi!D:D=Nama,
    Transaksi!E:E=SKU
  ),
  TotalDatang, IFE"&amp;"RROR(SUM(INDEX(FilterTrans,,7)), 0),
  TanggalDatang, IFERROR(MAX(INDEX(FilterTrans,,1)), 0),
  SelisihQty, QtyOrder-TotalDatang,
  SelisihHari, TanggalDatang-Estimasi,
  KeteranganQty, IF(SelisihQty=0, ""Oke"", 
    IF(SelisihQty&gt;0, ""Kurang "" &amp; S"&amp;"elisihQty &amp; "" pcs"", 
    ""Lebih "" &amp; ABS(SelisihQty) &amp; "" pcs"")),
  KeteranganHari, IF(TanggalDatang=0, ""Belum datang"",
    IF(SelisihHari=0, """", 
    IF(SelisihHari&gt;0, ""Terlambat "" &amp; SelisihHari &amp; "" hari"", 
    ""Lebih cepat "" &amp; ABS(Selis"&amp;"ihHari) &amp; "" hari""))),
  Hasil, IF(TanggalDatang=0, KeteranganHari,
    IF(AND(SelisihQty=0, SelisihHari=0), ""Oke"",
    IF(SelisihQty=0, KeteranganHari,
    IF(SelisihHari=0, KeteranganQty,
    KeteranganHari &amp; "" dengan "" &amp; LOWER(KeteranganQty))))"&amp;"),
  Hasil
))"),"")</f>
        <v/>
      </c>
    </row>
  </sheetData>
  <dataValidations>
    <dataValidation type="list" allowBlank="1" sqref="B2:B296">
      <formula1>'Master Barang'!B:B</formula1>
    </dataValidation>
    <dataValidation type="list" allowBlank="1" showErrorMessage="1" sqref="H2:H296">
      <formula1>"Open,Closed,Partial"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Col="1"/>
  <cols>
    <col customWidth="1" min="1" max="1" width="6.14"/>
    <col customWidth="1" min="2" max="2" width="29.86" outlineLevel="1"/>
    <col customWidth="1" min="3" max="3" width="33.14"/>
    <col customWidth="1" min="4" max="4" width="8.57"/>
    <col customWidth="1" min="5" max="5" width="7.86"/>
    <col customWidth="1" min="6" max="6" width="7.57"/>
    <col customWidth="1" min="7" max="7" width="8.0"/>
    <col customWidth="1" min="8" max="8" width="9.43"/>
    <col customWidth="1" min="9" max="9" width="15.0"/>
    <col customWidth="1" min="10" max="11" width="9.43"/>
  </cols>
  <sheetData>
    <row r="1">
      <c r="A1" s="14" t="s">
        <v>0</v>
      </c>
      <c r="B1" s="14" t="s">
        <v>1</v>
      </c>
      <c r="C1" s="14" t="s">
        <v>2</v>
      </c>
      <c r="D1" s="1" t="s">
        <v>21</v>
      </c>
      <c r="E1" s="14" t="s">
        <v>22</v>
      </c>
      <c r="F1" s="14" t="s">
        <v>23</v>
      </c>
      <c r="G1" s="14" t="s">
        <v>24</v>
      </c>
      <c r="H1" s="1" t="s">
        <v>25</v>
      </c>
      <c r="I1" s="1" t="s">
        <v>26</v>
      </c>
      <c r="J1" s="14" t="s">
        <v>27</v>
      </c>
      <c r="K1" s="1" t="s">
        <v>28</v>
      </c>
    </row>
    <row r="2">
      <c r="A2" s="5" t="str">
        <f t="shared" ref="A2:A498" si="1">IF(B2&lt;&gt;"",ROW(B2)-ROW($B$1),"")</f>
        <v>1</v>
      </c>
      <c r="B2" s="7" t="s">
        <v>29</v>
      </c>
      <c r="C2" s="7" t="s">
        <v>30</v>
      </c>
      <c r="D2" s="7">
        <v>92.0</v>
      </c>
      <c r="E2" s="7" t="str">
        <f>SUMIFS(Transaksi!J:J, Transaksi!E:E, $C2, Transaksi!F:F, "Barang Datang")+SUMIFS(Transaksi!J:J, Transaksi!E:E,$C2,Transaksi!F:F,"Retur Penjualan")</f>
        <v>0</v>
      </c>
      <c r="F2" s="7" t="str">
        <f>SUMIFS(Transaksi!K:K, Transaksi!E:E, $C2, Transaksi!F:F, "Barang Datang")
+
SUMIFS(Transaksi!K:K, Transaksi!E:E, $C2, Transaksi!F:F, "Retur penjualan")+SUMIFS(Transaksi!K:K, Transaksi!E:E, $C2, Transaksi!F:F,"Rusak Internal")</f>
        <v>0</v>
      </c>
      <c r="G2" s="7" t="str">
        <f>SUMIFS(Transaksi!I:I, Transaksi!E:E, $C2, Transaksi!F:F, "Terjual")
+
SUMIFS(Transaksi!J:J, Transaksi!E:E, $C2, Transaksi!F:F, "Retur Pembelian")+SUMIFS(Transaksi!I:I, Transaksi!E:E, $C2, Transaksi!F:F, "Dipakai Sendiri")</f>
        <v>0</v>
      </c>
      <c r="H2" s="15" t="str">
        <f t="shared" ref="H2:H498" si="2">IF(or(D2&lt;&gt;"",AND(B2&lt;&gt;"",C2&lt;&gt;"")),D2+E2-F2-G2,"")</f>
        <v>92</v>
      </c>
      <c r="I2" s="15" t="str">
        <f t="shared" ref="I2:I498" si="3">if(AND(H2&lt;&gt;"",J2&lt;&gt;""), H2*J2,"")</f>
        <v/>
      </c>
      <c r="J2" s="7"/>
      <c r="K2" s="7">
        <v>15000.0</v>
      </c>
    </row>
    <row r="3">
      <c r="A3" s="5" t="str">
        <f t="shared" si="1"/>
        <v>2</v>
      </c>
      <c r="B3" s="7" t="s">
        <v>31</v>
      </c>
      <c r="C3" s="7" t="s">
        <v>32</v>
      </c>
      <c r="D3" s="7">
        <v>91.0</v>
      </c>
      <c r="E3" s="7" t="str">
        <f>SUMIFS(Transaksi!J:J, Transaksi!E:E, $C3, Transaksi!F:F, "Barang Datang")+SUMIFS(Transaksi!J:J, Transaksi!E:E,$C3,Transaksi!F:F,"Retur Penjualan")</f>
        <v>0</v>
      </c>
      <c r="F3" s="7" t="str">
        <f>SUMIFS(Transaksi!K:K, Transaksi!E:E, $C3, Transaksi!F:F, "Barang Datang")
+
SUMIFS(Transaksi!K:K, Transaksi!E:E, $C3, Transaksi!F:F, "Retur penjualan")+SUMIFS(Transaksi!K:K, Transaksi!E:E, $C3, Transaksi!F:F,"Rusak Internal")</f>
        <v>0</v>
      </c>
      <c r="G3" s="7" t="str">
        <f>SUMIFS(Transaksi!I:I, Transaksi!E:E, $C3, Transaksi!F:F, "Terjual")
+
SUMIFS(Transaksi!J:J, Transaksi!E:E, $C3, Transaksi!F:F, "Retur Pembelian")+SUMIFS(Transaksi!I:I, Transaksi!E:E, $C3, Transaksi!F:F, "Dipakai Sendiri")</f>
        <v>0</v>
      </c>
      <c r="H3" s="15" t="str">
        <f t="shared" si="2"/>
        <v>91</v>
      </c>
      <c r="I3" s="15" t="str">
        <f t="shared" si="3"/>
        <v/>
      </c>
      <c r="J3" s="7"/>
      <c r="K3" s="7">
        <v>10000.0</v>
      </c>
    </row>
    <row r="4">
      <c r="A4" s="5" t="str">
        <f t="shared" si="1"/>
        <v>3</v>
      </c>
      <c r="B4" s="7" t="s">
        <v>13</v>
      </c>
      <c r="C4" s="7" t="s">
        <v>33</v>
      </c>
      <c r="D4" s="7">
        <v>33.0</v>
      </c>
      <c r="E4" s="7" t="str">
        <f>SUMIFS(Transaksi!J:J, Transaksi!E:E, $C4, Transaksi!F:F, "Barang Datang")+SUMIFS(Transaksi!J:J, Transaksi!E:E,$C4,Transaksi!F:F,"Retur Penjualan")</f>
        <v>0</v>
      </c>
      <c r="F4" s="7" t="str">
        <f>SUMIFS(Transaksi!K:K, Transaksi!E:E, $C4, Transaksi!F:F, "Barang Datang")
+
SUMIFS(Transaksi!K:K, Transaksi!E:E, $C4, Transaksi!F:F, "Retur penjualan")+SUMIFS(Transaksi!K:K, Transaksi!E:E, $C4, Transaksi!F:F,"Rusak Internal")</f>
        <v>0</v>
      </c>
      <c r="G4" s="7" t="str">
        <f>SUMIFS(Transaksi!I:I, Transaksi!E:E, $C4, Transaksi!F:F, "Terjual")
+
SUMIFS(Transaksi!J:J, Transaksi!E:E, $C4, Transaksi!F:F, "Retur Pembelian")+SUMIFS(Transaksi!I:I, Transaksi!E:E, $C4, Transaksi!F:F, "Dipakai Sendiri")</f>
        <v>0</v>
      </c>
      <c r="H4" s="15" t="str">
        <f t="shared" si="2"/>
        <v>33</v>
      </c>
      <c r="I4" s="15" t="str">
        <f t="shared" si="3"/>
        <v/>
      </c>
      <c r="J4" s="7"/>
      <c r="K4" s="7">
        <v>30000.0</v>
      </c>
    </row>
    <row r="5">
      <c r="A5" s="5" t="str">
        <f t="shared" si="1"/>
        <v>4</v>
      </c>
      <c r="B5" s="7" t="s">
        <v>34</v>
      </c>
      <c r="C5" s="7" t="s">
        <v>35</v>
      </c>
      <c r="D5" s="7">
        <v>64.0</v>
      </c>
      <c r="E5" s="7" t="str">
        <f>SUMIFS(Transaksi!J:J, Transaksi!E:E, $C5, Transaksi!F:F, "Barang Datang")+SUMIFS(Transaksi!J:J, Transaksi!E:E,$C5,Transaksi!F:F,"Retur Penjualan")</f>
        <v>0</v>
      </c>
      <c r="F5" s="7" t="str">
        <f>SUMIFS(Transaksi!K:K, Transaksi!E:E, $C5, Transaksi!F:F, "Barang Datang")
+
SUMIFS(Transaksi!K:K, Transaksi!E:E, $C5, Transaksi!F:F, "Retur penjualan")+SUMIFS(Transaksi!K:K, Transaksi!E:E, $C5, Transaksi!F:F,"Rusak Internal")</f>
        <v>0</v>
      </c>
      <c r="G5" s="7" t="str">
        <f>SUMIFS(Transaksi!I:I, Transaksi!E:E, $C5, Transaksi!F:F, "Terjual")
+
SUMIFS(Transaksi!J:J, Transaksi!E:E, $C5, Transaksi!F:F, "Retur Pembelian")+SUMIFS(Transaksi!I:I, Transaksi!E:E, $C5, Transaksi!F:F, "Dipakai Sendiri")</f>
        <v>0</v>
      </c>
      <c r="H5" s="15" t="str">
        <f t="shared" si="2"/>
        <v>64</v>
      </c>
      <c r="I5" s="15" t="str">
        <f t="shared" si="3"/>
        <v/>
      </c>
      <c r="J5" s="7"/>
      <c r="K5" s="7">
        <v>20000.0</v>
      </c>
    </row>
    <row r="6">
      <c r="A6" s="5" t="str">
        <f t="shared" si="1"/>
        <v>5</v>
      </c>
      <c r="B6" s="7" t="s">
        <v>36</v>
      </c>
      <c r="C6" s="7" t="s">
        <v>37</v>
      </c>
      <c r="D6" s="7">
        <v>18.0</v>
      </c>
      <c r="E6" s="7" t="str">
        <f>SUMIFS(Transaksi!J:J, Transaksi!E:E, $C6, Transaksi!F:F, "Barang Datang")+SUMIFS(Transaksi!J:J, Transaksi!E:E,$C6,Transaksi!F:F,"Retur Penjualan")</f>
        <v>0</v>
      </c>
      <c r="F6" s="7" t="str">
        <f>SUMIFS(Transaksi!K:K, Transaksi!E:E, $C6, Transaksi!F:F, "Barang Datang")
+
SUMIFS(Transaksi!K:K, Transaksi!E:E, $C6, Transaksi!F:F, "Retur penjualan")+SUMIFS(Transaksi!K:K, Transaksi!E:E, $C6, Transaksi!F:F,"Rusak Internal")</f>
        <v>0</v>
      </c>
      <c r="G6" s="7" t="str">
        <f>SUMIFS(Transaksi!I:I, Transaksi!E:E, $C6, Transaksi!F:F, "Terjual")
+
SUMIFS(Transaksi!J:J, Transaksi!E:E, $C6, Transaksi!F:F, "Retur Pembelian")+SUMIFS(Transaksi!I:I, Transaksi!E:E, $C6, Transaksi!F:F, "Dipakai Sendiri")</f>
        <v>0</v>
      </c>
      <c r="H6" s="15" t="str">
        <f t="shared" si="2"/>
        <v>18</v>
      </c>
      <c r="I6" s="15" t="str">
        <f t="shared" si="3"/>
        <v/>
      </c>
      <c r="J6" s="7"/>
      <c r="K6" s="7">
        <v>40000.0</v>
      </c>
    </row>
    <row r="7">
      <c r="A7" s="5" t="str">
        <f t="shared" si="1"/>
        <v>6</v>
      </c>
      <c r="B7" s="7" t="s">
        <v>38</v>
      </c>
      <c r="C7" s="7" t="s">
        <v>39</v>
      </c>
      <c r="D7" s="7">
        <v>87.0</v>
      </c>
      <c r="E7" s="7" t="str">
        <f>SUMIFS(Transaksi!J:J, Transaksi!E:E, $C7, Transaksi!F:F, "Barang Datang")+SUMIFS(Transaksi!J:J, Transaksi!E:E,$C7,Transaksi!F:F,"Retur Penjualan")</f>
        <v>0</v>
      </c>
      <c r="F7" s="7" t="str">
        <f>SUMIFS(Transaksi!K:K, Transaksi!E:E, $C7, Transaksi!F:F, "Barang Datang")
+
SUMIFS(Transaksi!K:K, Transaksi!E:E, $C7, Transaksi!F:F, "Retur penjualan")+SUMIFS(Transaksi!K:K, Transaksi!E:E, $C7, Transaksi!F:F,"Rusak Internal")</f>
        <v>0</v>
      </c>
      <c r="G7" s="7" t="str">
        <f>SUMIFS(Transaksi!I:I, Transaksi!E:E, $C7, Transaksi!F:F, "Terjual")
+
SUMIFS(Transaksi!J:J, Transaksi!E:E, $C7, Transaksi!F:F, "Retur Pembelian")+SUMIFS(Transaksi!I:I, Transaksi!E:E, $C7, Transaksi!F:F, "Dipakai Sendiri")</f>
        <v>0</v>
      </c>
      <c r="H7" s="15" t="str">
        <f t="shared" si="2"/>
        <v>87</v>
      </c>
      <c r="I7" s="15" t="str">
        <f t="shared" si="3"/>
        <v/>
      </c>
      <c r="J7" s="7"/>
      <c r="K7" s="7">
        <v>40000.0</v>
      </c>
    </row>
    <row r="8">
      <c r="A8" s="5" t="str">
        <f t="shared" si="1"/>
        <v>7</v>
      </c>
      <c r="B8" s="7" t="s">
        <v>40</v>
      </c>
      <c r="C8" s="7" t="s">
        <v>41</v>
      </c>
      <c r="D8" s="7">
        <v>90.0</v>
      </c>
      <c r="E8" s="7" t="str">
        <f>SUMIFS(Transaksi!J:J, Transaksi!E:E, $C8, Transaksi!F:F, "Barang Datang")+SUMIFS(Transaksi!J:J, Transaksi!E:E,$C8,Transaksi!F:F,"Retur Penjualan")</f>
        <v>0</v>
      </c>
      <c r="F8" s="7" t="str">
        <f>SUMIFS(Transaksi!K:K, Transaksi!E:E, $C8, Transaksi!F:F, "Barang Datang")
+
SUMIFS(Transaksi!K:K, Transaksi!E:E, $C8, Transaksi!F:F, "Retur penjualan")+SUMIFS(Transaksi!K:K, Transaksi!E:E, $C8, Transaksi!F:F,"Rusak Internal")</f>
        <v>0</v>
      </c>
      <c r="G8" s="7" t="str">
        <f>SUMIFS(Transaksi!I:I, Transaksi!E:E, $C8, Transaksi!F:F, "Terjual")
+
SUMIFS(Transaksi!J:J, Transaksi!E:E, $C8, Transaksi!F:F, "Retur Pembelian")+SUMIFS(Transaksi!I:I, Transaksi!E:E, $C8, Transaksi!F:F, "Dipakai Sendiri")</f>
        <v>0</v>
      </c>
      <c r="H8" s="15" t="str">
        <f t="shared" si="2"/>
        <v>90</v>
      </c>
      <c r="I8" s="15" t="str">
        <f t="shared" si="3"/>
        <v/>
      </c>
      <c r="J8" s="7"/>
      <c r="K8" s="7">
        <v>15000.0</v>
      </c>
    </row>
    <row r="9">
      <c r="A9" s="5" t="str">
        <f t="shared" si="1"/>
        <v>8</v>
      </c>
      <c r="B9" s="7" t="s">
        <v>42</v>
      </c>
      <c r="C9" s="7" t="s">
        <v>43</v>
      </c>
      <c r="D9" s="7">
        <v>74.0</v>
      </c>
      <c r="E9" s="7" t="str">
        <f>SUMIFS(Transaksi!J:J, Transaksi!E:E, $C9, Transaksi!F:F, "Barang Datang")+SUMIFS(Transaksi!J:J, Transaksi!E:E,$C9,Transaksi!F:F,"Retur Penjualan")</f>
        <v>0</v>
      </c>
      <c r="F9" s="7" t="str">
        <f>SUMIFS(Transaksi!K:K, Transaksi!E:E, $C9, Transaksi!F:F, "Barang Datang")
+
SUMIFS(Transaksi!K:K, Transaksi!E:E, $C9, Transaksi!F:F, "Retur penjualan")+SUMIFS(Transaksi!K:K, Transaksi!E:E, $C9, Transaksi!F:F,"Rusak Internal")</f>
        <v>0</v>
      </c>
      <c r="G9" s="7" t="str">
        <f>SUMIFS(Transaksi!I:I, Transaksi!E:E, $C9, Transaksi!F:F, "Terjual")
+
SUMIFS(Transaksi!J:J, Transaksi!E:E, $C9, Transaksi!F:F, "Retur Pembelian")+SUMIFS(Transaksi!I:I, Transaksi!E:E, $C9, Transaksi!F:F, "Dipakai Sendiri")</f>
        <v>0</v>
      </c>
      <c r="H9" s="15" t="str">
        <f t="shared" si="2"/>
        <v>74</v>
      </c>
      <c r="I9" s="15" t="str">
        <f t="shared" si="3"/>
        <v/>
      </c>
      <c r="J9" s="7"/>
      <c r="K9" s="7">
        <v>20000.0</v>
      </c>
    </row>
    <row r="10">
      <c r="A10" s="5" t="str">
        <f t="shared" si="1"/>
        <v>9</v>
      </c>
      <c r="B10" s="7" t="s">
        <v>44</v>
      </c>
      <c r="C10" s="7" t="s">
        <v>45</v>
      </c>
      <c r="D10" s="7">
        <v>40.0</v>
      </c>
      <c r="E10" s="7" t="str">
        <f>SUMIFS(Transaksi!J:J, Transaksi!E:E, $C10, Transaksi!F:F, "Barang Datang")+SUMIFS(Transaksi!J:J, Transaksi!E:E,$C10,Transaksi!F:F,"Retur Penjualan")</f>
        <v>0</v>
      </c>
      <c r="F10" s="7" t="str">
        <f>SUMIFS(Transaksi!K:K, Transaksi!E:E, $C10, Transaksi!F:F, "Barang Datang")
+
SUMIFS(Transaksi!K:K, Transaksi!E:E, $C10, Transaksi!F:F, "Retur penjualan")+SUMIFS(Transaksi!K:K, Transaksi!E:E, $C10, Transaksi!F:F,"Rusak Internal")</f>
        <v>0</v>
      </c>
      <c r="G10" s="7" t="str">
        <f>SUMIFS(Transaksi!I:I, Transaksi!E:E, $C10, Transaksi!F:F, "Terjual")
+
SUMIFS(Transaksi!J:J, Transaksi!E:E, $C10, Transaksi!F:F, "Retur Pembelian")+SUMIFS(Transaksi!I:I, Transaksi!E:E, $C10, Transaksi!F:F, "Dipakai Sendiri")</f>
        <v>0</v>
      </c>
      <c r="H10" s="15" t="str">
        <f t="shared" si="2"/>
        <v>40</v>
      </c>
      <c r="I10" s="15" t="str">
        <f t="shared" si="3"/>
        <v/>
      </c>
      <c r="J10" s="7"/>
      <c r="K10" s="7">
        <v>10000.0</v>
      </c>
    </row>
    <row r="11">
      <c r="A11" s="5" t="str">
        <f t="shared" si="1"/>
        <v>10</v>
      </c>
      <c r="B11" s="7" t="s">
        <v>46</v>
      </c>
      <c r="C11" s="7" t="s">
        <v>47</v>
      </c>
      <c r="D11" s="7">
        <v>39.0</v>
      </c>
      <c r="E11" s="7" t="str">
        <f>SUMIFS(Transaksi!J:J, Transaksi!E:E, $C11, Transaksi!F:F, "Barang Datang")+SUMIFS(Transaksi!J:J, Transaksi!E:E,$C11,Transaksi!F:F,"Retur Penjualan")</f>
        <v>0</v>
      </c>
      <c r="F11" s="7" t="str">
        <f>SUMIFS(Transaksi!K:K, Transaksi!E:E, $C11, Transaksi!F:F, "Barang Datang")
+
SUMIFS(Transaksi!K:K, Transaksi!E:E, $C11, Transaksi!F:F, "Retur penjualan")+SUMIFS(Transaksi!K:K, Transaksi!E:E, $C11, Transaksi!F:F,"Rusak Internal")</f>
        <v>0</v>
      </c>
      <c r="G11" s="7" t="str">
        <f>SUMIFS(Transaksi!I:I, Transaksi!E:E, $C11, Transaksi!F:F, "Terjual")
+
SUMIFS(Transaksi!J:J, Transaksi!E:E, $C11, Transaksi!F:F, "Retur Pembelian")+SUMIFS(Transaksi!I:I, Transaksi!E:E, $C11, Transaksi!F:F, "Dipakai Sendiri")</f>
        <v>0</v>
      </c>
      <c r="H11" s="15" t="str">
        <f t="shared" si="2"/>
        <v>39</v>
      </c>
      <c r="I11" s="15" t="str">
        <f t="shared" si="3"/>
        <v/>
      </c>
      <c r="J11" s="7"/>
      <c r="K11" s="7">
        <v>15000.0</v>
      </c>
    </row>
    <row r="12">
      <c r="A12" s="5" t="str">
        <f t="shared" si="1"/>
        <v>11</v>
      </c>
      <c r="B12" s="7" t="s">
        <v>48</v>
      </c>
      <c r="C12" s="7" t="s">
        <v>49</v>
      </c>
      <c r="D12" s="7">
        <v>29.0</v>
      </c>
      <c r="E12" s="7" t="str">
        <f>SUMIFS(Transaksi!J:J, Transaksi!E:E, $C12, Transaksi!F:F, "Barang Datang")+SUMIFS(Transaksi!J:J, Transaksi!E:E,$C12,Transaksi!F:F,"Retur Penjualan")</f>
        <v>0</v>
      </c>
      <c r="F12" s="7" t="str">
        <f>SUMIFS(Transaksi!K:K, Transaksi!E:E, $C12, Transaksi!F:F, "Barang Datang")
+
SUMIFS(Transaksi!K:K, Transaksi!E:E, $C12, Transaksi!F:F, "Retur penjualan")+SUMIFS(Transaksi!K:K, Transaksi!E:E, $C12, Transaksi!F:F,"Rusak Internal")</f>
        <v>0</v>
      </c>
      <c r="G12" s="7" t="str">
        <f>SUMIFS(Transaksi!I:I, Transaksi!E:E, $C12, Transaksi!F:F, "Terjual")
+
SUMIFS(Transaksi!J:J, Transaksi!E:E, $C12, Transaksi!F:F, "Retur Pembelian")+SUMIFS(Transaksi!I:I, Transaksi!E:E, $C12, Transaksi!F:F, "Dipakai Sendiri")</f>
        <v>0</v>
      </c>
      <c r="H12" s="15" t="str">
        <f t="shared" si="2"/>
        <v>29</v>
      </c>
      <c r="I12" s="15" t="str">
        <f t="shared" si="3"/>
        <v/>
      </c>
      <c r="J12" s="7"/>
      <c r="K12" s="7">
        <v>20000.0</v>
      </c>
    </row>
    <row r="13">
      <c r="A13" s="5" t="str">
        <f t="shared" si="1"/>
        <v>12</v>
      </c>
      <c r="B13" s="7" t="s">
        <v>50</v>
      </c>
      <c r="C13" s="7" t="s">
        <v>51</v>
      </c>
      <c r="D13" s="7">
        <v>11.0</v>
      </c>
      <c r="E13" s="7" t="str">
        <f>SUMIFS(Transaksi!J:J, Transaksi!E:E, $C13, Transaksi!F:F, "Barang Datang")+SUMIFS(Transaksi!J:J, Transaksi!E:E,$C13,Transaksi!F:F,"Retur Penjualan")</f>
        <v>0</v>
      </c>
      <c r="F13" s="7" t="str">
        <f>SUMIFS(Transaksi!K:K, Transaksi!E:E, $C13, Transaksi!F:F, "Barang Datang")
+
SUMIFS(Transaksi!K:K, Transaksi!E:E, $C13, Transaksi!F:F, "Retur penjualan")+SUMIFS(Transaksi!K:K, Transaksi!E:E, $C13, Transaksi!F:F,"Rusak Internal")</f>
        <v>0</v>
      </c>
      <c r="G13" s="7" t="str">
        <f>SUMIFS(Transaksi!I:I, Transaksi!E:E, $C13, Transaksi!F:F, "Terjual")
+
SUMIFS(Transaksi!J:J, Transaksi!E:E, $C13, Transaksi!F:F, "Retur Pembelian")+SUMIFS(Transaksi!I:I, Transaksi!E:E, $C13, Transaksi!F:F, "Dipakai Sendiri")</f>
        <v>0</v>
      </c>
      <c r="H13" s="15" t="str">
        <f t="shared" si="2"/>
        <v>11</v>
      </c>
      <c r="I13" s="15" t="str">
        <f t="shared" si="3"/>
        <v/>
      </c>
      <c r="J13" s="7"/>
      <c r="K13" s="7">
        <v>10000.0</v>
      </c>
    </row>
    <row r="14">
      <c r="A14" s="5" t="str">
        <f t="shared" si="1"/>
        <v>13</v>
      </c>
      <c r="B14" s="7" t="s">
        <v>52</v>
      </c>
      <c r="C14" s="7" t="s">
        <v>53</v>
      </c>
      <c r="D14" s="7">
        <v>69.0</v>
      </c>
      <c r="E14" s="7" t="str">
        <f>SUMIFS(Transaksi!J:J, Transaksi!E:E, $C14, Transaksi!F:F, "Barang Datang")+SUMIFS(Transaksi!J:J, Transaksi!E:E,$C14,Transaksi!F:F,"Retur Penjualan")</f>
        <v>0</v>
      </c>
      <c r="F14" s="7" t="str">
        <f>SUMIFS(Transaksi!K:K, Transaksi!E:E, $C14, Transaksi!F:F, "Barang Datang")
+
SUMIFS(Transaksi!K:K, Transaksi!E:E, $C14, Transaksi!F:F, "Retur penjualan")+SUMIFS(Transaksi!K:K, Transaksi!E:E, $C14, Transaksi!F:F,"Rusak Internal")</f>
        <v>0</v>
      </c>
      <c r="G14" s="7" t="str">
        <f>SUMIFS(Transaksi!I:I, Transaksi!E:E, $C14, Transaksi!F:F, "Terjual")
+
SUMIFS(Transaksi!J:J, Transaksi!E:E, $C14, Transaksi!F:F, "Retur Pembelian")+SUMIFS(Transaksi!I:I, Transaksi!E:E, $C14, Transaksi!F:F, "Dipakai Sendiri")</f>
        <v>0</v>
      </c>
      <c r="H14" s="15" t="str">
        <f t="shared" si="2"/>
        <v>69</v>
      </c>
      <c r="I14" s="15" t="str">
        <f t="shared" si="3"/>
        <v/>
      </c>
      <c r="J14" s="7"/>
      <c r="K14" s="7">
        <v>40000.0</v>
      </c>
    </row>
    <row r="15">
      <c r="A15" s="5" t="str">
        <f t="shared" si="1"/>
        <v>14</v>
      </c>
      <c r="B15" s="7" t="s">
        <v>54</v>
      </c>
      <c r="C15" s="7" t="s">
        <v>55</v>
      </c>
      <c r="D15" s="7">
        <v>88.0</v>
      </c>
      <c r="E15" s="7" t="str">
        <f>SUMIFS(Transaksi!J:J, Transaksi!E:E, $C15, Transaksi!F:F, "Barang Datang")+SUMIFS(Transaksi!J:J, Transaksi!E:E,$C15,Transaksi!F:F,"Retur Penjualan")</f>
        <v>0</v>
      </c>
      <c r="F15" s="7" t="str">
        <f>SUMIFS(Transaksi!K:K, Transaksi!E:E, $C15, Transaksi!F:F, "Barang Datang")
+
SUMIFS(Transaksi!K:K, Transaksi!E:E, $C15, Transaksi!F:F, "Retur penjualan")+SUMIFS(Transaksi!K:K, Transaksi!E:E, $C15, Transaksi!F:F,"Rusak Internal")</f>
        <v>0</v>
      </c>
      <c r="G15" s="7" t="str">
        <f>SUMIFS(Transaksi!I:I, Transaksi!E:E, $C15, Transaksi!F:F, "Terjual")
+
SUMIFS(Transaksi!J:J, Transaksi!E:E, $C15, Transaksi!F:F, "Retur Pembelian")+SUMIFS(Transaksi!I:I, Transaksi!E:E, $C15, Transaksi!F:F, "Dipakai Sendiri")</f>
        <v>0</v>
      </c>
      <c r="H15" s="15" t="str">
        <f t="shared" si="2"/>
        <v>88</v>
      </c>
      <c r="I15" s="15" t="str">
        <f t="shared" si="3"/>
        <v/>
      </c>
      <c r="J15" s="7"/>
      <c r="K15" s="7">
        <v>40000.0</v>
      </c>
    </row>
    <row r="16">
      <c r="A16" s="5" t="str">
        <f t="shared" si="1"/>
        <v>15</v>
      </c>
      <c r="B16" s="7" t="s">
        <v>56</v>
      </c>
      <c r="C16" s="7" t="s">
        <v>57</v>
      </c>
      <c r="D16" s="7">
        <v>36.0</v>
      </c>
      <c r="E16" s="7" t="str">
        <f>SUMIFS(Transaksi!J:J, Transaksi!E:E, $C16, Transaksi!F:F, "Barang Datang")+SUMIFS(Transaksi!J:J, Transaksi!E:E,$C16,Transaksi!F:F,"Retur Penjualan")</f>
        <v>0</v>
      </c>
      <c r="F16" s="7" t="str">
        <f>SUMIFS(Transaksi!K:K, Transaksi!E:E, $C16, Transaksi!F:F, "Barang Datang")
+
SUMIFS(Transaksi!K:K, Transaksi!E:E, $C16, Transaksi!F:F, "Retur penjualan")+SUMIFS(Transaksi!K:K, Transaksi!E:E, $C16, Transaksi!F:F,"Rusak Internal")</f>
        <v>0</v>
      </c>
      <c r="G16" s="7" t="str">
        <f>SUMIFS(Transaksi!I:I, Transaksi!E:E, $C16, Transaksi!F:F, "Terjual")
+
SUMIFS(Transaksi!J:J, Transaksi!E:E, $C16, Transaksi!F:F, "Retur Pembelian")+SUMIFS(Transaksi!I:I, Transaksi!E:E, $C16, Transaksi!F:F, "Dipakai Sendiri")</f>
        <v>0</v>
      </c>
      <c r="H16" s="15" t="str">
        <f t="shared" si="2"/>
        <v>36</v>
      </c>
      <c r="I16" s="15" t="str">
        <f t="shared" si="3"/>
        <v/>
      </c>
      <c r="J16" s="7"/>
      <c r="K16" s="7">
        <v>10000.0</v>
      </c>
    </row>
    <row r="17">
      <c r="A17" s="5" t="str">
        <f t="shared" si="1"/>
        <v>16</v>
      </c>
      <c r="B17" s="7" t="s">
        <v>58</v>
      </c>
      <c r="C17" s="7" t="s">
        <v>59</v>
      </c>
      <c r="D17" s="7">
        <v>58.0</v>
      </c>
      <c r="E17" s="7" t="str">
        <f>SUMIFS(Transaksi!J:J, Transaksi!E:E, $C17, Transaksi!F:F, "Barang Datang")+SUMIFS(Transaksi!J:J, Transaksi!E:E,$C17,Transaksi!F:F,"Retur Penjualan")</f>
        <v>0</v>
      </c>
      <c r="F17" s="7" t="str">
        <f>SUMIFS(Transaksi!K:K, Transaksi!E:E, $C17, Transaksi!F:F, "Barang Datang")
+
SUMIFS(Transaksi!K:K, Transaksi!E:E, $C17, Transaksi!F:F, "Retur penjualan")+SUMIFS(Transaksi!K:K, Transaksi!E:E, $C17, Transaksi!F:F,"Rusak Internal")</f>
        <v>0</v>
      </c>
      <c r="G17" s="7" t="str">
        <f>SUMIFS(Transaksi!I:I, Transaksi!E:E, $C17, Transaksi!F:F, "Terjual")
+
SUMIFS(Transaksi!J:J, Transaksi!E:E, $C17, Transaksi!F:F, "Retur Pembelian")+SUMIFS(Transaksi!I:I, Transaksi!E:E, $C17, Transaksi!F:F, "Dipakai Sendiri")</f>
        <v>0</v>
      </c>
      <c r="H17" s="15" t="str">
        <f t="shared" si="2"/>
        <v>58</v>
      </c>
      <c r="I17" s="15" t="str">
        <f t="shared" si="3"/>
        <v/>
      </c>
      <c r="J17" s="7"/>
      <c r="K17" s="7">
        <v>35000.0</v>
      </c>
    </row>
    <row r="18">
      <c r="A18" s="5" t="str">
        <f t="shared" si="1"/>
        <v>17</v>
      </c>
      <c r="B18" s="7" t="s">
        <v>60</v>
      </c>
      <c r="C18" s="7" t="s">
        <v>61</v>
      </c>
      <c r="D18" s="7">
        <v>39.0</v>
      </c>
      <c r="E18" s="7" t="str">
        <f>SUMIFS(Transaksi!J:J, Transaksi!E:E, $C18, Transaksi!F:F, "Barang Datang")+SUMIFS(Transaksi!J:J, Transaksi!E:E,$C18,Transaksi!F:F,"Retur Penjualan")</f>
        <v>0</v>
      </c>
      <c r="F18" s="7" t="str">
        <f>SUMIFS(Transaksi!K:K, Transaksi!E:E, $C18, Transaksi!F:F, "Barang Datang")
+
SUMIFS(Transaksi!K:K, Transaksi!E:E, $C18, Transaksi!F:F, "Retur penjualan")+SUMIFS(Transaksi!K:K, Transaksi!E:E, $C18, Transaksi!F:F,"Rusak Internal")</f>
        <v>0</v>
      </c>
      <c r="G18" s="7" t="str">
        <f>SUMIFS(Transaksi!I:I, Transaksi!E:E, $C18, Transaksi!F:F, "Terjual")
+
SUMIFS(Transaksi!J:J, Transaksi!E:E, $C18, Transaksi!F:F, "Retur Pembelian")+SUMIFS(Transaksi!I:I, Transaksi!E:E, $C18, Transaksi!F:F, "Dipakai Sendiri")</f>
        <v>0</v>
      </c>
      <c r="H18" s="15" t="str">
        <f t="shared" si="2"/>
        <v>39</v>
      </c>
      <c r="I18" s="15" t="str">
        <f t="shared" si="3"/>
        <v/>
      </c>
      <c r="J18" s="7"/>
      <c r="K18" s="7">
        <v>25000.0</v>
      </c>
    </row>
    <row r="19">
      <c r="A19" s="5" t="str">
        <f t="shared" si="1"/>
        <v>18</v>
      </c>
      <c r="B19" s="7" t="s">
        <v>62</v>
      </c>
      <c r="C19" s="7" t="s">
        <v>63</v>
      </c>
      <c r="D19" s="7">
        <v>56.0</v>
      </c>
      <c r="E19" s="7" t="str">
        <f>SUMIFS(Transaksi!J:J, Transaksi!E:E, $C19, Transaksi!F:F, "Barang Datang")+SUMIFS(Transaksi!J:J, Transaksi!E:E,$C19,Transaksi!F:F,"Retur Penjualan")</f>
        <v>0</v>
      </c>
      <c r="F19" s="7" t="str">
        <f>SUMIFS(Transaksi!K:K, Transaksi!E:E, $C19, Transaksi!F:F, "Barang Datang")
+
SUMIFS(Transaksi!K:K, Transaksi!E:E, $C19, Transaksi!F:F, "Retur penjualan")+SUMIFS(Transaksi!K:K, Transaksi!E:E, $C19, Transaksi!F:F,"Rusak Internal")</f>
        <v>0</v>
      </c>
      <c r="G19" s="7" t="str">
        <f>SUMIFS(Transaksi!I:I, Transaksi!E:E, $C19, Transaksi!F:F, "Terjual")
+
SUMIFS(Transaksi!J:J, Transaksi!E:E, $C19, Transaksi!F:F, "Retur Pembelian")+SUMIFS(Transaksi!I:I, Transaksi!E:E, $C19, Transaksi!F:F, "Dipakai Sendiri")</f>
        <v>0</v>
      </c>
      <c r="H19" s="15" t="str">
        <f t="shared" si="2"/>
        <v>56</v>
      </c>
      <c r="I19" s="15" t="str">
        <f t="shared" si="3"/>
        <v/>
      </c>
      <c r="J19" s="7"/>
      <c r="K19" s="7">
        <v>50000.0</v>
      </c>
    </row>
    <row r="20" ht="15.75" customHeight="1">
      <c r="A20" s="5" t="str">
        <f t="shared" si="1"/>
        <v>19</v>
      </c>
      <c r="B20" s="7" t="s">
        <v>64</v>
      </c>
      <c r="C20" s="7" t="s">
        <v>65</v>
      </c>
      <c r="D20" s="7">
        <v>39.0</v>
      </c>
      <c r="E20" s="7" t="str">
        <f>SUMIFS(Transaksi!J:J, Transaksi!E:E, $C20, Transaksi!F:F, "Barang Datang")+SUMIFS(Transaksi!J:J, Transaksi!E:E,$C20,Transaksi!F:F,"Retur Penjualan")</f>
        <v>0</v>
      </c>
      <c r="F20" s="7" t="str">
        <f>SUMIFS(Transaksi!K:K, Transaksi!E:E, $C20, Transaksi!F:F, "Barang Datang")
+
SUMIFS(Transaksi!K:K, Transaksi!E:E, $C20, Transaksi!F:F, "Retur penjualan")+SUMIFS(Transaksi!K:K, Transaksi!E:E, $C20, Transaksi!F:F,"Rusak Internal")</f>
        <v>0</v>
      </c>
      <c r="G20" s="7" t="str">
        <f>SUMIFS(Transaksi!I:I, Transaksi!E:E, $C20, Transaksi!F:F, "Terjual")
+
SUMIFS(Transaksi!J:J, Transaksi!E:E, $C20, Transaksi!F:F, "Retur Pembelian")+SUMIFS(Transaksi!I:I, Transaksi!E:E, $C20, Transaksi!F:F, "Dipakai Sendiri")</f>
        <v>0</v>
      </c>
      <c r="H20" s="15" t="str">
        <f t="shared" si="2"/>
        <v>39</v>
      </c>
      <c r="I20" s="15" t="str">
        <f t="shared" si="3"/>
        <v/>
      </c>
      <c r="J20" s="7"/>
      <c r="K20" s="7">
        <v>35000.0</v>
      </c>
    </row>
    <row r="21" ht="15.75" customHeight="1">
      <c r="A21" s="5" t="str">
        <f t="shared" si="1"/>
        <v>20</v>
      </c>
      <c r="B21" s="7" t="s">
        <v>66</v>
      </c>
      <c r="C21" s="7" t="s">
        <v>67</v>
      </c>
      <c r="D21" s="7">
        <v>54.0</v>
      </c>
      <c r="E21" s="7" t="str">
        <f>SUMIFS(Transaksi!J:J, Transaksi!E:E, $C21, Transaksi!F:F, "Barang Datang")+SUMIFS(Transaksi!J:J, Transaksi!E:E,$C21,Transaksi!F:F,"Retur Penjualan")</f>
        <v>0</v>
      </c>
      <c r="F21" s="7" t="str">
        <f>SUMIFS(Transaksi!K:K, Transaksi!E:E, $C21, Transaksi!F:F, "Barang Datang")
+
SUMIFS(Transaksi!K:K, Transaksi!E:E, $C21, Transaksi!F:F, "Retur penjualan")+SUMIFS(Transaksi!K:K, Transaksi!E:E, $C21, Transaksi!F:F,"Rusak Internal")</f>
        <v>0</v>
      </c>
      <c r="G21" s="7" t="str">
        <f>SUMIFS(Transaksi!I:I, Transaksi!E:E, $C21, Transaksi!F:F, "Terjual")
+
SUMIFS(Transaksi!J:J, Transaksi!E:E, $C21, Transaksi!F:F, "Retur Pembelian")+SUMIFS(Transaksi!I:I, Transaksi!E:E, $C21, Transaksi!F:F, "Dipakai Sendiri")</f>
        <v>0</v>
      </c>
      <c r="H21" s="15" t="str">
        <f t="shared" si="2"/>
        <v>54</v>
      </c>
      <c r="I21" s="15" t="str">
        <f t="shared" si="3"/>
        <v/>
      </c>
      <c r="J21" s="7"/>
      <c r="K21" s="7">
        <v>10000.0</v>
      </c>
    </row>
    <row r="22" ht="15.75" customHeight="1">
      <c r="A22" s="5" t="str">
        <f t="shared" si="1"/>
        <v>21</v>
      </c>
      <c r="B22" s="7" t="s">
        <v>68</v>
      </c>
      <c r="C22" s="7" t="s">
        <v>69</v>
      </c>
      <c r="D22" s="7">
        <v>26.0</v>
      </c>
      <c r="E22" s="7" t="str">
        <f>SUMIFS(Transaksi!J:J, Transaksi!E:E, $C22, Transaksi!F:F, "Barang Datang")+SUMIFS(Transaksi!J:J, Transaksi!E:E,$C22,Transaksi!F:F,"Retur Penjualan")</f>
        <v>0</v>
      </c>
      <c r="F22" s="7" t="str">
        <f>SUMIFS(Transaksi!K:K, Transaksi!E:E, $C22, Transaksi!F:F, "Barang Datang")
+
SUMIFS(Transaksi!K:K, Transaksi!E:E, $C22, Transaksi!F:F, "Retur penjualan")+SUMIFS(Transaksi!K:K, Transaksi!E:E, $C22, Transaksi!F:F,"Rusak Internal")</f>
        <v>0</v>
      </c>
      <c r="G22" s="7" t="str">
        <f>SUMIFS(Transaksi!I:I, Transaksi!E:E, $C22, Transaksi!F:F, "Terjual")
+
SUMIFS(Transaksi!J:J, Transaksi!E:E, $C22, Transaksi!F:F, "Retur Pembelian")+SUMIFS(Transaksi!I:I, Transaksi!E:E, $C22, Transaksi!F:F, "Dipakai Sendiri")</f>
        <v>0</v>
      </c>
      <c r="H22" s="15" t="str">
        <f t="shared" si="2"/>
        <v>26</v>
      </c>
      <c r="I22" s="15" t="str">
        <f t="shared" si="3"/>
        <v/>
      </c>
      <c r="J22" s="7"/>
      <c r="K22" s="7">
        <v>35000.0</v>
      </c>
    </row>
    <row r="23" ht="15.75" customHeight="1">
      <c r="A23" s="5" t="str">
        <f t="shared" si="1"/>
        <v>22</v>
      </c>
      <c r="B23" s="7" t="s">
        <v>70</v>
      </c>
      <c r="C23" s="7" t="s">
        <v>71</v>
      </c>
      <c r="D23" s="7">
        <v>21.0</v>
      </c>
      <c r="E23" s="7" t="str">
        <f>SUMIFS(Transaksi!J:J, Transaksi!E:E, $C23, Transaksi!F:F, "Barang Datang")+SUMIFS(Transaksi!J:J, Transaksi!E:E,$C23,Transaksi!F:F,"Retur Penjualan")</f>
        <v>0</v>
      </c>
      <c r="F23" s="7" t="str">
        <f>SUMIFS(Transaksi!K:K, Transaksi!E:E, $C23, Transaksi!F:F, "Barang Datang")
+
SUMIFS(Transaksi!K:K, Transaksi!E:E, $C23, Transaksi!F:F, "Retur penjualan")+SUMIFS(Transaksi!K:K, Transaksi!E:E, $C23, Transaksi!F:F,"Rusak Internal")</f>
        <v>0</v>
      </c>
      <c r="G23" s="7" t="str">
        <f>SUMIFS(Transaksi!I:I, Transaksi!E:E, $C23, Transaksi!F:F, "Terjual")
+
SUMIFS(Transaksi!J:J, Transaksi!E:E, $C23, Transaksi!F:F, "Retur Pembelian")+SUMIFS(Transaksi!I:I, Transaksi!E:E, $C23, Transaksi!F:F, "Dipakai Sendiri")</f>
        <v>0</v>
      </c>
      <c r="H23" s="15" t="str">
        <f t="shared" si="2"/>
        <v>21</v>
      </c>
      <c r="I23" s="15" t="str">
        <f t="shared" si="3"/>
        <v/>
      </c>
      <c r="J23" s="7"/>
      <c r="K23" s="7">
        <v>45000.0</v>
      </c>
    </row>
    <row r="24" ht="15.75" customHeight="1">
      <c r="A24" s="5" t="str">
        <f t="shared" si="1"/>
        <v>23</v>
      </c>
      <c r="B24" s="7" t="s">
        <v>72</v>
      </c>
      <c r="C24" s="7" t="s">
        <v>73</v>
      </c>
      <c r="D24" s="7">
        <v>56.0</v>
      </c>
      <c r="E24" s="7" t="str">
        <f>SUMIFS(Transaksi!J:J, Transaksi!E:E, $C24, Transaksi!F:F, "Barang Datang")+SUMIFS(Transaksi!J:J, Transaksi!E:E,$C24,Transaksi!F:F,"Retur Penjualan")</f>
        <v>0</v>
      </c>
      <c r="F24" s="7" t="str">
        <f>SUMIFS(Transaksi!K:K, Transaksi!E:E, $C24, Transaksi!F:F, "Barang Datang")
+
SUMIFS(Transaksi!K:K, Transaksi!E:E, $C24, Transaksi!F:F, "Retur penjualan")+SUMIFS(Transaksi!K:K, Transaksi!E:E, $C24, Transaksi!F:F,"Rusak Internal")</f>
        <v>0</v>
      </c>
      <c r="G24" s="7" t="str">
        <f>SUMIFS(Transaksi!I:I, Transaksi!E:E, $C24, Transaksi!F:F, "Terjual")
+
SUMIFS(Transaksi!J:J, Transaksi!E:E, $C24, Transaksi!F:F, "Retur Pembelian")+SUMIFS(Transaksi!I:I, Transaksi!E:E, $C24, Transaksi!F:F, "Dipakai Sendiri")</f>
        <v>0</v>
      </c>
      <c r="H24" s="15" t="str">
        <f t="shared" si="2"/>
        <v>56</v>
      </c>
      <c r="I24" s="15" t="str">
        <f t="shared" si="3"/>
        <v/>
      </c>
      <c r="J24" s="7"/>
      <c r="K24" s="7">
        <v>20000.0</v>
      </c>
    </row>
    <row r="25" ht="15.75" customHeight="1">
      <c r="A25" s="5" t="str">
        <f t="shared" si="1"/>
        <v>24</v>
      </c>
      <c r="B25" s="7" t="s">
        <v>74</v>
      </c>
      <c r="C25" s="7" t="s">
        <v>75</v>
      </c>
      <c r="D25" s="7">
        <v>88.0</v>
      </c>
      <c r="E25" s="7" t="str">
        <f>SUMIFS(Transaksi!J:J, Transaksi!E:E, $C25, Transaksi!F:F, "Barang Datang")+SUMIFS(Transaksi!J:J, Transaksi!E:E,$C25,Transaksi!F:F,"Retur Penjualan")</f>
        <v>0</v>
      </c>
      <c r="F25" s="7" t="str">
        <f>SUMIFS(Transaksi!K:K, Transaksi!E:E, $C25, Transaksi!F:F, "Barang Datang")
+
SUMIFS(Transaksi!K:K, Transaksi!E:E, $C25, Transaksi!F:F, "Retur penjualan")+SUMIFS(Transaksi!K:K, Transaksi!E:E, $C25, Transaksi!F:F,"Rusak Internal")</f>
        <v>0</v>
      </c>
      <c r="G25" s="7" t="str">
        <f>SUMIFS(Transaksi!I:I, Transaksi!E:E, $C25, Transaksi!F:F, "Terjual")
+
SUMIFS(Transaksi!J:J, Transaksi!E:E, $C25, Transaksi!F:F, "Retur Pembelian")+SUMIFS(Transaksi!I:I, Transaksi!E:E, $C25, Transaksi!F:F, "Dipakai Sendiri")</f>
        <v>0</v>
      </c>
      <c r="H25" s="15" t="str">
        <f t="shared" si="2"/>
        <v>88</v>
      </c>
      <c r="I25" s="15" t="str">
        <f t="shared" si="3"/>
        <v/>
      </c>
      <c r="J25" s="7"/>
      <c r="K25" s="7">
        <v>5000.0</v>
      </c>
    </row>
    <row r="26" ht="15.75" customHeight="1">
      <c r="A26" s="5" t="str">
        <f t="shared" si="1"/>
        <v>25</v>
      </c>
      <c r="B26" s="7" t="s">
        <v>76</v>
      </c>
      <c r="C26" s="7" t="s">
        <v>77</v>
      </c>
      <c r="D26" s="7">
        <v>92.0</v>
      </c>
      <c r="E26" s="7" t="str">
        <f>SUMIFS(Transaksi!J:J, Transaksi!E:E, $C26, Transaksi!F:F, "Barang Datang")+SUMIFS(Transaksi!J:J, Transaksi!E:E,$C26,Transaksi!F:F,"Retur Penjualan")</f>
        <v>0</v>
      </c>
      <c r="F26" s="7" t="str">
        <f>SUMIFS(Transaksi!K:K, Transaksi!E:E, $C26, Transaksi!F:F, "Barang Datang")
+
SUMIFS(Transaksi!K:K, Transaksi!E:E, $C26, Transaksi!F:F, "Retur penjualan")+SUMIFS(Transaksi!K:K, Transaksi!E:E, $C26, Transaksi!F:F,"Rusak Internal")</f>
        <v>0</v>
      </c>
      <c r="G26" s="7" t="str">
        <f>SUMIFS(Transaksi!I:I, Transaksi!E:E, $C26, Transaksi!F:F, "Terjual")
+
SUMIFS(Transaksi!J:J, Transaksi!E:E, $C26, Transaksi!F:F, "Retur Pembelian")+SUMIFS(Transaksi!I:I, Transaksi!E:E, $C26, Transaksi!F:F, "Dipakai Sendiri")</f>
        <v>0</v>
      </c>
      <c r="H26" s="15" t="str">
        <f t="shared" si="2"/>
        <v>92</v>
      </c>
      <c r="I26" s="15" t="str">
        <f t="shared" si="3"/>
        <v/>
      </c>
      <c r="J26" s="7"/>
      <c r="K26" s="7">
        <v>20000.0</v>
      </c>
    </row>
    <row r="27" ht="15.75" customHeight="1">
      <c r="A27" s="5" t="str">
        <f t="shared" si="1"/>
        <v>26</v>
      </c>
      <c r="B27" s="7" t="s">
        <v>78</v>
      </c>
      <c r="C27" s="7" t="s">
        <v>79</v>
      </c>
      <c r="D27" s="7">
        <v>46.0</v>
      </c>
      <c r="E27" s="7" t="str">
        <f>SUMIFS(Transaksi!J:J, Transaksi!E:E, $C27, Transaksi!F:F, "Barang Datang")+SUMIFS(Transaksi!J:J, Transaksi!E:E,$C27,Transaksi!F:F,"Retur Penjualan")</f>
        <v>0</v>
      </c>
      <c r="F27" s="7" t="str">
        <f>SUMIFS(Transaksi!K:K, Transaksi!E:E, $C27, Transaksi!F:F, "Barang Datang")
+
SUMIFS(Transaksi!K:K, Transaksi!E:E, $C27, Transaksi!F:F, "Retur penjualan")+SUMIFS(Transaksi!K:K, Transaksi!E:E, $C27, Transaksi!F:F,"Rusak Internal")</f>
        <v>0</v>
      </c>
      <c r="G27" s="7" t="str">
        <f>SUMIFS(Transaksi!I:I, Transaksi!E:E, $C27, Transaksi!F:F, "Terjual")
+
SUMIFS(Transaksi!J:J, Transaksi!E:E, $C27, Transaksi!F:F, "Retur Pembelian")+SUMIFS(Transaksi!I:I, Transaksi!E:E, $C27, Transaksi!F:F, "Dipakai Sendiri")</f>
        <v>0</v>
      </c>
      <c r="H27" s="15" t="str">
        <f t="shared" si="2"/>
        <v>46</v>
      </c>
      <c r="I27" s="15" t="str">
        <f t="shared" si="3"/>
        <v/>
      </c>
      <c r="J27" s="7"/>
      <c r="K27" s="7">
        <v>35000.0</v>
      </c>
    </row>
    <row r="28" ht="15.75" customHeight="1">
      <c r="A28" s="5" t="str">
        <f t="shared" si="1"/>
        <v>27</v>
      </c>
      <c r="B28" s="7" t="s">
        <v>80</v>
      </c>
      <c r="C28" s="7" t="s">
        <v>81</v>
      </c>
      <c r="D28" s="7">
        <v>19.0</v>
      </c>
      <c r="E28" s="7" t="str">
        <f>SUMIFS(Transaksi!J:J, Transaksi!E:E, $C28, Transaksi!F:F, "Barang Datang")+SUMIFS(Transaksi!J:J, Transaksi!E:E,$C28,Transaksi!F:F,"Retur Penjualan")</f>
        <v>0</v>
      </c>
      <c r="F28" s="7" t="str">
        <f>SUMIFS(Transaksi!K:K, Transaksi!E:E, $C28, Transaksi!F:F, "Barang Datang")
+
SUMIFS(Transaksi!K:K, Transaksi!E:E, $C28, Transaksi!F:F, "Retur penjualan")+SUMIFS(Transaksi!K:K, Transaksi!E:E, $C28, Transaksi!F:F,"Rusak Internal")</f>
        <v>0</v>
      </c>
      <c r="G28" s="7" t="str">
        <f>SUMIFS(Transaksi!I:I, Transaksi!E:E, $C28, Transaksi!F:F, "Terjual")
+
SUMIFS(Transaksi!J:J, Transaksi!E:E, $C28, Transaksi!F:F, "Retur Pembelian")+SUMIFS(Transaksi!I:I, Transaksi!E:E, $C28, Transaksi!F:F, "Dipakai Sendiri")</f>
        <v>0</v>
      </c>
      <c r="H28" s="15" t="str">
        <f t="shared" si="2"/>
        <v>19</v>
      </c>
      <c r="I28" s="15" t="str">
        <f t="shared" si="3"/>
        <v/>
      </c>
      <c r="J28" s="7"/>
      <c r="K28" s="7">
        <v>40000.0</v>
      </c>
    </row>
    <row r="29" ht="15.75" customHeight="1">
      <c r="A29" s="5" t="str">
        <f t="shared" si="1"/>
        <v>28</v>
      </c>
      <c r="B29" s="7" t="s">
        <v>82</v>
      </c>
      <c r="C29" s="7" t="s">
        <v>83</v>
      </c>
      <c r="D29" s="7">
        <v>10.0</v>
      </c>
      <c r="E29" s="7" t="str">
        <f>SUMIFS(Transaksi!J:J, Transaksi!E:E, $C29, Transaksi!F:F, "Barang Datang")+SUMIFS(Transaksi!J:J, Transaksi!E:E,$C29,Transaksi!F:F,"Retur Penjualan")</f>
        <v>0</v>
      </c>
      <c r="F29" s="7" t="str">
        <f>SUMIFS(Transaksi!K:K, Transaksi!E:E, $C29, Transaksi!F:F, "Barang Datang")
+
SUMIFS(Transaksi!K:K, Transaksi!E:E, $C29, Transaksi!F:F, "Retur penjualan")+SUMIFS(Transaksi!K:K, Transaksi!E:E, $C29, Transaksi!F:F,"Rusak Internal")</f>
        <v>0</v>
      </c>
      <c r="G29" s="7" t="str">
        <f>SUMIFS(Transaksi!I:I, Transaksi!E:E, $C29, Transaksi!F:F, "Terjual")
+
SUMIFS(Transaksi!J:J, Transaksi!E:E, $C29, Transaksi!F:F, "Retur Pembelian")+SUMIFS(Transaksi!I:I, Transaksi!E:E, $C29, Transaksi!F:F, "Dipakai Sendiri")</f>
        <v>0</v>
      </c>
      <c r="H29" s="15" t="str">
        <f t="shared" si="2"/>
        <v>10</v>
      </c>
      <c r="I29" s="15" t="str">
        <f t="shared" si="3"/>
        <v/>
      </c>
      <c r="J29" s="7"/>
      <c r="K29" s="7">
        <v>25000.0</v>
      </c>
    </row>
    <row r="30" ht="15.75" customHeight="1">
      <c r="A30" s="5" t="str">
        <f t="shared" si="1"/>
        <v>29</v>
      </c>
      <c r="B30" s="7" t="s">
        <v>84</v>
      </c>
      <c r="C30" s="7" t="s">
        <v>85</v>
      </c>
      <c r="D30" s="7">
        <v>89.0</v>
      </c>
      <c r="E30" s="7" t="str">
        <f>SUMIFS(Transaksi!J:J, Transaksi!E:E, $C30, Transaksi!F:F, "Barang Datang")+SUMIFS(Transaksi!J:J, Transaksi!E:E,$C30,Transaksi!F:F,"Retur Penjualan")</f>
        <v>0</v>
      </c>
      <c r="F30" s="7" t="str">
        <f>SUMIFS(Transaksi!K:K, Transaksi!E:E, $C30, Transaksi!F:F, "Barang Datang")
+
SUMIFS(Transaksi!K:K, Transaksi!E:E, $C30, Transaksi!F:F, "Retur penjualan")+SUMIFS(Transaksi!K:K, Transaksi!E:E, $C30, Transaksi!F:F,"Rusak Internal")</f>
        <v>0</v>
      </c>
      <c r="G30" s="7" t="str">
        <f>SUMIFS(Transaksi!I:I, Transaksi!E:E, $C30, Transaksi!F:F, "Terjual")
+
SUMIFS(Transaksi!J:J, Transaksi!E:E, $C30, Transaksi!F:F, "Retur Pembelian")+SUMIFS(Transaksi!I:I, Transaksi!E:E, $C30, Transaksi!F:F, "Dipakai Sendiri")</f>
        <v>0</v>
      </c>
      <c r="H30" s="15" t="str">
        <f t="shared" si="2"/>
        <v>89</v>
      </c>
      <c r="I30" s="15" t="str">
        <f t="shared" si="3"/>
        <v/>
      </c>
      <c r="J30" s="7"/>
      <c r="K30" s="7">
        <v>20000.0</v>
      </c>
    </row>
    <row r="31" ht="15.75" customHeight="1">
      <c r="A31" s="5" t="str">
        <f t="shared" si="1"/>
        <v>30</v>
      </c>
      <c r="B31" s="7" t="s">
        <v>86</v>
      </c>
      <c r="C31" s="7" t="s">
        <v>87</v>
      </c>
      <c r="D31" s="7">
        <v>69.0</v>
      </c>
      <c r="E31" s="7" t="str">
        <f>SUMIFS(Transaksi!J:J, Transaksi!E:E, $C31, Transaksi!F:F, "Barang Datang")+SUMIFS(Transaksi!J:J, Transaksi!E:E,$C31,Transaksi!F:F,"Retur Penjualan")</f>
        <v>0</v>
      </c>
      <c r="F31" s="7" t="str">
        <f>SUMIFS(Transaksi!K:K, Transaksi!E:E, $C31, Transaksi!F:F, "Barang Datang")
+
SUMIFS(Transaksi!K:K, Transaksi!E:E, $C31, Transaksi!F:F, "Retur penjualan")+SUMIFS(Transaksi!K:K, Transaksi!E:E, $C31, Transaksi!F:F,"Rusak Internal")</f>
        <v>0</v>
      </c>
      <c r="G31" s="7" t="str">
        <f>SUMIFS(Transaksi!I:I, Transaksi!E:E, $C31, Transaksi!F:F, "Terjual")
+
SUMIFS(Transaksi!J:J, Transaksi!E:E, $C31, Transaksi!F:F, "Retur Pembelian")+SUMIFS(Transaksi!I:I, Transaksi!E:E, $C31, Transaksi!F:F, "Dipakai Sendiri")</f>
        <v>0</v>
      </c>
      <c r="H31" s="15" t="str">
        <f t="shared" si="2"/>
        <v>69</v>
      </c>
      <c r="I31" s="15" t="str">
        <f t="shared" si="3"/>
        <v/>
      </c>
      <c r="J31" s="7"/>
      <c r="K31" s="7">
        <v>30000.0</v>
      </c>
    </row>
    <row r="32" ht="15.75" customHeight="1">
      <c r="A32" s="5" t="str">
        <f t="shared" si="1"/>
        <v>31</v>
      </c>
      <c r="B32" s="7" t="s">
        <v>88</v>
      </c>
      <c r="C32" s="7" t="s">
        <v>89</v>
      </c>
      <c r="D32" s="7">
        <v>58.0</v>
      </c>
      <c r="E32" s="7" t="str">
        <f>SUMIFS(Transaksi!J:J, Transaksi!E:E, $C32, Transaksi!F:F, "Barang Datang")+SUMIFS(Transaksi!J:J, Transaksi!E:E,$C32,Transaksi!F:F,"Retur Penjualan")</f>
        <v>0</v>
      </c>
      <c r="F32" s="7" t="str">
        <f>SUMIFS(Transaksi!K:K, Transaksi!E:E, $C32, Transaksi!F:F, "Barang Datang")
+
SUMIFS(Transaksi!K:K, Transaksi!E:E, $C32, Transaksi!F:F, "Retur penjualan")+SUMIFS(Transaksi!K:K, Transaksi!E:E, $C32, Transaksi!F:F,"Rusak Internal")</f>
        <v>0</v>
      </c>
      <c r="G32" s="7" t="str">
        <f>SUMIFS(Transaksi!I:I, Transaksi!E:E, $C32, Transaksi!F:F, "Terjual")
+
SUMIFS(Transaksi!J:J, Transaksi!E:E, $C32, Transaksi!F:F, "Retur Pembelian")+SUMIFS(Transaksi!I:I, Transaksi!E:E, $C32, Transaksi!F:F, "Dipakai Sendiri")</f>
        <v>0</v>
      </c>
      <c r="H32" s="15" t="str">
        <f t="shared" si="2"/>
        <v>58</v>
      </c>
      <c r="I32" s="15" t="str">
        <f t="shared" si="3"/>
        <v/>
      </c>
      <c r="J32" s="7"/>
      <c r="K32" s="7">
        <v>25000.0</v>
      </c>
    </row>
    <row r="33" ht="15.75" customHeight="1">
      <c r="A33" s="5" t="str">
        <f t="shared" si="1"/>
        <v>32</v>
      </c>
      <c r="B33" s="7" t="s">
        <v>90</v>
      </c>
      <c r="C33" s="7" t="s">
        <v>91</v>
      </c>
      <c r="D33" s="7">
        <v>81.0</v>
      </c>
      <c r="E33" s="7" t="str">
        <f>SUMIFS(Transaksi!J:J, Transaksi!E:E, $C33, Transaksi!F:F, "Barang Datang")+SUMIFS(Transaksi!J:J, Transaksi!E:E,$C33,Transaksi!F:F,"Retur Penjualan")</f>
        <v>0</v>
      </c>
      <c r="F33" s="7" t="str">
        <f>SUMIFS(Transaksi!K:K, Transaksi!E:E, $C33, Transaksi!F:F, "Barang Datang")
+
SUMIFS(Transaksi!K:K, Transaksi!E:E, $C33, Transaksi!F:F, "Retur penjualan")+SUMIFS(Transaksi!K:K, Transaksi!E:E, $C33, Transaksi!F:F,"Rusak Internal")</f>
        <v>0</v>
      </c>
      <c r="G33" s="7" t="str">
        <f>SUMIFS(Transaksi!I:I, Transaksi!E:E, $C33, Transaksi!F:F, "Terjual")
+
SUMIFS(Transaksi!J:J, Transaksi!E:E, $C33, Transaksi!F:F, "Retur Pembelian")+SUMIFS(Transaksi!I:I, Transaksi!E:E, $C33, Transaksi!F:F, "Dipakai Sendiri")</f>
        <v>0</v>
      </c>
      <c r="H33" s="15" t="str">
        <f t="shared" si="2"/>
        <v>81</v>
      </c>
      <c r="I33" s="15" t="str">
        <f t="shared" si="3"/>
        <v/>
      </c>
      <c r="J33" s="7"/>
      <c r="K33" s="7">
        <v>20000.0</v>
      </c>
    </row>
    <row r="34" ht="15.75" customHeight="1">
      <c r="A34" s="5" t="str">
        <f t="shared" si="1"/>
        <v>33</v>
      </c>
      <c r="B34" s="7" t="s">
        <v>92</v>
      </c>
      <c r="C34" s="7" t="s">
        <v>93</v>
      </c>
      <c r="D34" s="7">
        <v>95.0</v>
      </c>
      <c r="E34" s="7" t="str">
        <f>SUMIFS(Transaksi!J:J, Transaksi!E:E, $C34, Transaksi!F:F, "Barang Datang")+SUMIFS(Transaksi!J:J, Transaksi!E:E,$C34,Transaksi!F:F,"Retur Penjualan")</f>
        <v>0</v>
      </c>
      <c r="F34" s="7" t="str">
        <f>SUMIFS(Transaksi!K:K, Transaksi!E:E, $C34, Transaksi!F:F, "Barang Datang")
+
SUMIFS(Transaksi!K:K, Transaksi!E:E, $C34, Transaksi!F:F, "Retur penjualan")+SUMIFS(Transaksi!K:K, Transaksi!E:E, $C34, Transaksi!F:F,"Rusak Internal")</f>
        <v>0</v>
      </c>
      <c r="G34" s="7" t="str">
        <f>SUMIFS(Transaksi!I:I, Transaksi!E:E, $C34, Transaksi!F:F, "Terjual")
+
SUMIFS(Transaksi!J:J, Transaksi!E:E, $C34, Transaksi!F:F, "Retur Pembelian")+SUMIFS(Transaksi!I:I, Transaksi!E:E, $C34, Transaksi!F:F, "Dipakai Sendiri")</f>
        <v>0</v>
      </c>
      <c r="H34" s="15" t="str">
        <f t="shared" si="2"/>
        <v>95</v>
      </c>
      <c r="I34" s="15" t="str">
        <f t="shared" si="3"/>
        <v/>
      </c>
      <c r="J34" s="7"/>
      <c r="K34" s="7">
        <v>15000.0</v>
      </c>
    </row>
    <row r="35" ht="15.75" customHeight="1">
      <c r="A35" s="5" t="str">
        <f t="shared" si="1"/>
        <v>34</v>
      </c>
      <c r="B35" s="7" t="s">
        <v>9</v>
      </c>
      <c r="C35" s="7" t="s">
        <v>94</v>
      </c>
      <c r="D35" s="7">
        <v>53.0</v>
      </c>
      <c r="E35" s="7" t="str">
        <f>SUMIFS(Transaksi!J:J, Transaksi!E:E, $C35, Transaksi!F:F, "Barang Datang")+SUMIFS(Transaksi!J:J, Transaksi!E:E,$C35,Transaksi!F:F,"Retur Penjualan")</f>
        <v>20</v>
      </c>
      <c r="F35" s="7" t="str">
        <f>SUMIFS(Transaksi!K:K, Transaksi!E:E, $C35, Transaksi!F:F, "Barang Datang")
+
SUMIFS(Transaksi!K:K, Transaksi!E:E, $C35, Transaksi!F:F, "Retur penjualan")+SUMIFS(Transaksi!K:K, Transaksi!E:E, $C35, Transaksi!F:F,"Rusak Internal")</f>
        <v>0</v>
      </c>
      <c r="G35" s="7" t="str">
        <f>SUMIFS(Transaksi!I:I, Transaksi!E:E, $C35, Transaksi!F:F, "Terjual")
+
SUMIFS(Transaksi!J:J, Transaksi!E:E, $C35, Transaksi!F:F, "Retur Pembelian")+SUMIFS(Transaksi!I:I, Transaksi!E:E, $C35, Transaksi!F:F, "Dipakai Sendiri")</f>
        <v>0</v>
      </c>
      <c r="H35" s="15" t="str">
        <f t="shared" si="2"/>
        <v>73</v>
      </c>
      <c r="I35" s="15" t="str">
        <f t="shared" si="3"/>
        <v/>
      </c>
      <c r="J35" s="7"/>
      <c r="K35" s="7">
        <v>20000.0</v>
      </c>
    </row>
    <row r="36" ht="15.75" customHeight="1">
      <c r="A36" s="5" t="str">
        <f t="shared" si="1"/>
        <v>35</v>
      </c>
      <c r="B36" s="7" t="s">
        <v>95</v>
      </c>
      <c r="C36" s="7" t="s">
        <v>96</v>
      </c>
      <c r="D36" s="7">
        <v>98.0</v>
      </c>
      <c r="E36" s="7" t="str">
        <f>SUMIFS(Transaksi!J:J, Transaksi!E:E, $C36, Transaksi!F:F, "Barang Datang")+SUMIFS(Transaksi!J:J, Transaksi!E:E,$C36,Transaksi!F:F,"Retur Penjualan")</f>
        <v>0</v>
      </c>
      <c r="F36" s="7" t="str">
        <f>SUMIFS(Transaksi!K:K, Transaksi!E:E, $C36, Transaksi!F:F, "Barang Datang")
+
SUMIFS(Transaksi!K:K, Transaksi!E:E, $C36, Transaksi!F:F, "Retur penjualan")+SUMIFS(Transaksi!K:K, Transaksi!E:E, $C36, Transaksi!F:F,"Rusak Internal")</f>
        <v>0</v>
      </c>
      <c r="G36" s="7" t="str">
        <f>SUMIFS(Transaksi!I:I, Transaksi!E:E, $C36, Transaksi!F:F, "Terjual")
+
SUMIFS(Transaksi!J:J, Transaksi!E:E, $C36, Transaksi!F:F, "Retur Pembelian")+SUMIFS(Transaksi!I:I, Transaksi!E:E, $C36, Transaksi!F:F, "Dipakai Sendiri")</f>
        <v>0</v>
      </c>
      <c r="H36" s="15" t="str">
        <f t="shared" si="2"/>
        <v>98</v>
      </c>
      <c r="I36" s="15" t="str">
        <f t="shared" si="3"/>
        <v/>
      </c>
      <c r="J36" s="7"/>
      <c r="K36" s="7">
        <v>30000.0</v>
      </c>
    </row>
    <row r="37" ht="15.75" customHeight="1">
      <c r="A37" s="5" t="str">
        <f t="shared" si="1"/>
        <v>36</v>
      </c>
      <c r="B37" s="7" t="s">
        <v>97</v>
      </c>
      <c r="C37" s="7" t="s">
        <v>98</v>
      </c>
      <c r="D37" s="7">
        <v>80.0</v>
      </c>
      <c r="E37" s="7" t="str">
        <f>SUMIFS(Transaksi!J:J, Transaksi!E:E, $C37, Transaksi!F:F, "Barang Datang")+SUMIFS(Transaksi!J:J, Transaksi!E:E,$C37,Transaksi!F:F,"Retur Penjualan")</f>
        <v>0</v>
      </c>
      <c r="F37" s="7" t="str">
        <f>SUMIFS(Transaksi!K:K, Transaksi!E:E, $C37, Transaksi!F:F, "Barang Datang")
+
SUMIFS(Transaksi!K:K, Transaksi!E:E, $C37, Transaksi!F:F, "Retur penjualan")+SUMIFS(Transaksi!K:K, Transaksi!E:E, $C37, Transaksi!F:F,"Rusak Internal")</f>
        <v>0</v>
      </c>
      <c r="G37" s="7" t="str">
        <f>SUMIFS(Transaksi!I:I, Transaksi!E:E, $C37, Transaksi!F:F, "Terjual")
+
SUMIFS(Transaksi!J:J, Transaksi!E:E, $C37, Transaksi!F:F, "Retur Pembelian")+SUMIFS(Transaksi!I:I, Transaksi!E:E, $C37, Transaksi!F:F, "Dipakai Sendiri")</f>
        <v>0</v>
      </c>
      <c r="H37" s="15" t="str">
        <f t="shared" si="2"/>
        <v>80</v>
      </c>
      <c r="I37" s="15" t="str">
        <f t="shared" si="3"/>
        <v/>
      </c>
      <c r="J37" s="7"/>
      <c r="K37" s="7">
        <v>35000.0</v>
      </c>
    </row>
    <row r="38" ht="15.75" customHeight="1">
      <c r="A38" s="5" t="str">
        <f t="shared" si="1"/>
        <v>37</v>
      </c>
      <c r="B38" s="7" t="s">
        <v>99</v>
      </c>
      <c r="C38" s="7" t="s">
        <v>100</v>
      </c>
      <c r="D38" s="7">
        <v>58.0</v>
      </c>
      <c r="E38" s="7" t="str">
        <f>SUMIFS(Transaksi!J:J, Transaksi!E:E, $C38, Transaksi!F:F, "Barang Datang")+SUMIFS(Transaksi!J:J, Transaksi!E:E,$C38,Transaksi!F:F,"Retur Penjualan")</f>
        <v>0</v>
      </c>
      <c r="F38" s="7" t="str">
        <f>SUMIFS(Transaksi!K:K, Transaksi!E:E, $C38, Transaksi!F:F, "Barang Datang")
+
SUMIFS(Transaksi!K:K, Transaksi!E:E, $C38, Transaksi!F:F, "Retur penjualan")+SUMIFS(Transaksi!K:K, Transaksi!E:E, $C38, Transaksi!F:F,"Rusak Internal")</f>
        <v>0</v>
      </c>
      <c r="G38" s="7" t="str">
        <f>SUMIFS(Transaksi!I:I, Transaksi!E:E, $C38, Transaksi!F:F, "Terjual")
+
SUMIFS(Transaksi!J:J, Transaksi!E:E, $C38, Transaksi!F:F, "Retur Pembelian")+SUMIFS(Transaksi!I:I, Transaksi!E:E, $C38, Transaksi!F:F, "Dipakai Sendiri")</f>
        <v>0</v>
      </c>
      <c r="H38" s="15" t="str">
        <f t="shared" si="2"/>
        <v>58</v>
      </c>
      <c r="I38" s="15" t="str">
        <f t="shared" si="3"/>
        <v/>
      </c>
      <c r="J38" s="7"/>
      <c r="K38" s="7">
        <v>10000.0</v>
      </c>
    </row>
    <row r="39" ht="15.75" customHeight="1">
      <c r="A39" s="5" t="str">
        <f t="shared" si="1"/>
        <v>38</v>
      </c>
      <c r="B39" s="7" t="s">
        <v>101</v>
      </c>
      <c r="C39" s="7" t="s">
        <v>102</v>
      </c>
      <c r="D39" s="7">
        <v>56.0</v>
      </c>
      <c r="E39" s="7" t="str">
        <f>SUMIFS(Transaksi!J:J, Transaksi!E:E, $C39, Transaksi!F:F, "Barang Datang")+SUMIFS(Transaksi!J:J, Transaksi!E:E,$C39,Transaksi!F:F,"Retur Penjualan")</f>
        <v>0</v>
      </c>
      <c r="F39" s="7" t="str">
        <f>SUMIFS(Transaksi!K:K, Transaksi!E:E, $C39, Transaksi!F:F, "Barang Datang")
+
SUMIFS(Transaksi!K:K, Transaksi!E:E, $C39, Transaksi!F:F, "Retur penjualan")+SUMIFS(Transaksi!K:K, Transaksi!E:E, $C39, Transaksi!F:F,"Rusak Internal")</f>
        <v>0</v>
      </c>
      <c r="G39" s="7" t="str">
        <f>SUMIFS(Transaksi!I:I, Transaksi!E:E, $C39, Transaksi!F:F, "Terjual")
+
SUMIFS(Transaksi!J:J, Transaksi!E:E, $C39, Transaksi!F:F, "Retur Pembelian")+SUMIFS(Transaksi!I:I, Transaksi!E:E, $C39, Transaksi!F:F, "Dipakai Sendiri")</f>
        <v>0</v>
      </c>
      <c r="H39" s="15" t="str">
        <f t="shared" si="2"/>
        <v>56</v>
      </c>
      <c r="I39" s="15" t="str">
        <f t="shared" si="3"/>
        <v/>
      </c>
      <c r="J39" s="7"/>
      <c r="K39" s="7">
        <v>35000.0</v>
      </c>
    </row>
    <row r="40" ht="15.75" customHeight="1">
      <c r="A40" s="5" t="str">
        <f t="shared" si="1"/>
        <v>39</v>
      </c>
      <c r="B40" s="7" t="s">
        <v>103</v>
      </c>
      <c r="C40" s="7" t="s">
        <v>104</v>
      </c>
      <c r="D40" s="7">
        <v>89.0</v>
      </c>
      <c r="E40" s="7" t="str">
        <f>SUMIFS(Transaksi!J:J, Transaksi!E:E, $C40, Transaksi!F:F, "Barang Datang")+SUMIFS(Transaksi!J:J, Transaksi!E:E,$C40,Transaksi!F:F,"Retur Penjualan")</f>
        <v>0</v>
      </c>
      <c r="F40" s="7" t="str">
        <f>SUMIFS(Transaksi!K:K, Transaksi!E:E, $C40, Transaksi!F:F, "Barang Datang")
+
SUMIFS(Transaksi!K:K, Transaksi!E:E, $C40, Transaksi!F:F, "Retur penjualan")+SUMIFS(Transaksi!K:K, Transaksi!E:E, $C40, Transaksi!F:F,"Rusak Internal")</f>
        <v>0</v>
      </c>
      <c r="G40" s="7" t="str">
        <f>SUMIFS(Transaksi!I:I, Transaksi!E:E, $C40, Transaksi!F:F, "Terjual")
+
SUMIFS(Transaksi!J:J, Transaksi!E:E, $C40, Transaksi!F:F, "Retur Pembelian")+SUMIFS(Transaksi!I:I, Transaksi!E:E, $C40, Transaksi!F:F, "Dipakai Sendiri")</f>
        <v>0</v>
      </c>
      <c r="H40" s="15" t="str">
        <f t="shared" si="2"/>
        <v>89</v>
      </c>
      <c r="I40" s="15" t="str">
        <f t="shared" si="3"/>
        <v/>
      </c>
      <c r="J40" s="7"/>
      <c r="K40" s="7">
        <v>50000.0</v>
      </c>
    </row>
    <row r="41" ht="15.75" customHeight="1">
      <c r="A41" s="5" t="str">
        <f t="shared" si="1"/>
        <v>40</v>
      </c>
      <c r="B41" s="7" t="s">
        <v>105</v>
      </c>
      <c r="C41" s="7" t="s">
        <v>106</v>
      </c>
      <c r="D41" s="7">
        <v>14.0</v>
      </c>
      <c r="E41" s="7" t="str">
        <f>SUMIFS(Transaksi!J:J, Transaksi!E:E, $C41, Transaksi!F:F, "Barang Datang")+SUMIFS(Transaksi!J:J, Transaksi!E:E,$C41,Transaksi!F:F,"Retur Penjualan")</f>
        <v>0</v>
      </c>
      <c r="F41" s="7" t="str">
        <f>SUMIFS(Transaksi!K:K, Transaksi!E:E, $C41, Transaksi!F:F, "Barang Datang")
+
SUMIFS(Transaksi!K:K, Transaksi!E:E, $C41, Transaksi!F:F, "Retur penjualan")+SUMIFS(Transaksi!K:K, Transaksi!E:E, $C41, Transaksi!F:F,"Rusak Internal")</f>
        <v>0</v>
      </c>
      <c r="G41" s="7" t="str">
        <f>SUMIFS(Transaksi!I:I, Transaksi!E:E, $C41, Transaksi!F:F, "Terjual")
+
SUMIFS(Transaksi!J:J, Transaksi!E:E, $C41, Transaksi!F:F, "Retur Pembelian")+SUMIFS(Transaksi!I:I, Transaksi!E:E, $C41, Transaksi!F:F, "Dipakai Sendiri")</f>
        <v>0</v>
      </c>
      <c r="H41" s="15" t="str">
        <f t="shared" si="2"/>
        <v>14</v>
      </c>
      <c r="I41" s="15" t="str">
        <f t="shared" si="3"/>
        <v/>
      </c>
      <c r="J41" s="7"/>
      <c r="K41" s="7">
        <v>50000.0</v>
      </c>
    </row>
    <row r="42" ht="15.75" customHeight="1">
      <c r="A42" s="5" t="str">
        <f t="shared" si="1"/>
        <v>41</v>
      </c>
      <c r="B42" s="7" t="s">
        <v>107</v>
      </c>
      <c r="C42" s="7" t="s">
        <v>108</v>
      </c>
      <c r="D42" s="7">
        <v>96.0</v>
      </c>
      <c r="E42" s="7" t="str">
        <f>SUMIFS(Transaksi!J:J, Transaksi!E:E, $C42, Transaksi!F:F, "Barang Datang")+SUMIFS(Transaksi!J:J, Transaksi!E:E,$C42,Transaksi!F:F,"Retur Penjualan")</f>
        <v>0</v>
      </c>
      <c r="F42" s="7" t="str">
        <f>SUMIFS(Transaksi!K:K, Transaksi!E:E, $C42, Transaksi!F:F, "Barang Datang")
+
SUMIFS(Transaksi!K:K, Transaksi!E:E, $C42, Transaksi!F:F, "Retur penjualan")+SUMIFS(Transaksi!K:K, Transaksi!E:E, $C42, Transaksi!F:F,"Rusak Internal")</f>
        <v>0</v>
      </c>
      <c r="G42" s="7" t="str">
        <f>SUMIFS(Transaksi!I:I, Transaksi!E:E, $C42, Transaksi!F:F, "Terjual")
+
SUMIFS(Transaksi!J:J, Transaksi!E:E, $C42, Transaksi!F:F, "Retur Pembelian")+SUMIFS(Transaksi!I:I, Transaksi!E:E, $C42, Transaksi!F:F, "Dipakai Sendiri")</f>
        <v>0</v>
      </c>
      <c r="H42" s="15" t="str">
        <f t="shared" si="2"/>
        <v>96</v>
      </c>
      <c r="I42" s="15" t="str">
        <f t="shared" si="3"/>
        <v/>
      </c>
      <c r="J42" s="7"/>
      <c r="K42" s="7">
        <v>20000.0</v>
      </c>
    </row>
    <row r="43" ht="15.75" customHeight="1">
      <c r="A43" s="5" t="str">
        <f t="shared" si="1"/>
        <v>42</v>
      </c>
      <c r="B43" s="7" t="s">
        <v>109</v>
      </c>
      <c r="C43" s="7" t="s">
        <v>110</v>
      </c>
      <c r="D43" s="7">
        <v>26.0</v>
      </c>
      <c r="E43" s="7" t="str">
        <f>SUMIFS(Transaksi!J:J, Transaksi!E:E, $C43, Transaksi!F:F, "Barang Datang")+SUMIFS(Transaksi!J:J, Transaksi!E:E,$C43,Transaksi!F:F,"Retur Penjualan")</f>
        <v>0</v>
      </c>
      <c r="F43" s="7" t="str">
        <f>SUMIFS(Transaksi!K:K, Transaksi!E:E, $C43, Transaksi!F:F, "Barang Datang")
+
SUMIFS(Transaksi!K:K, Transaksi!E:E, $C43, Transaksi!F:F, "Retur penjualan")+SUMIFS(Transaksi!K:K, Transaksi!E:E, $C43, Transaksi!F:F,"Rusak Internal")</f>
        <v>0</v>
      </c>
      <c r="G43" s="7" t="str">
        <f>SUMIFS(Transaksi!I:I, Transaksi!E:E, $C43, Transaksi!F:F, "Terjual")
+
SUMIFS(Transaksi!J:J, Transaksi!E:E, $C43, Transaksi!F:F, "Retur Pembelian")+SUMIFS(Transaksi!I:I, Transaksi!E:E, $C43, Transaksi!F:F, "Dipakai Sendiri")</f>
        <v>0</v>
      </c>
      <c r="H43" s="15" t="str">
        <f t="shared" si="2"/>
        <v>26</v>
      </c>
      <c r="I43" s="15" t="str">
        <f t="shared" si="3"/>
        <v/>
      </c>
      <c r="J43" s="7"/>
      <c r="K43" s="7">
        <v>30000.0</v>
      </c>
    </row>
    <row r="44" ht="15.75" customHeight="1">
      <c r="A44" s="5" t="str">
        <f t="shared" si="1"/>
        <v>43</v>
      </c>
      <c r="B44" s="7" t="s">
        <v>111</v>
      </c>
      <c r="C44" s="7" t="s">
        <v>112</v>
      </c>
      <c r="D44" s="7">
        <v>35.0</v>
      </c>
      <c r="E44" s="7" t="str">
        <f>SUMIFS(Transaksi!J:J, Transaksi!E:E, $C44, Transaksi!F:F, "Barang Datang")+SUMIFS(Transaksi!J:J, Transaksi!E:E,$C44,Transaksi!F:F,"Retur Penjualan")</f>
        <v>0</v>
      </c>
      <c r="F44" s="7" t="str">
        <f>SUMIFS(Transaksi!K:K, Transaksi!E:E, $C44, Transaksi!F:F, "Barang Datang")
+
SUMIFS(Transaksi!K:K, Transaksi!E:E, $C44, Transaksi!F:F, "Retur penjualan")+SUMIFS(Transaksi!K:K, Transaksi!E:E, $C44, Transaksi!F:F,"Rusak Internal")</f>
        <v>0</v>
      </c>
      <c r="G44" s="7" t="str">
        <f>SUMIFS(Transaksi!I:I, Transaksi!E:E, $C44, Transaksi!F:F, "Terjual")
+
SUMIFS(Transaksi!J:J, Transaksi!E:E, $C44, Transaksi!F:F, "Retur Pembelian")+SUMIFS(Transaksi!I:I, Transaksi!E:E, $C44, Transaksi!F:F, "Dipakai Sendiri")</f>
        <v>0</v>
      </c>
      <c r="H44" s="15" t="str">
        <f t="shared" si="2"/>
        <v>35</v>
      </c>
      <c r="I44" s="15" t="str">
        <f t="shared" si="3"/>
        <v/>
      </c>
      <c r="J44" s="7"/>
      <c r="K44" s="7">
        <v>45000.0</v>
      </c>
    </row>
    <row r="45" ht="15.75" customHeight="1">
      <c r="A45" s="5" t="str">
        <f t="shared" si="1"/>
        <v>44</v>
      </c>
      <c r="B45" s="7" t="s">
        <v>113</v>
      </c>
      <c r="C45" s="7" t="s">
        <v>114</v>
      </c>
      <c r="D45" s="7">
        <v>58.0</v>
      </c>
      <c r="E45" s="7" t="str">
        <f>SUMIFS(Transaksi!J:J, Transaksi!E:E, $C45, Transaksi!F:F, "Barang Datang")+SUMIFS(Transaksi!J:J, Transaksi!E:E,$C45,Transaksi!F:F,"Retur Penjualan")</f>
        <v>0</v>
      </c>
      <c r="F45" s="7" t="str">
        <f>SUMIFS(Transaksi!K:K, Transaksi!E:E, $C45, Transaksi!F:F, "Barang Datang")
+
SUMIFS(Transaksi!K:K, Transaksi!E:E, $C45, Transaksi!F:F, "Retur penjualan")+SUMIFS(Transaksi!K:K, Transaksi!E:E, $C45, Transaksi!F:F,"Rusak Internal")</f>
        <v>0</v>
      </c>
      <c r="G45" s="7" t="str">
        <f>SUMIFS(Transaksi!I:I, Transaksi!E:E, $C45, Transaksi!F:F, "Terjual")
+
SUMIFS(Transaksi!J:J, Transaksi!E:E, $C45, Transaksi!F:F, "Retur Pembelian")+SUMIFS(Transaksi!I:I, Transaksi!E:E, $C45, Transaksi!F:F, "Dipakai Sendiri")</f>
        <v>0</v>
      </c>
      <c r="H45" s="15" t="str">
        <f t="shared" si="2"/>
        <v>58</v>
      </c>
      <c r="I45" s="15" t="str">
        <f t="shared" si="3"/>
        <v/>
      </c>
      <c r="J45" s="7"/>
      <c r="K45" s="7">
        <v>25000.0</v>
      </c>
    </row>
    <row r="46" ht="15.75" customHeight="1">
      <c r="A46" s="5" t="str">
        <f t="shared" si="1"/>
        <v>45</v>
      </c>
      <c r="B46" s="7" t="s">
        <v>115</v>
      </c>
      <c r="C46" s="7" t="s">
        <v>116</v>
      </c>
      <c r="D46" s="7">
        <v>98.0</v>
      </c>
      <c r="E46" s="7" t="str">
        <f>SUMIFS(Transaksi!J:J, Transaksi!E:E, $C46, Transaksi!F:F, "Barang Datang")+SUMIFS(Transaksi!J:J, Transaksi!E:E,$C46,Transaksi!F:F,"Retur Penjualan")</f>
        <v>0</v>
      </c>
      <c r="F46" s="7" t="str">
        <f>SUMIFS(Transaksi!K:K, Transaksi!E:E, $C46, Transaksi!F:F, "Barang Datang")
+
SUMIFS(Transaksi!K:K, Transaksi!E:E, $C46, Transaksi!F:F, "Retur penjualan")+SUMIFS(Transaksi!K:K, Transaksi!E:E, $C46, Transaksi!F:F,"Rusak Internal")</f>
        <v>0</v>
      </c>
      <c r="G46" s="7" t="str">
        <f>SUMIFS(Transaksi!I:I, Transaksi!E:E, $C46, Transaksi!F:F, "Terjual")
+
SUMIFS(Transaksi!J:J, Transaksi!E:E, $C46, Transaksi!F:F, "Retur Pembelian")+SUMIFS(Transaksi!I:I, Transaksi!E:E, $C46, Transaksi!F:F, "Dipakai Sendiri")</f>
        <v>0</v>
      </c>
      <c r="H46" s="15" t="str">
        <f t="shared" si="2"/>
        <v>98</v>
      </c>
      <c r="I46" s="15" t="str">
        <f t="shared" si="3"/>
        <v/>
      </c>
      <c r="J46" s="7"/>
      <c r="K46" s="7">
        <v>10000.0</v>
      </c>
    </row>
    <row r="47" ht="15.75" customHeight="1">
      <c r="A47" s="5" t="str">
        <f t="shared" si="1"/>
        <v>46</v>
      </c>
      <c r="B47" s="7" t="s">
        <v>117</v>
      </c>
      <c r="C47" s="7" t="s">
        <v>118</v>
      </c>
      <c r="D47" s="7">
        <v>41.0</v>
      </c>
      <c r="E47" s="7" t="str">
        <f>SUMIFS(Transaksi!J:J, Transaksi!E:E, $C47, Transaksi!F:F, "Barang Datang")+SUMIFS(Transaksi!J:J, Transaksi!E:E,$C47,Transaksi!F:F,"Retur Penjualan")</f>
        <v>0</v>
      </c>
      <c r="F47" s="7" t="str">
        <f>SUMIFS(Transaksi!K:K, Transaksi!E:E, $C47, Transaksi!F:F, "Barang Datang")
+
SUMIFS(Transaksi!K:K, Transaksi!E:E, $C47, Transaksi!F:F, "Retur penjualan")+SUMIFS(Transaksi!K:K, Transaksi!E:E, $C47, Transaksi!F:F,"Rusak Internal")</f>
        <v>0</v>
      </c>
      <c r="G47" s="7" t="str">
        <f>SUMIFS(Transaksi!I:I, Transaksi!E:E, $C47, Transaksi!F:F, "Terjual")
+
SUMIFS(Transaksi!J:J, Transaksi!E:E, $C47, Transaksi!F:F, "Retur Pembelian")+SUMIFS(Transaksi!I:I, Transaksi!E:E, $C47, Transaksi!F:F, "Dipakai Sendiri")</f>
        <v>0</v>
      </c>
      <c r="H47" s="15" t="str">
        <f t="shared" si="2"/>
        <v>41</v>
      </c>
      <c r="I47" s="15" t="str">
        <f t="shared" si="3"/>
        <v/>
      </c>
      <c r="J47" s="7"/>
      <c r="K47" s="7">
        <v>40000.0</v>
      </c>
    </row>
    <row r="48" ht="15.75" customHeight="1">
      <c r="A48" s="5" t="str">
        <f t="shared" si="1"/>
        <v>47</v>
      </c>
      <c r="B48" s="7" t="s">
        <v>119</v>
      </c>
      <c r="C48" s="7" t="s">
        <v>120</v>
      </c>
      <c r="D48" s="7">
        <v>30.0</v>
      </c>
      <c r="E48" s="7" t="str">
        <f>SUMIFS(Transaksi!J:J, Transaksi!E:E, $C48, Transaksi!F:F, "Barang Datang")+SUMIFS(Transaksi!J:J, Transaksi!E:E,$C48,Transaksi!F:F,"Retur Penjualan")</f>
        <v>0</v>
      </c>
      <c r="F48" s="7" t="str">
        <f>SUMIFS(Transaksi!K:K, Transaksi!E:E, $C48, Transaksi!F:F, "Barang Datang")
+
SUMIFS(Transaksi!K:K, Transaksi!E:E, $C48, Transaksi!F:F, "Retur penjualan")+SUMIFS(Transaksi!K:K, Transaksi!E:E, $C48, Transaksi!F:F,"Rusak Internal")</f>
        <v>0</v>
      </c>
      <c r="G48" s="7" t="str">
        <f>SUMIFS(Transaksi!I:I, Transaksi!E:E, $C48, Transaksi!F:F, "Terjual")
+
SUMIFS(Transaksi!J:J, Transaksi!E:E, $C48, Transaksi!F:F, "Retur Pembelian")+SUMIFS(Transaksi!I:I, Transaksi!E:E, $C48, Transaksi!F:F, "Dipakai Sendiri")</f>
        <v>0</v>
      </c>
      <c r="H48" s="15" t="str">
        <f t="shared" si="2"/>
        <v>30</v>
      </c>
      <c r="I48" s="15" t="str">
        <f t="shared" si="3"/>
        <v/>
      </c>
      <c r="J48" s="7"/>
      <c r="K48" s="7">
        <v>20000.0</v>
      </c>
    </row>
    <row r="49" ht="15.75" customHeight="1">
      <c r="A49" s="5" t="str">
        <f t="shared" si="1"/>
        <v>48</v>
      </c>
      <c r="B49" s="7" t="s">
        <v>121</v>
      </c>
      <c r="C49" s="7" t="s">
        <v>122</v>
      </c>
      <c r="D49" s="7">
        <v>94.0</v>
      </c>
      <c r="E49" s="7" t="str">
        <f>SUMIFS(Transaksi!J:J, Transaksi!E:E, $C49, Transaksi!F:F, "Barang Datang")+SUMIFS(Transaksi!J:J, Transaksi!E:E,$C49,Transaksi!F:F,"Retur Penjualan")</f>
        <v>0</v>
      </c>
      <c r="F49" s="7" t="str">
        <f>SUMIFS(Transaksi!K:K, Transaksi!E:E, $C49, Transaksi!F:F, "Barang Datang")
+
SUMIFS(Transaksi!K:K, Transaksi!E:E, $C49, Transaksi!F:F, "Retur penjualan")+SUMIFS(Transaksi!K:K, Transaksi!E:E, $C49, Transaksi!F:F,"Rusak Internal")</f>
        <v>0</v>
      </c>
      <c r="G49" s="7" t="str">
        <f>SUMIFS(Transaksi!I:I, Transaksi!E:E, $C49, Transaksi!F:F, "Terjual")
+
SUMIFS(Transaksi!J:J, Transaksi!E:E, $C49, Transaksi!F:F, "Retur Pembelian")+SUMIFS(Transaksi!I:I, Transaksi!E:E, $C49, Transaksi!F:F, "Dipakai Sendiri")</f>
        <v>0</v>
      </c>
      <c r="H49" s="15" t="str">
        <f t="shared" si="2"/>
        <v>94</v>
      </c>
      <c r="I49" s="15" t="str">
        <f t="shared" si="3"/>
        <v/>
      </c>
      <c r="J49" s="7"/>
      <c r="K49" s="7">
        <v>35000.0</v>
      </c>
    </row>
    <row r="50" ht="15.75" customHeight="1">
      <c r="A50" s="5" t="str">
        <f t="shared" si="1"/>
        <v>49</v>
      </c>
      <c r="B50" s="7" t="s">
        <v>123</v>
      </c>
      <c r="C50" s="7" t="s">
        <v>124</v>
      </c>
      <c r="D50" s="7">
        <v>30.0</v>
      </c>
      <c r="E50" s="7" t="str">
        <f>SUMIFS(Transaksi!J:J, Transaksi!E:E, $C50, Transaksi!F:F, "Barang Datang")+SUMIFS(Transaksi!J:J, Transaksi!E:E,$C50,Transaksi!F:F,"Retur Penjualan")</f>
        <v>0</v>
      </c>
      <c r="F50" s="7" t="str">
        <f>SUMIFS(Transaksi!K:K, Transaksi!E:E, $C50, Transaksi!F:F, "Barang Datang")
+
SUMIFS(Transaksi!K:K, Transaksi!E:E, $C50, Transaksi!F:F, "Retur penjualan")+SUMIFS(Transaksi!K:K, Transaksi!E:E, $C50, Transaksi!F:F,"Rusak Internal")</f>
        <v>0</v>
      </c>
      <c r="G50" s="7" t="str">
        <f>SUMIFS(Transaksi!I:I, Transaksi!E:E, $C50, Transaksi!F:F, "Terjual")
+
SUMIFS(Transaksi!J:J, Transaksi!E:E, $C50, Transaksi!F:F, "Retur Pembelian")+SUMIFS(Transaksi!I:I, Transaksi!E:E, $C50, Transaksi!F:F, "Dipakai Sendiri")</f>
        <v>0</v>
      </c>
      <c r="H50" s="15" t="str">
        <f t="shared" si="2"/>
        <v>30</v>
      </c>
      <c r="I50" s="15" t="str">
        <f t="shared" si="3"/>
        <v/>
      </c>
      <c r="J50" s="7"/>
      <c r="K50" s="7">
        <v>50000.0</v>
      </c>
    </row>
    <row r="51" ht="15.75" customHeight="1">
      <c r="A51" s="5" t="str">
        <f t="shared" si="1"/>
        <v>50</v>
      </c>
      <c r="B51" s="7" t="s">
        <v>125</v>
      </c>
      <c r="C51" s="7" t="s">
        <v>126</v>
      </c>
      <c r="D51" s="7">
        <v>34.0</v>
      </c>
      <c r="E51" s="7" t="str">
        <f>SUMIFS(Transaksi!J:J, Transaksi!E:E, $C51, Transaksi!F:F, "Barang Datang")+SUMIFS(Transaksi!J:J, Transaksi!E:E,$C51,Transaksi!F:F,"Retur Penjualan")</f>
        <v>0</v>
      </c>
      <c r="F51" s="7" t="str">
        <f>SUMIFS(Transaksi!K:K, Transaksi!E:E, $C51, Transaksi!F:F, "Barang Datang")
+
SUMIFS(Transaksi!K:K, Transaksi!E:E, $C51, Transaksi!F:F, "Retur penjualan")+SUMIFS(Transaksi!K:K, Transaksi!E:E, $C51, Transaksi!F:F,"Rusak Internal")</f>
        <v>0</v>
      </c>
      <c r="G51" s="7" t="str">
        <f>SUMIFS(Transaksi!I:I, Transaksi!E:E, $C51, Transaksi!F:F, "Terjual")
+
SUMIFS(Transaksi!J:J, Transaksi!E:E, $C51, Transaksi!F:F, "Retur Pembelian")+SUMIFS(Transaksi!I:I, Transaksi!E:E, $C51, Transaksi!F:F, "Dipakai Sendiri")</f>
        <v>0</v>
      </c>
      <c r="H51" s="15" t="str">
        <f t="shared" si="2"/>
        <v>34</v>
      </c>
      <c r="I51" s="15" t="str">
        <f t="shared" si="3"/>
        <v/>
      </c>
      <c r="J51" s="7"/>
      <c r="K51" s="7">
        <v>20000.0</v>
      </c>
    </row>
    <row r="52" ht="15.75" customHeight="1">
      <c r="A52" s="5" t="str">
        <f t="shared" si="1"/>
        <v>51</v>
      </c>
      <c r="B52" s="7" t="s">
        <v>127</v>
      </c>
      <c r="C52" s="7" t="s">
        <v>128</v>
      </c>
      <c r="D52" s="7">
        <v>96.0</v>
      </c>
      <c r="E52" s="7" t="str">
        <f>SUMIFS(Transaksi!J:J, Transaksi!E:E, $C52, Transaksi!F:F, "Barang Datang")+SUMIFS(Transaksi!J:J, Transaksi!E:E,$C52,Transaksi!F:F,"Retur Penjualan")</f>
        <v>0</v>
      </c>
      <c r="F52" s="7" t="str">
        <f>SUMIFS(Transaksi!K:K, Transaksi!E:E, $C52, Transaksi!F:F, "Barang Datang")
+
SUMIFS(Transaksi!K:K, Transaksi!E:E, $C52, Transaksi!F:F, "Retur penjualan")+SUMIFS(Transaksi!K:K, Transaksi!E:E, $C52, Transaksi!F:F,"Rusak Internal")</f>
        <v>0</v>
      </c>
      <c r="G52" s="7" t="str">
        <f>SUMIFS(Transaksi!I:I, Transaksi!E:E, $C52, Transaksi!F:F, "Terjual")
+
SUMIFS(Transaksi!J:J, Transaksi!E:E, $C52, Transaksi!F:F, "Retur Pembelian")+SUMIFS(Transaksi!I:I, Transaksi!E:E, $C52, Transaksi!F:F, "Dipakai Sendiri")</f>
        <v>0</v>
      </c>
      <c r="H52" s="15" t="str">
        <f t="shared" si="2"/>
        <v>96</v>
      </c>
      <c r="I52" s="15" t="str">
        <f t="shared" si="3"/>
        <v/>
      </c>
      <c r="J52" s="7"/>
      <c r="K52" s="7">
        <v>35000.0</v>
      </c>
    </row>
    <row r="53" ht="15.75" customHeight="1">
      <c r="A53" s="5" t="str">
        <f t="shared" si="1"/>
        <v>52</v>
      </c>
      <c r="B53" s="7" t="s">
        <v>129</v>
      </c>
      <c r="C53" s="7" t="s">
        <v>130</v>
      </c>
      <c r="D53" s="7">
        <v>62.0</v>
      </c>
      <c r="E53" s="7" t="str">
        <f>SUMIFS(Transaksi!J:J, Transaksi!E:E, $C53, Transaksi!F:F, "Barang Datang")+SUMIFS(Transaksi!J:J, Transaksi!E:E,$C53,Transaksi!F:F,"Retur Penjualan")</f>
        <v>0</v>
      </c>
      <c r="F53" s="7" t="str">
        <f>SUMIFS(Transaksi!K:K, Transaksi!E:E, $C53, Transaksi!F:F, "Barang Datang")
+
SUMIFS(Transaksi!K:K, Transaksi!E:E, $C53, Transaksi!F:F, "Retur penjualan")+SUMIFS(Transaksi!K:K, Transaksi!E:E, $C53, Transaksi!F:F,"Rusak Internal")</f>
        <v>0</v>
      </c>
      <c r="G53" s="7" t="str">
        <f>SUMIFS(Transaksi!I:I, Transaksi!E:E, $C53, Transaksi!F:F, "Terjual")
+
SUMIFS(Transaksi!J:J, Transaksi!E:E, $C53, Transaksi!F:F, "Retur Pembelian")+SUMIFS(Transaksi!I:I, Transaksi!E:E, $C53, Transaksi!F:F, "Dipakai Sendiri")</f>
        <v>0</v>
      </c>
      <c r="H53" s="15" t="str">
        <f t="shared" si="2"/>
        <v>62</v>
      </c>
      <c r="I53" s="15" t="str">
        <f t="shared" si="3"/>
        <v/>
      </c>
      <c r="J53" s="7"/>
      <c r="K53" s="7">
        <v>40000.0</v>
      </c>
    </row>
    <row r="54" ht="15.75" customHeight="1">
      <c r="A54" s="5" t="str">
        <f t="shared" si="1"/>
        <v>53</v>
      </c>
      <c r="B54" s="7" t="s">
        <v>131</v>
      </c>
      <c r="C54" s="7" t="s">
        <v>132</v>
      </c>
      <c r="D54" s="7">
        <v>72.0</v>
      </c>
      <c r="E54" s="7" t="str">
        <f>SUMIFS(Transaksi!J:J, Transaksi!E:E, $C54, Transaksi!F:F, "Barang Datang")+SUMIFS(Transaksi!J:J, Transaksi!E:E,$C54,Transaksi!F:F,"Retur Penjualan")</f>
        <v>0</v>
      </c>
      <c r="F54" s="7" t="str">
        <f>SUMIFS(Transaksi!K:K, Transaksi!E:E, $C54, Transaksi!F:F, "Barang Datang")
+
SUMIFS(Transaksi!K:K, Transaksi!E:E, $C54, Transaksi!F:F, "Retur penjualan")+SUMIFS(Transaksi!K:K, Transaksi!E:E, $C54, Transaksi!F:F,"Rusak Internal")</f>
        <v>0</v>
      </c>
      <c r="G54" s="7" t="str">
        <f>SUMIFS(Transaksi!I:I, Transaksi!E:E, $C54, Transaksi!F:F, "Terjual")
+
SUMIFS(Transaksi!J:J, Transaksi!E:E, $C54, Transaksi!F:F, "Retur Pembelian")+SUMIFS(Transaksi!I:I, Transaksi!E:E, $C54, Transaksi!F:F, "Dipakai Sendiri")</f>
        <v>0</v>
      </c>
      <c r="H54" s="15" t="str">
        <f t="shared" si="2"/>
        <v>72</v>
      </c>
      <c r="I54" s="15" t="str">
        <f t="shared" si="3"/>
        <v/>
      </c>
      <c r="J54" s="7"/>
      <c r="K54" s="7">
        <v>40000.0</v>
      </c>
    </row>
    <row r="55" ht="15.75" customHeight="1">
      <c r="A55" s="5" t="str">
        <f t="shared" si="1"/>
        <v>54</v>
      </c>
      <c r="B55" s="7" t="s">
        <v>133</v>
      </c>
      <c r="C55" s="7" t="s">
        <v>134</v>
      </c>
      <c r="D55" s="7">
        <v>76.0</v>
      </c>
      <c r="E55" s="7" t="str">
        <f>SUMIFS(Transaksi!J:J, Transaksi!E:E, $C55, Transaksi!F:F, "Barang Datang")+SUMIFS(Transaksi!J:J, Transaksi!E:E,$C55,Transaksi!F:F,"Retur Penjualan")</f>
        <v>0</v>
      </c>
      <c r="F55" s="7" t="str">
        <f>SUMIFS(Transaksi!K:K, Transaksi!E:E, $C55, Transaksi!F:F, "Barang Datang")
+
SUMIFS(Transaksi!K:K, Transaksi!E:E, $C55, Transaksi!F:F, "Retur penjualan")+SUMIFS(Transaksi!K:K, Transaksi!E:E, $C55, Transaksi!F:F,"Rusak Internal")</f>
        <v>0</v>
      </c>
      <c r="G55" s="7" t="str">
        <f>SUMIFS(Transaksi!I:I, Transaksi!E:E, $C55, Transaksi!F:F, "Terjual")
+
SUMIFS(Transaksi!J:J, Transaksi!E:E, $C55, Transaksi!F:F, "Retur Pembelian")+SUMIFS(Transaksi!I:I, Transaksi!E:E, $C55, Transaksi!F:F, "Dipakai Sendiri")</f>
        <v>0</v>
      </c>
      <c r="H55" s="15" t="str">
        <f t="shared" si="2"/>
        <v>76</v>
      </c>
      <c r="I55" s="15" t="str">
        <f t="shared" si="3"/>
        <v/>
      </c>
      <c r="J55" s="7"/>
      <c r="K55" s="7">
        <v>25000.0</v>
      </c>
    </row>
    <row r="56" ht="15.75" customHeight="1">
      <c r="A56" s="5" t="str">
        <f t="shared" si="1"/>
        <v>55</v>
      </c>
      <c r="B56" s="7" t="s">
        <v>135</v>
      </c>
      <c r="C56" s="7" t="s">
        <v>136</v>
      </c>
      <c r="D56" s="7">
        <v>88.0</v>
      </c>
      <c r="E56" s="7" t="str">
        <f>SUMIFS(Transaksi!J:J, Transaksi!E:E, $C56, Transaksi!F:F, "Barang Datang")+SUMIFS(Transaksi!J:J, Transaksi!E:E,$C56,Transaksi!F:F,"Retur Penjualan")</f>
        <v>0</v>
      </c>
      <c r="F56" s="7" t="str">
        <f>SUMIFS(Transaksi!K:K, Transaksi!E:E, $C56, Transaksi!F:F, "Barang Datang")
+
SUMIFS(Transaksi!K:K, Transaksi!E:E, $C56, Transaksi!F:F, "Retur penjualan")+SUMIFS(Transaksi!K:K, Transaksi!E:E, $C56, Transaksi!F:F,"Rusak Internal")</f>
        <v>0</v>
      </c>
      <c r="G56" s="7" t="str">
        <f>SUMIFS(Transaksi!I:I, Transaksi!E:E, $C56, Transaksi!F:F, "Terjual")
+
SUMIFS(Transaksi!J:J, Transaksi!E:E, $C56, Transaksi!F:F, "Retur Pembelian")+SUMIFS(Transaksi!I:I, Transaksi!E:E, $C56, Transaksi!F:F, "Dipakai Sendiri")</f>
        <v>0</v>
      </c>
      <c r="H56" s="15" t="str">
        <f t="shared" si="2"/>
        <v>88</v>
      </c>
      <c r="I56" s="15" t="str">
        <f t="shared" si="3"/>
        <v/>
      </c>
      <c r="J56" s="7"/>
      <c r="K56" s="7">
        <v>30000.0</v>
      </c>
    </row>
    <row r="57" ht="15.75" customHeight="1">
      <c r="A57" s="5" t="str">
        <f t="shared" si="1"/>
        <v>56</v>
      </c>
      <c r="B57" s="7" t="s">
        <v>14</v>
      </c>
      <c r="C57" s="7" t="s">
        <v>137</v>
      </c>
      <c r="D57" s="7">
        <v>99.0</v>
      </c>
      <c r="E57" s="7" t="str">
        <f>SUMIFS(Transaksi!J:J, Transaksi!E:E, $C57, Transaksi!F:F, "Barang Datang")+SUMIFS(Transaksi!J:J, Transaksi!E:E,$C57,Transaksi!F:F,"Retur Penjualan")</f>
        <v>0</v>
      </c>
      <c r="F57" s="7" t="str">
        <f>SUMIFS(Transaksi!K:K, Transaksi!E:E, $C57, Transaksi!F:F, "Barang Datang")
+
SUMIFS(Transaksi!K:K, Transaksi!E:E, $C57, Transaksi!F:F, "Retur penjualan")+SUMIFS(Transaksi!K:K, Transaksi!E:E, $C57, Transaksi!F:F,"Rusak Internal")</f>
        <v>0</v>
      </c>
      <c r="G57" s="7" t="str">
        <f>SUMIFS(Transaksi!I:I, Transaksi!E:E, $C57, Transaksi!F:F, "Terjual")
+
SUMIFS(Transaksi!J:J, Transaksi!E:E, $C57, Transaksi!F:F, "Retur Pembelian")+SUMIFS(Transaksi!I:I, Transaksi!E:E, $C57, Transaksi!F:F, "Dipakai Sendiri")</f>
        <v>0</v>
      </c>
      <c r="H57" s="15" t="str">
        <f t="shared" si="2"/>
        <v>99</v>
      </c>
      <c r="I57" s="15" t="str">
        <f t="shared" si="3"/>
        <v/>
      </c>
      <c r="J57" s="7"/>
      <c r="K57" s="7">
        <v>40000.0</v>
      </c>
    </row>
    <row r="58" ht="15.75" customHeight="1">
      <c r="A58" s="5" t="str">
        <f t="shared" si="1"/>
        <v>57</v>
      </c>
      <c r="B58" s="7" t="s">
        <v>138</v>
      </c>
      <c r="C58" s="7" t="s">
        <v>139</v>
      </c>
      <c r="D58" s="7">
        <v>21.0</v>
      </c>
      <c r="E58" s="7" t="str">
        <f>SUMIFS(Transaksi!J:J, Transaksi!E:E, $C58, Transaksi!F:F, "Barang Datang")+SUMIFS(Transaksi!J:J, Transaksi!E:E,$C58,Transaksi!F:F,"Retur Penjualan")</f>
        <v>0</v>
      </c>
      <c r="F58" s="7" t="str">
        <f>SUMIFS(Transaksi!K:K, Transaksi!E:E, $C58, Transaksi!F:F, "Barang Datang")
+
SUMIFS(Transaksi!K:K, Transaksi!E:E, $C58, Transaksi!F:F, "Retur penjualan")+SUMIFS(Transaksi!K:K, Transaksi!E:E, $C58, Transaksi!F:F,"Rusak Internal")</f>
        <v>0</v>
      </c>
      <c r="G58" s="7" t="str">
        <f>SUMIFS(Transaksi!I:I, Transaksi!E:E, $C58, Transaksi!F:F, "Terjual")
+
SUMIFS(Transaksi!J:J, Transaksi!E:E, $C58, Transaksi!F:F, "Retur Pembelian")+SUMIFS(Transaksi!I:I, Transaksi!E:E, $C58, Transaksi!F:F, "Dipakai Sendiri")</f>
        <v>0</v>
      </c>
      <c r="H58" s="15" t="str">
        <f t="shared" si="2"/>
        <v>21</v>
      </c>
      <c r="I58" s="15" t="str">
        <f t="shared" si="3"/>
        <v/>
      </c>
      <c r="J58" s="7"/>
      <c r="K58" s="7">
        <v>5000.0</v>
      </c>
    </row>
    <row r="59" ht="15.75" customHeight="1">
      <c r="A59" s="5" t="str">
        <f t="shared" si="1"/>
        <v>58</v>
      </c>
      <c r="B59" s="7" t="s">
        <v>140</v>
      </c>
      <c r="C59" s="7" t="s">
        <v>141</v>
      </c>
      <c r="D59" s="7">
        <v>43.0</v>
      </c>
      <c r="E59" s="7" t="str">
        <f>SUMIFS(Transaksi!J:J, Transaksi!E:E, $C59, Transaksi!F:F, "Barang Datang")+SUMIFS(Transaksi!J:J, Transaksi!E:E,$C59,Transaksi!F:F,"Retur Penjualan")</f>
        <v>0</v>
      </c>
      <c r="F59" s="7" t="str">
        <f>SUMIFS(Transaksi!K:K, Transaksi!E:E, $C59, Transaksi!F:F, "Barang Datang")
+
SUMIFS(Transaksi!K:K, Transaksi!E:E, $C59, Transaksi!F:F, "Retur penjualan")+SUMIFS(Transaksi!K:K, Transaksi!E:E, $C59, Transaksi!F:F,"Rusak Internal")</f>
        <v>0</v>
      </c>
      <c r="G59" s="7" t="str">
        <f>SUMIFS(Transaksi!I:I, Transaksi!E:E, $C59, Transaksi!F:F, "Terjual")
+
SUMIFS(Transaksi!J:J, Transaksi!E:E, $C59, Transaksi!F:F, "Retur Pembelian")+SUMIFS(Transaksi!I:I, Transaksi!E:E, $C59, Transaksi!F:F, "Dipakai Sendiri")</f>
        <v>0</v>
      </c>
      <c r="H59" s="15" t="str">
        <f t="shared" si="2"/>
        <v>43</v>
      </c>
      <c r="I59" s="15" t="str">
        <f t="shared" si="3"/>
        <v/>
      </c>
      <c r="J59" s="7"/>
      <c r="K59" s="7">
        <v>50000.0</v>
      </c>
    </row>
    <row r="60" ht="15.75" customHeight="1">
      <c r="A60" s="5" t="str">
        <f t="shared" si="1"/>
        <v>59</v>
      </c>
      <c r="B60" s="7" t="s">
        <v>142</v>
      </c>
      <c r="C60" s="7" t="s">
        <v>143</v>
      </c>
      <c r="D60" s="7">
        <v>26.0</v>
      </c>
      <c r="E60" s="7" t="str">
        <f>SUMIFS(Transaksi!J:J, Transaksi!E:E, $C60, Transaksi!F:F, "Barang Datang")+SUMIFS(Transaksi!J:J, Transaksi!E:E,$C60,Transaksi!F:F,"Retur Penjualan")</f>
        <v>0</v>
      </c>
      <c r="F60" s="7" t="str">
        <f>SUMIFS(Transaksi!K:K, Transaksi!E:E, $C60, Transaksi!F:F, "Barang Datang")
+
SUMIFS(Transaksi!K:K, Transaksi!E:E, $C60, Transaksi!F:F, "Retur penjualan")+SUMIFS(Transaksi!K:K, Transaksi!E:E, $C60, Transaksi!F:F,"Rusak Internal")</f>
        <v>0</v>
      </c>
      <c r="G60" s="7" t="str">
        <f>SUMIFS(Transaksi!I:I, Transaksi!E:E, $C60, Transaksi!F:F, "Terjual")
+
SUMIFS(Transaksi!J:J, Transaksi!E:E, $C60, Transaksi!F:F, "Retur Pembelian")+SUMIFS(Transaksi!I:I, Transaksi!E:E, $C60, Transaksi!F:F, "Dipakai Sendiri")</f>
        <v>0</v>
      </c>
      <c r="H60" s="15" t="str">
        <f t="shared" si="2"/>
        <v>26</v>
      </c>
      <c r="I60" s="15" t="str">
        <f t="shared" si="3"/>
        <v/>
      </c>
      <c r="J60" s="7"/>
      <c r="K60" s="7">
        <v>10000.0</v>
      </c>
    </row>
    <row r="61" ht="15.75" customHeight="1">
      <c r="A61" s="5" t="str">
        <f t="shared" si="1"/>
        <v>60</v>
      </c>
      <c r="B61" s="7" t="s">
        <v>144</v>
      </c>
      <c r="C61" s="7" t="s">
        <v>145</v>
      </c>
      <c r="D61" s="7">
        <v>73.0</v>
      </c>
      <c r="E61" s="7" t="str">
        <f>SUMIFS(Transaksi!J:J, Transaksi!E:E, $C61, Transaksi!F:F, "Barang Datang")+SUMIFS(Transaksi!J:J, Transaksi!E:E,$C61,Transaksi!F:F,"Retur Penjualan")</f>
        <v>0</v>
      </c>
      <c r="F61" s="7" t="str">
        <f>SUMIFS(Transaksi!K:K, Transaksi!E:E, $C61, Transaksi!F:F, "Barang Datang")
+
SUMIFS(Transaksi!K:K, Transaksi!E:E, $C61, Transaksi!F:F, "Retur penjualan")+SUMIFS(Transaksi!K:K, Transaksi!E:E, $C61, Transaksi!F:F,"Rusak Internal")</f>
        <v>0</v>
      </c>
      <c r="G61" s="7" t="str">
        <f>SUMIFS(Transaksi!I:I, Transaksi!E:E, $C61, Transaksi!F:F, "Terjual")
+
SUMIFS(Transaksi!J:J, Transaksi!E:E, $C61, Transaksi!F:F, "Retur Pembelian")+SUMIFS(Transaksi!I:I, Transaksi!E:E, $C61, Transaksi!F:F, "Dipakai Sendiri")</f>
        <v>0</v>
      </c>
      <c r="H61" s="15" t="str">
        <f t="shared" si="2"/>
        <v>73</v>
      </c>
      <c r="I61" s="15" t="str">
        <f t="shared" si="3"/>
        <v/>
      </c>
      <c r="J61" s="7"/>
      <c r="K61" s="7">
        <v>5000.0</v>
      </c>
    </row>
    <row r="62" ht="15.75" customHeight="1">
      <c r="A62" s="5" t="str">
        <f t="shared" si="1"/>
        <v>61</v>
      </c>
      <c r="B62" s="7" t="s">
        <v>146</v>
      </c>
      <c r="C62" s="7" t="s">
        <v>147</v>
      </c>
      <c r="D62" s="7">
        <v>24.0</v>
      </c>
      <c r="E62" s="7" t="str">
        <f>SUMIFS(Transaksi!J:J, Transaksi!E:E, $C62, Transaksi!F:F, "Barang Datang")+SUMIFS(Transaksi!J:J, Transaksi!E:E,$C62,Transaksi!F:F,"Retur Penjualan")</f>
        <v>0</v>
      </c>
      <c r="F62" s="7" t="str">
        <f>SUMIFS(Transaksi!K:K, Transaksi!E:E, $C62, Transaksi!F:F, "Barang Datang")
+
SUMIFS(Transaksi!K:K, Transaksi!E:E, $C62, Transaksi!F:F, "Retur penjualan")+SUMIFS(Transaksi!K:K, Transaksi!E:E, $C62, Transaksi!F:F,"Rusak Internal")</f>
        <v>0</v>
      </c>
      <c r="G62" s="7" t="str">
        <f>SUMIFS(Transaksi!I:I, Transaksi!E:E, $C62, Transaksi!F:F, "Terjual")
+
SUMIFS(Transaksi!J:J, Transaksi!E:E, $C62, Transaksi!F:F, "Retur Pembelian")+SUMIFS(Transaksi!I:I, Transaksi!E:E, $C62, Transaksi!F:F, "Dipakai Sendiri")</f>
        <v>0</v>
      </c>
      <c r="H62" s="15" t="str">
        <f t="shared" si="2"/>
        <v>24</v>
      </c>
      <c r="I62" s="15" t="str">
        <f t="shared" si="3"/>
        <v/>
      </c>
      <c r="J62" s="7"/>
      <c r="K62" s="7">
        <v>30000.0</v>
      </c>
    </row>
    <row r="63" ht="15.75" customHeight="1">
      <c r="A63" s="5" t="str">
        <f t="shared" si="1"/>
        <v>62</v>
      </c>
      <c r="B63" s="7" t="s">
        <v>148</v>
      </c>
      <c r="C63" s="7" t="s">
        <v>149</v>
      </c>
      <c r="D63" s="7">
        <v>34.0</v>
      </c>
      <c r="E63" s="7" t="str">
        <f>SUMIFS(Transaksi!J:J, Transaksi!E:E, $C63, Transaksi!F:F, "Barang Datang")+SUMIFS(Transaksi!J:J, Transaksi!E:E,$C63,Transaksi!F:F,"Retur Penjualan")</f>
        <v>0</v>
      </c>
      <c r="F63" s="7" t="str">
        <f>SUMIFS(Transaksi!K:K, Transaksi!E:E, $C63, Transaksi!F:F, "Barang Datang")
+
SUMIFS(Transaksi!K:K, Transaksi!E:E, $C63, Transaksi!F:F, "Retur penjualan")+SUMIFS(Transaksi!K:K, Transaksi!E:E, $C63, Transaksi!F:F,"Rusak Internal")</f>
        <v>0</v>
      </c>
      <c r="G63" s="7" t="str">
        <f>SUMIFS(Transaksi!I:I, Transaksi!E:E, $C63, Transaksi!F:F, "Terjual")
+
SUMIFS(Transaksi!J:J, Transaksi!E:E, $C63, Transaksi!F:F, "Retur Pembelian")+SUMIFS(Transaksi!I:I, Transaksi!E:E, $C63, Transaksi!F:F, "Dipakai Sendiri")</f>
        <v>0</v>
      </c>
      <c r="H63" s="15" t="str">
        <f t="shared" si="2"/>
        <v>34</v>
      </c>
      <c r="I63" s="15" t="str">
        <f t="shared" si="3"/>
        <v/>
      </c>
      <c r="J63" s="7"/>
      <c r="K63" s="7">
        <v>50000.0</v>
      </c>
    </row>
    <row r="64" ht="15.75" customHeight="1">
      <c r="A64" s="5" t="str">
        <f t="shared" si="1"/>
        <v>63</v>
      </c>
      <c r="B64" s="7" t="s">
        <v>150</v>
      </c>
      <c r="C64" s="7" t="s">
        <v>151</v>
      </c>
      <c r="D64" s="7">
        <v>83.0</v>
      </c>
      <c r="E64" s="7" t="str">
        <f>SUMIFS(Transaksi!J:J, Transaksi!E:E, $C64, Transaksi!F:F, "Barang Datang")+SUMIFS(Transaksi!J:J, Transaksi!E:E,$C64,Transaksi!F:F,"Retur Penjualan")</f>
        <v>0</v>
      </c>
      <c r="F64" s="7" t="str">
        <f>SUMIFS(Transaksi!K:K, Transaksi!E:E, $C64, Transaksi!F:F, "Barang Datang")
+
SUMIFS(Transaksi!K:K, Transaksi!E:E, $C64, Transaksi!F:F, "Retur penjualan")+SUMIFS(Transaksi!K:K, Transaksi!E:E, $C64, Transaksi!F:F,"Rusak Internal")</f>
        <v>0</v>
      </c>
      <c r="G64" s="7" t="str">
        <f>SUMIFS(Transaksi!I:I, Transaksi!E:E, $C64, Transaksi!F:F, "Terjual")
+
SUMIFS(Transaksi!J:J, Transaksi!E:E, $C64, Transaksi!F:F, "Retur Pembelian")+SUMIFS(Transaksi!I:I, Transaksi!E:E, $C64, Transaksi!F:F, "Dipakai Sendiri")</f>
        <v>0</v>
      </c>
      <c r="H64" s="15" t="str">
        <f t="shared" si="2"/>
        <v>83</v>
      </c>
      <c r="I64" s="15" t="str">
        <f t="shared" si="3"/>
        <v/>
      </c>
      <c r="J64" s="7"/>
      <c r="K64" s="7">
        <v>25000.0</v>
      </c>
    </row>
    <row r="65" ht="15.75" customHeight="1">
      <c r="A65" s="5" t="str">
        <f t="shared" si="1"/>
        <v>64</v>
      </c>
      <c r="B65" s="7" t="s">
        <v>16</v>
      </c>
      <c r="C65" s="7" t="s">
        <v>152</v>
      </c>
      <c r="D65" s="7">
        <v>28.0</v>
      </c>
      <c r="E65" s="7" t="str">
        <f>SUMIFS(Transaksi!J:J, Transaksi!E:E, $C65, Transaksi!F:F, "Barang Datang")+SUMIFS(Transaksi!J:J, Transaksi!E:E,$C65,Transaksi!F:F,"Retur Penjualan")</f>
        <v>0</v>
      </c>
      <c r="F65" s="7" t="str">
        <f>SUMIFS(Transaksi!K:K, Transaksi!E:E, $C65, Transaksi!F:F, "Barang Datang")
+
SUMIFS(Transaksi!K:K, Transaksi!E:E, $C65, Transaksi!F:F, "Retur penjualan")+SUMIFS(Transaksi!K:K, Transaksi!E:E, $C65, Transaksi!F:F,"Rusak Internal")</f>
        <v>0</v>
      </c>
      <c r="G65" s="7" t="str">
        <f>SUMIFS(Transaksi!I:I, Transaksi!E:E, $C65, Transaksi!F:F, "Terjual")
+
SUMIFS(Transaksi!J:J, Transaksi!E:E, $C65, Transaksi!F:F, "Retur Pembelian")+SUMIFS(Transaksi!I:I, Transaksi!E:E, $C65, Transaksi!F:F, "Dipakai Sendiri")</f>
        <v>0</v>
      </c>
      <c r="H65" s="15" t="str">
        <f t="shared" si="2"/>
        <v>28</v>
      </c>
      <c r="I65" s="15" t="str">
        <f t="shared" si="3"/>
        <v/>
      </c>
      <c r="J65" s="7"/>
      <c r="K65" s="7">
        <v>30000.0</v>
      </c>
    </row>
    <row r="66" ht="15.75" customHeight="1">
      <c r="A66" s="5" t="str">
        <f t="shared" si="1"/>
        <v>65</v>
      </c>
      <c r="B66" s="7" t="s">
        <v>153</v>
      </c>
      <c r="C66" s="7" t="s">
        <v>154</v>
      </c>
      <c r="D66" s="7">
        <v>56.0</v>
      </c>
      <c r="E66" s="7" t="str">
        <f>SUMIFS(Transaksi!J:J, Transaksi!E:E, $C66, Transaksi!F:F, "Barang Datang")+SUMIFS(Transaksi!J:J, Transaksi!E:E,$C66,Transaksi!F:F,"Retur Penjualan")</f>
        <v>0</v>
      </c>
      <c r="F66" s="7" t="str">
        <f>SUMIFS(Transaksi!K:K, Transaksi!E:E, $C66, Transaksi!F:F, "Barang Datang")
+
SUMIFS(Transaksi!K:K, Transaksi!E:E, $C66, Transaksi!F:F, "Retur penjualan")+SUMIFS(Transaksi!K:K, Transaksi!E:E, $C66, Transaksi!F:F,"Rusak Internal")</f>
        <v>0</v>
      </c>
      <c r="G66" s="7" t="str">
        <f>SUMIFS(Transaksi!I:I, Transaksi!E:E, $C66, Transaksi!F:F, "Terjual")
+
SUMIFS(Transaksi!J:J, Transaksi!E:E, $C66, Transaksi!F:F, "Retur Pembelian")+SUMIFS(Transaksi!I:I, Transaksi!E:E, $C66, Transaksi!F:F, "Dipakai Sendiri")</f>
        <v>0</v>
      </c>
      <c r="H66" s="15" t="str">
        <f t="shared" si="2"/>
        <v>56</v>
      </c>
      <c r="I66" s="15" t="str">
        <f t="shared" si="3"/>
        <v/>
      </c>
      <c r="J66" s="7"/>
      <c r="K66" s="7">
        <v>30000.0</v>
      </c>
    </row>
    <row r="67" ht="15.75" customHeight="1">
      <c r="A67" s="5" t="str">
        <f t="shared" si="1"/>
        <v>66</v>
      </c>
      <c r="B67" s="7" t="s">
        <v>155</v>
      </c>
      <c r="C67" s="7" t="s">
        <v>156</v>
      </c>
      <c r="D67" s="7">
        <v>57.0</v>
      </c>
      <c r="E67" s="7" t="str">
        <f>SUMIFS(Transaksi!J:J, Transaksi!E:E, $C67, Transaksi!F:F, "Barang Datang")+SUMIFS(Transaksi!J:J, Transaksi!E:E,$C67,Transaksi!F:F,"Retur Penjualan")</f>
        <v>0</v>
      </c>
      <c r="F67" s="7" t="str">
        <f>SUMIFS(Transaksi!K:K, Transaksi!E:E, $C67, Transaksi!F:F, "Barang Datang")
+
SUMIFS(Transaksi!K:K, Transaksi!E:E, $C67, Transaksi!F:F, "Retur penjualan")+SUMIFS(Transaksi!K:K, Transaksi!E:E, $C67, Transaksi!F:F,"Rusak Internal")</f>
        <v>0</v>
      </c>
      <c r="G67" s="7" t="str">
        <f>SUMIFS(Transaksi!I:I, Transaksi!E:E, $C67, Transaksi!F:F, "Terjual")
+
SUMIFS(Transaksi!J:J, Transaksi!E:E, $C67, Transaksi!F:F, "Retur Pembelian")+SUMIFS(Transaksi!I:I, Transaksi!E:E, $C67, Transaksi!F:F, "Dipakai Sendiri")</f>
        <v>0</v>
      </c>
      <c r="H67" s="15" t="str">
        <f t="shared" si="2"/>
        <v>57</v>
      </c>
      <c r="I67" s="15" t="str">
        <f t="shared" si="3"/>
        <v/>
      </c>
      <c r="J67" s="7"/>
      <c r="K67" s="7">
        <v>10000.0</v>
      </c>
    </row>
    <row r="68" ht="15.75" customHeight="1">
      <c r="A68" s="5" t="str">
        <f t="shared" si="1"/>
        <v>67</v>
      </c>
      <c r="B68" s="7" t="s">
        <v>157</v>
      </c>
      <c r="C68" s="7" t="s">
        <v>158</v>
      </c>
      <c r="D68" s="7">
        <v>71.0</v>
      </c>
      <c r="E68" s="7" t="str">
        <f>SUMIFS(Transaksi!J:J, Transaksi!E:E, $C68, Transaksi!F:F, "Barang Datang")+SUMIFS(Transaksi!J:J, Transaksi!E:E,$C68,Transaksi!F:F,"Retur Penjualan")</f>
        <v>0</v>
      </c>
      <c r="F68" s="7" t="str">
        <f>SUMIFS(Transaksi!K:K, Transaksi!E:E, $C68, Transaksi!F:F, "Barang Datang")
+
SUMIFS(Transaksi!K:K, Transaksi!E:E, $C68, Transaksi!F:F, "Retur penjualan")+SUMIFS(Transaksi!K:K, Transaksi!E:E, $C68, Transaksi!F:F,"Rusak Internal")</f>
        <v>0</v>
      </c>
      <c r="G68" s="7" t="str">
        <f>SUMIFS(Transaksi!I:I, Transaksi!E:E, $C68, Transaksi!F:F, "Terjual")
+
SUMIFS(Transaksi!J:J, Transaksi!E:E, $C68, Transaksi!F:F, "Retur Pembelian")+SUMIFS(Transaksi!I:I, Transaksi!E:E, $C68, Transaksi!F:F, "Dipakai Sendiri")</f>
        <v>0</v>
      </c>
      <c r="H68" s="15" t="str">
        <f t="shared" si="2"/>
        <v>71</v>
      </c>
      <c r="I68" s="15" t="str">
        <f t="shared" si="3"/>
        <v/>
      </c>
      <c r="J68" s="7"/>
      <c r="K68" s="7">
        <v>10000.0</v>
      </c>
    </row>
    <row r="69" ht="15.75" customHeight="1">
      <c r="A69" s="5" t="str">
        <f t="shared" si="1"/>
        <v>68</v>
      </c>
      <c r="B69" s="7" t="s">
        <v>159</v>
      </c>
      <c r="C69" s="7" t="s">
        <v>160</v>
      </c>
      <c r="D69" s="7">
        <v>25.0</v>
      </c>
      <c r="E69" s="7" t="str">
        <f>SUMIFS(Transaksi!J:J, Transaksi!E:E, $C69, Transaksi!F:F, "Barang Datang")+SUMIFS(Transaksi!J:J, Transaksi!E:E,$C69,Transaksi!F:F,"Retur Penjualan")</f>
        <v>0</v>
      </c>
      <c r="F69" s="7" t="str">
        <f>SUMIFS(Transaksi!K:K, Transaksi!E:E, $C69, Transaksi!F:F, "Barang Datang")
+
SUMIFS(Transaksi!K:K, Transaksi!E:E, $C69, Transaksi!F:F, "Retur penjualan")+SUMIFS(Transaksi!K:K, Transaksi!E:E, $C69, Transaksi!F:F,"Rusak Internal")</f>
        <v>0</v>
      </c>
      <c r="G69" s="7" t="str">
        <f>SUMIFS(Transaksi!I:I, Transaksi!E:E, $C69, Transaksi!F:F, "Terjual")
+
SUMIFS(Transaksi!J:J, Transaksi!E:E, $C69, Transaksi!F:F, "Retur Pembelian")+SUMIFS(Transaksi!I:I, Transaksi!E:E, $C69, Transaksi!F:F, "Dipakai Sendiri")</f>
        <v>0</v>
      </c>
      <c r="H69" s="15" t="str">
        <f t="shared" si="2"/>
        <v>25</v>
      </c>
      <c r="I69" s="15" t="str">
        <f t="shared" si="3"/>
        <v/>
      </c>
      <c r="J69" s="7"/>
      <c r="K69" s="7">
        <v>20000.0</v>
      </c>
    </row>
    <row r="70" ht="15.75" customHeight="1">
      <c r="A70" s="5" t="str">
        <f t="shared" si="1"/>
        <v>69</v>
      </c>
      <c r="B70" s="7" t="s">
        <v>161</v>
      </c>
      <c r="C70" s="7" t="s">
        <v>162</v>
      </c>
      <c r="D70" s="7">
        <v>49.0</v>
      </c>
      <c r="E70" s="7" t="str">
        <f>SUMIFS(Transaksi!J:J, Transaksi!E:E, $C70, Transaksi!F:F, "Barang Datang")+SUMIFS(Transaksi!J:J, Transaksi!E:E,$C70,Transaksi!F:F,"Retur Penjualan")</f>
        <v>0</v>
      </c>
      <c r="F70" s="7" t="str">
        <f>SUMIFS(Transaksi!K:K, Transaksi!E:E, $C70, Transaksi!F:F, "Barang Datang")
+
SUMIFS(Transaksi!K:K, Transaksi!E:E, $C70, Transaksi!F:F, "Retur penjualan")+SUMIFS(Transaksi!K:K, Transaksi!E:E, $C70, Transaksi!F:F,"Rusak Internal")</f>
        <v>0</v>
      </c>
      <c r="G70" s="7" t="str">
        <f>SUMIFS(Transaksi!I:I, Transaksi!E:E, $C70, Transaksi!F:F, "Terjual")
+
SUMIFS(Transaksi!J:J, Transaksi!E:E, $C70, Transaksi!F:F, "Retur Pembelian")+SUMIFS(Transaksi!I:I, Transaksi!E:E, $C70, Transaksi!F:F, "Dipakai Sendiri")</f>
        <v>0</v>
      </c>
      <c r="H70" s="15" t="str">
        <f t="shared" si="2"/>
        <v>49</v>
      </c>
      <c r="I70" s="15" t="str">
        <f t="shared" si="3"/>
        <v/>
      </c>
      <c r="J70" s="7"/>
      <c r="K70" s="7">
        <v>35000.0</v>
      </c>
    </row>
    <row r="71" ht="15.75" customHeight="1">
      <c r="A71" s="5" t="str">
        <f t="shared" si="1"/>
        <v>70</v>
      </c>
      <c r="B71" s="7" t="s">
        <v>163</v>
      </c>
      <c r="C71" s="7" t="s">
        <v>164</v>
      </c>
      <c r="D71" s="7">
        <v>91.0</v>
      </c>
      <c r="E71" s="7" t="str">
        <f>SUMIFS(Transaksi!J:J, Transaksi!E:E, $C71, Transaksi!F:F, "Barang Datang")+SUMIFS(Transaksi!J:J, Transaksi!E:E,$C71,Transaksi!F:F,"Retur Penjualan")</f>
        <v>0</v>
      </c>
      <c r="F71" s="7" t="str">
        <f>SUMIFS(Transaksi!K:K, Transaksi!E:E, $C71, Transaksi!F:F, "Barang Datang")
+
SUMIFS(Transaksi!K:K, Transaksi!E:E, $C71, Transaksi!F:F, "Retur penjualan")+SUMIFS(Transaksi!K:K, Transaksi!E:E, $C71, Transaksi!F:F,"Rusak Internal")</f>
        <v>0</v>
      </c>
      <c r="G71" s="7" t="str">
        <f>SUMIFS(Transaksi!I:I, Transaksi!E:E, $C71, Transaksi!F:F, "Terjual")
+
SUMIFS(Transaksi!J:J, Transaksi!E:E, $C71, Transaksi!F:F, "Retur Pembelian")+SUMIFS(Transaksi!I:I, Transaksi!E:E, $C71, Transaksi!F:F, "Dipakai Sendiri")</f>
        <v>0</v>
      </c>
      <c r="H71" s="15" t="str">
        <f t="shared" si="2"/>
        <v>91</v>
      </c>
      <c r="I71" s="15" t="str">
        <f t="shared" si="3"/>
        <v/>
      </c>
      <c r="J71" s="7"/>
      <c r="K71" s="7">
        <v>15000.0</v>
      </c>
    </row>
    <row r="72" ht="15.75" customHeight="1">
      <c r="A72" s="5" t="str">
        <f t="shared" si="1"/>
        <v>71</v>
      </c>
      <c r="B72" s="7" t="s">
        <v>165</v>
      </c>
      <c r="C72" s="7" t="s">
        <v>166</v>
      </c>
      <c r="D72" s="7">
        <v>14.0</v>
      </c>
      <c r="E72" s="7" t="str">
        <f>SUMIFS(Transaksi!J:J, Transaksi!E:E, $C72, Transaksi!F:F, "Barang Datang")+SUMIFS(Transaksi!J:J, Transaksi!E:E,$C72,Transaksi!F:F,"Retur Penjualan")</f>
        <v>0</v>
      </c>
      <c r="F72" s="7" t="str">
        <f>SUMIFS(Transaksi!K:K, Transaksi!E:E, $C72, Transaksi!F:F, "Barang Datang")
+
SUMIFS(Transaksi!K:K, Transaksi!E:E, $C72, Transaksi!F:F, "Retur penjualan")+SUMIFS(Transaksi!K:K, Transaksi!E:E, $C72, Transaksi!F:F,"Rusak Internal")</f>
        <v>0</v>
      </c>
      <c r="G72" s="7" t="str">
        <f>SUMIFS(Transaksi!I:I, Transaksi!E:E, $C72, Transaksi!F:F, "Terjual")
+
SUMIFS(Transaksi!J:J, Transaksi!E:E, $C72, Transaksi!F:F, "Retur Pembelian")+SUMIFS(Transaksi!I:I, Transaksi!E:E, $C72, Transaksi!F:F, "Dipakai Sendiri")</f>
        <v>0</v>
      </c>
      <c r="H72" s="15" t="str">
        <f t="shared" si="2"/>
        <v>14</v>
      </c>
      <c r="I72" s="15" t="str">
        <f t="shared" si="3"/>
        <v/>
      </c>
      <c r="J72" s="7"/>
      <c r="K72" s="7">
        <v>20000.0</v>
      </c>
    </row>
    <row r="73" ht="15.75" customHeight="1">
      <c r="A73" s="5" t="str">
        <f t="shared" si="1"/>
        <v>72</v>
      </c>
      <c r="B73" s="7" t="s">
        <v>167</v>
      </c>
      <c r="C73" s="7" t="s">
        <v>168</v>
      </c>
      <c r="D73" s="7">
        <v>54.0</v>
      </c>
      <c r="E73" s="7" t="str">
        <f>SUMIFS(Transaksi!J:J, Transaksi!E:E, $C73, Transaksi!F:F, "Barang Datang")+SUMIFS(Transaksi!J:J, Transaksi!E:E,$C73,Transaksi!F:F,"Retur Penjualan")</f>
        <v>0</v>
      </c>
      <c r="F73" s="7" t="str">
        <f>SUMIFS(Transaksi!K:K, Transaksi!E:E, $C73, Transaksi!F:F, "Barang Datang")
+
SUMIFS(Transaksi!K:K, Transaksi!E:E, $C73, Transaksi!F:F, "Retur penjualan")+SUMIFS(Transaksi!K:K, Transaksi!E:E, $C73, Transaksi!F:F,"Rusak Internal")</f>
        <v>0</v>
      </c>
      <c r="G73" s="7" t="str">
        <f>SUMIFS(Transaksi!I:I, Transaksi!E:E, $C73, Transaksi!F:F, "Terjual")
+
SUMIFS(Transaksi!J:J, Transaksi!E:E, $C73, Transaksi!F:F, "Retur Pembelian")+SUMIFS(Transaksi!I:I, Transaksi!E:E, $C73, Transaksi!F:F, "Dipakai Sendiri")</f>
        <v>0</v>
      </c>
      <c r="H73" s="15" t="str">
        <f t="shared" si="2"/>
        <v>54</v>
      </c>
      <c r="I73" s="15" t="str">
        <f t="shared" si="3"/>
        <v/>
      </c>
      <c r="J73" s="7"/>
      <c r="K73" s="7">
        <v>40000.0</v>
      </c>
    </row>
    <row r="74" ht="15.75" customHeight="1">
      <c r="A74" s="5" t="str">
        <f t="shared" si="1"/>
        <v>73</v>
      </c>
      <c r="B74" s="7" t="s">
        <v>169</v>
      </c>
      <c r="C74" s="7" t="s">
        <v>170</v>
      </c>
      <c r="D74" s="7">
        <v>78.0</v>
      </c>
      <c r="E74" s="7" t="str">
        <f>SUMIFS(Transaksi!J:J, Transaksi!E:E, $C74, Transaksi!F:F, "Barang Datang")+SUMIFS(Transaksi!J:J, Transaksi!E:E,$C74,Transaksi!F:F,"Retur Penjualan")</f>
        <v>0</v>
      </c>
      <c r="F74" s="7" t="str">
        <f>SUMIFS(Transaksi!K:K, Transaksi!E:E, $C74, Transaksi!F:F, "Barang Datang")
+
SUMIFS(Transaksi!K:K, Transaksi!E:E, $C74, Transaksi!F:F, "Retur penjualan")+SUMIFS(Transaksi!K:K, Transaksi!E:E, $C74, Transaksi!F:F,"Rusak Internal")</f>
        <v>0</v>
      </c>
      <c r="G74" s="7" t="str">
        <f>SUMIFS(Transaksi!I:I, Transaksi!E:E, $C74, Transaksi!F:F, "Terjual")
+
SUMIFS(Transaksi!J:J, Transaksi!E:E, $C74, Transaksi!F:F, "Retur Pembelian")+SUMIFS(Transaksi!I:I, Transaksi!E:E, $C74, Transaksi!F:F, "Dipakai Sendiri")</f>
        <v>0</v>
      </c>
      <c r="H74" s="15" t="str">
        <f t="shared" si="2"/>
        <v>78</v>
      </c>
      <c r="I74" s="15" t="str">
        <f t="shared" si="3"/>
        <v/>
      </c>
      <c r="J74" s="7"/>
      <c r="K74" s="7">
        <v>50000.0</v>
      </c>
    </row>
    <row r="75" ht="15.75" customHeight="1">
      <c r="A75" s="5" t="str">
        <f t="shared" si="1"/>
        <v>74</v>
      </c>
      <c r="B75" s="7" t="s">
        <v>171</v>
      </c>
      <c r="C75" s="7" t="s">
        <v>172</v>
      </c>
      <c r="D75" s="7">
        <v>56.0</v>
      </c>
      <c r="E75" s="7" t="str">
        <f>SUMIFS(Transaksi!J:J, Transaksi!E:E, $C75, Transaksi!F:F, "Barang Datang")+SUMIFS(Transaksi!J:J, Transaksi!E:E,$C75,Transaksi!F:F,"Retur Penjualan")</f>
        <v>0</v>
      </c>
      <c r="F75" s="7" t="str">
        <f>SUMIFS(Transaksi!K:K, Transaksi!E:E, $C75, Transaksi!F:F, "Barang Datang")
+
SUMIFS(Transaksi!K:K, Transaksi!E:E, $C75, Transaksi!F:F, "Retur penjualan")+SUMIFS(Transaksi!K:K, Transaksi!E:E, $C75, Transaksi!F:F,"Rusak Internal")</f>
        <v>0</v>
      </c>
      <c r="G75" s="7" t="str">
        <f>SUMIFS(Transaksi!I:I, Transaksi!E:E, $C75, Transaksi!F:F, "Terjual")
+
SUMIFS(Transaksi!J:J, Transaksi!E:E, $C75, Transaksi!F:F, "Retur Pembelian")+SUMIFS(Transaksi!I:I, Transaksi!E:E, $C75, Transaksi!F:F, "Dipakai Sendiri")</f>
        <v>0</v>
      </c>
      <c r="H75" s="15" t="str">
        <f t="shared" si="2"/>
        <v>56</v>
      </c>
      <c r="I75" s="15" t="str">
        <f t="shared" si="3"/>
        <v/>
      </c>
      <c r="J75" s="7"/>
      <c r="K75" s="7">
        <v>5000.0</v>
      </c>
    </row>
    <row r="76" ht="15.75" customHeight="1">
      <c r="A76" s="5" t="str">
        <f t="shared" si="1"/>
        <v>75</v>
      </c>
      <c r="B76" s="7" t="s">
        <v>173</v>
      </c>
      <c r="C76" s="7" t="s">
        <v>174</v>
      </c>
      <c r="D76" s="7">
        <v>48.0</v>
      </c>
      <c r="E76" s="7" t="str">
        <f>SUMIFS(Transaksi!J:J, Transaksi!E:E, $C76, Transaksi!F:F, "Barang Datang")+SUMIFS(Transaksi!J:J, Transaksi!E:E,$C76,Transaksi!F:F,"Retur Penjualan")</f>
        <v>0</v>
      </c>
      <c r="F76" s="7" t="str">
        <f>SUMIFS(Transaksi!K:K, Transaksi!E:E, $C76, Transaksi!F:F, "Barang Datang")
+
SUMIFS(Transaksi!K:K, Transaksi!E:E, $C76, Transaksi!F:F, "Retur penjualan")+SUMIFS(Transaksi!K:K, Transaksi!E:E, $C76, Transaksi!F:F,"Rusak Internal")</f>
        <v>0</v>
      </c>
      <c r="G76" s="7" t="str">
        <f>SUMIFS(Transaksi!I:I, Transaksi!E:E, $C76, Transaksi!F:F, "Terjual")
+
SUMIFS(Transaksi!J:J, Transaksi!E:E, $C76, Transaksi!F:F, "Retur Pembelian")+SUMIFS(Transaksi!I:I, Transaksi!E:E, $C76, Transaksi!F:F, "Dipakai Sendiri")</f>
        <v>0</v>
      </c>
      <c r="H76" s="15" t="str">
        <f t="shared" si="2"/>
        <v>48</v>
      </c>
      <c r="I76" s="15" t="str">
        <f t="shared" si="3"/>
        <v/>
      </c>
      <c r="J76" s="7"/>
      <c r="K76" s="7">
        <v>15000.0</v>
      </c>
    </row>
    <row r="77" ht="15.75" customHeight="1">
      <c r="A77" s="5" t="str">
        <f t="shared" si="1"/>
        <v>76</v>
      </c>
      <c r="B77" s="7" t="s">
        <v>175</v>
      </c>
      <c r="C77" s="7" t="s">
        <v>176</v>
      </c>
      <c r="D77" s="7">
        <v>41.0</v>
      </c>
      <c r="E77" s="7" t="str">
        <f>SUMIFS(Transaksi!J:J, Transaksi!E:E, $C77, Transaksi!F:F, "Barang Datang")+SUMIFS(Transaksi!J:J, Transaksi!E:E,$C77,Transaksi!F:F,"Retur Penjualan")</f>
        <v>0</v>
      </c>
      <c r="F77" s="7" t="str">
        <f>SUMIFS(Transaksi!K:K, Transaksi!E:E, $C77, Transaksi!F:F, "Barang Datang")
+
SUMIFS(Transaksi!K:K, Transaksi!E:E, $C77, Transaksi!F:F, "Retur penjualan")+SUMIFS(Transaksi!K:K, Transaksi!E:E, $C77, Transaksi!F:F,"Rusak Internal")</f>
        <v>0</v>
      </c>
      <c r="G77" s="7" t="str">
        <f>SUMIFS(Transaksi!I:I, Transaksi!E:E, $C77, Transaksi!F:F, "Terjual")
+
SUMIFS(Transaksi!J:J, Transaksi!E:E, $C77, Transaksi!F:F, "Retur Pembelian")+SUMIFS(Transaksi!I:I, Transaksi!E:E, $C77, Transaksi!F:F, "Dipakai Sendiri")</f>
        <v>0</v>
      </c>
      <c r="H77" s="15" t="str">
        <f t="shared" si="2"/>
        <v>41</v>
      </c>
      <c r="I77" s="15" t="str">
        <f t="shared" si="3"/>
        <v/>
      </c>
      <c r="J77" s="7"/>
      <c r="K77" s="7">
        <v>10000.0</v>
      </c>
    </row>
    <row r="78" ht="15.75" customHeight="1">
      <c r="A78" s="5" t="str">
        <f t="shared" si="1"/>
        <v>77</v>
      </c>
      <c r="B78" s="7" t="s">
        <v>177</v>
      </c>
      <c r="C78" s="7" t="s">
        <v>178</v>
      </c>
      <c r="D78" s="7">
        <v>94.0</v>
      </c>
      <c r="E78" s="7" t="str">
        <f>SUMIFS(Transaksi!J:J, Transaksi!E:E, $C78, Transaksi!F:F, "Barang Datang")+SUMIFS(Transaksi!J:J, Transaksi!E:E,$C78,Transaksi!F:F,"Retur Penjualan")</f>
        <v>0</v>
      </c>
      <c r="F78" s="7" t="str">
        <f>SUMIFS(Transaksi!K:K, Transaksi!E:E, $C78, Transaksi!F:F, "Barang Datang")
+
SUMIFS(Transaksi!K:K, Transaksi!E:E, $C78, Transaksi!F:F, "Retur penjualan")+SUMIFS(Transaksi!K:K, Transaksi!E:E, $C78, Transaksi!F:F,"Rusak Internal")</f>
        <v>0</v>
      </c>
      <c r="G78" s="7" t="str">
        <f>SUMIFS(Transaksi!I:I, Transaksi!E:E, $C78, Transaksi!F:F, "Terjual")
+
SUMIFS(Transaksi!J:J, Transaksi!E:E, $C78, Transaksi!F:F, "Retur Pembelian")+SUMIFS(Transaksi!I:I, Transaksi!E:E, $C78, Transaksi!F:F, "Dipakai Sendiri")</f>
        <v>0</v>
      </c>
      <c r="H78" s="15" t="str">
        <f t="shared" si="2"/>
        <v>94</v>
      </c>
      <c r="I78" s="15" t="str">
        <f t="shared" si="3"/>
        <v/>
      </c>
      <c r="J78" s="7"/>
      <c r="K78" s="7">
        <v>15000.0</v>
      </c>
    </row>
    <row r="79" ht="15.75" customHeight="1">
      <c r="A79" s="5" t="str">
        <f t="shared" si="1"/>
        <v>78</v>
      </c>
      <c r="B79" s="7" t="s">
        <v>179</v>
      </c>
      <c r="C79" s="7" t="s">
        <v>180</v>
      </c>
      <c r="D79" s="7">
        <v>77.0</v>
      </c>
      <c r="E79" s="7" t="str">
        <f>SUMIFS(Transaksi!J:J, Transaksi!E:E, $C79, Transaksi!F:F, "Barang Datang")+SUMIFS(Transaksi!J:J, Transaksi!E:E,$C79,Transaksi!F:F,"Retur Penjualan")</f>
        <v>0</v>
      </c>
      <c r="F79" s="7" t="str">
        <f>SUMIFS(Transaksi!K:K, Transaksi!E:E, $C79, Transaksi!F:F, "Barang Datang")
+
SUMIFS(Transaksi!K:K, Transaksi!E:E, $C79, Transaksi!F:F, "Retur penjualan")+SUMIFS(Transaksi!K:K, Transaksi!E:E, $C79, Transaksi!F:F,"Rusak Internal")</f>
        <v>0</v>
      </c>
      <c r="G79" s="7" t="str">
        <f>SUMIFS(Transaksi!I:I, Transaksi!E:E, $C79, Transaksi!F:F, "Terjual")
+
SUMIFS(Transaksi!J:J, Transaksi!E:E, $C79, Transaksi!F:F, "Retur Pembelian")+SUMIFS(Transaksi!I:I, Transaksi!E:E, $C79, Transaksi!F:F, "Dipakai Sendiri")</f>
        <v>0</v>
      </c>
      <c r="H79" s="15" t="str">
        <f t="shared" si="2"/>
        <v>77</v>
      </c>
      <c r="I79" s="15" t="str">
        <f t="shared" si="3"/>
        <v/>
      </c>
      <c r="J79" s="7"/>
      <c r="K79" s="7">
        <v>35000.0</v>
      </c>
    </row>
    <row r="80" ht="15.75" customHeight="1">
      <c r="A80" s="5" t="str">
        <f t="shared" si="1"/>
        <v>79</v>
      </c>
      <c r="B80" s="7" t="s">
        <v>181</v>
      </c>
      <c r="C80" s="7" t="s">
        <v>182</v>
      </c>
      <c r="D80" s="7">
        <v>30.0</v>
      </c>
      <c r="E80" s="7" t="str">
        <f>SUMIFS(Transaksi!J:J, Transaksi!E:E, $C80, Transaksi!F:F, "Barang Datang")+SUMIFS(Transaksi!J:J, Transaksi!E:E,$C80,Transaksi!F:F,"Retur Penjualan")</f>
        <v>0</v>
      </c>
      <c r="F80" s="7" t="str">
        <f>SUMIFS(Transaksi!K:K, Transaksi!E:E, $C80, Transaksi!F:F, "Barang Datang")
+
SUMIFS(Transaksi!K:K, Transaksi!E:E, $C80, Transaksi!F:F, "Retur penjualan")+SUMIFS(Transaksi!K:K, Transaksi!E:E, $C80, Transaksi!F:F,"Rusak Internal")</f>
        <v>0</v>
      </c>
      <c r="G80" s="7" t="str">
        <f>SUMIFS(Transaksi!I:I, Transaksi!E:E, $C80, Transaksi!F:F, "Terjual")
+
SUMIFS(Transaksi!J:J, Transaksi!E:E, $C80, Transaksi!F:F, "Retur Pembelian")+SUMIFS(Transaksi!I:I, Transaksi!E:E, $C80, Transaksi!F:F, "Dipakai Sendiri")</f>
        <v>0</v>
      </c>
      <c r="H80" s="15" t="str">
        <f t="shared" si="2"/>
        <v>30</v>
      </c>
      <c r="I80" s="15" t="str">
        <f t="shared" si="3"/>
        <v/>
      </c>
      <c r="J80" s="7"/>
      <c r="K80" s="7">
        <v>20000.0</v>
      </c>
    </row>
    <row r="81" ht="15.75" customHeight="1">
      <c r="A81" s="5" t="str">
        <f t="shared" si="1"/>
        <v>80</v>
      </c>
      <c r="B81" s="7" t="s">
        <v>183</v>
      </c>
      <c r="C81" s="7" t="s">
        <v>184</v>
      </c>
      <c r="D81" s="7">
        <v>59.0</v>
      </c>
      <c r="E81" s="7" t="str">
        <f>SUMIFS(Transaksi!J:J, Transaksi!E:E, $C81, Transaksi!F:F, "Barang Datang")+SUMIFS(Transaksi!J:J, Transaksi!E:E,$C81,Transaksi!F:F,"Retur Penjualan")</f>
        <v>0</v>
      </c>
      <c r="F81" s="7" t="str">
        <f>SUMIFS(Transaksi!K:K, Transaksi!E:E, $C81, Transaksi!F:F, "Barang Datang")
+
SUMIFS(Transaksi!K:K, Transaksi!E:E, $C81, Transaksi!F:F, "Retur penjualan")+SUMIFS(Transaksi!K:K, Transaksi!E:E, $C81, Transaksi!F:F,"Rusak Internal")</f>
        <v>0</v>
      </c>
      <c r="G81" s="7" t="str">
        <f>SUMIFS(Transaksi!I:I, Transaksi!E:E, $C81, Transaksi!F:F, "Terjual")
+
SUMIFS(Transaksi!J:J, Transaksi!E:E, $C81, Transaksi!F:F, "Retur Pembelian")+SUMIFS(Transaksi!I:I, Transaksi!E:E, $C81, Transaksi!F:F, "Dipakai Sendiri")</f>
        <v>0</v>
      </c>
      <c r="H81" s="15" t="str">
        <f t="shared" si="2"/>
        <v>59</v>
      </c>
      <c r="I81" s="15" t="str">
        <f t="shared" si="3"/>
        <v/>
      </c>
      <c r="J81" s="7"/>
      <c r="K81" s="7">
        <v>45000.0</v>
      </c>
    </row>
    <row r="82" ht="15.75" customHeight="1">
      <c r="A82" s="5" t="str">
        <f t="shared" si="1"/>
        <v>81</v>
      </c>
      <c r="B82" s="7" t="s">
        <v>185</v>
      </c>
      <c r="C82" s="7" t="s">
        <v>186</v>
      </c>
      <c r="D82" s="7">
        <v>62.0</v>
      </c>
      <c r="E82" s="7" t="str">
        <f>SUMIFS(Transaksi!J:J, Transaksi!E:E, $C82, Transaksi!F:F, "Barang Datang")+SUMIFS(Transaksi!J:J, Transaksi!E:E,$C82,Transaksi!F:F,"Retur Penjualan")</f>
        <v>0</v>
      </c>
      <c r="F82" s="7" t="str">
        <f>SUMIFS(Transaksi!K:K, Transaksi!E:E, $C82, Transaksi!F:F, "Barang Datang")
+
SUMIFS(Transaksi!K:K, Transaksi!E:E, $C82, Transaksi!F:F, "Retur penjualan")+SUMIFS(Transaksi!K:K, Transaksi!E:E, $C82, Transaksi!F:F,"Rusak Internal")</f>
        <v>0</v>
      </c>
      <c r="G82" s="7" t="str">
        <f>SUMIFS(Transaksi!I:I, Transaksi!E:E, $C82, Transaksi!F:F, "Terjual")
+
SUMIFS(Transaksi!J:J, Transaksi!E:E, $C82, Transaksi!F:F, "Retur Pembelian")+SUMIFS(Transaksi!I:I, Transaksi!E:E, $C82, Transaksi!F:F, "Dipakai Sendiri")</f>
        <v>0</v>
      </c>
      <c r="H82" s="15" t="str">
        <f t="shared" si="2"/>
        <v>62</v>
      </c>
      <c r="I82" s="15" t="str">
        <f t="shared" si="3"/>
        <v/>
      </c>
      <c r="J82" s="7"/>
      <c r="K82" s="7">
        <v>20000.0</v>
      </c>
    </row>
    <row r="83" ht="15.75" customHeight="1">
      <c r="A83" s="5" t="str">
        <f t="shared" si="1"/>
        <v>82</v>
      </c>
      <c r="B83" s="7" t="s">
        <v>187</v>
      </c>
      <c r="C83" s="7" t="s">
        <v>188</v>
      </c>
      <c r="D83" s="7">
        <v>47.0</v>
      </c>
      <c r="E83" s="7" t="str">
        <f>SUMIFS(Transaksi!J:J, Transaksi!E:E, $C83, Transaksi!F:F, "Barang Datang")+SUMIFS(Transaksi!J:J, Transaksi!E:E,$C83,Transaksi!F:F,"Retur Penjualan")</f>
        <v>0</v>
      </c>
      <c r="F83" s="7" t="str">
        <f>SUMIFS(Transaksi!K:K, Transaksi!E:E, $C83, Transaksi!F:F, "Barang Datang")
+
SUMIFS(Transaksi!K:K, Transaksi!E:E, $C83, Transaksi!F:F, "Retur penjualan")+SUMIFS(Transaksi!K:K, Transaksi!E:E, $C83, Transaksi!F:F,"Rusak Internal")</f>
        <v>0</v>
      </c>
      <c r="G83" s="7" t="str">
        <f>SUMIFS(Transaksi!I:I, Transaksi!E:E, $C83, Transaksi!F:F, "Terjual")
+
SUMIFS(Transaksi!J:J, Transaksi!E:E, $C83, Transaksi!F:F, "Retur Pembelian")+SUMIFS(Transaksi!I:I, Transaksi!E:E, $C83, Transaksi!F:F, "Dipakai Sendiri")</f>
        <v>0</v>
      </c>
      <c r="H83" s="15" t="str">
        <f t="shared" si="2"/>
        <v>47</v>
      </c>
      <c r="I83" s="15" t="str">
        <f t="shared" si="3"/>
        <v/>
      </c>
      <c r="J83" s="7"/>
      <c r="K83" s="7">
        <v>10000.0</v>
      </c>
    </row>
    <row r="84" ht="15.75" customHeight="1">
      <c r="A84" s="5" t="str">
        <f t="shared" si="1"/>
        <v>83</v>
      </c>
      <c r="B84" s="7" t="s">
        <v>189</v>
      </c>
      <c r="C84" s="7" t="s">
        <v>190</v>
      </c>
      <c r="D84" s="7">
        <v>92.0</v>
      </c>
      <c r="E84" s="7" t="str">
        <f>SUMIFS(Transaksi!J:J, Transaksi!E:E, $C84, Transaksi!F:F, "Barang Datang")+SUMIFS(Transaksi!J:J, Transaksi!E:E,$C84,Transaksi!F:F,"Retur Penjualan")</f>
        <v>0</v>
      </c>
      <c r="F84" s="7" t="str">
        <f>SUMIFS(Transaksi!K:K, Transaksi!E:E, $C84, Transaksi!F:F, "Barang Datang")
+
SUMIFS(Transaksi!K:K, Transaksi!E:E, $C84, Transaksi!F:F, "Retur penjualan")+SUMIFS(Transaksi!K:K, Transaksi!E:E, $C84, Transaksi!F:F,"Rusak Internal")</f>
        <v>0</v>
      </c>
      <c r="G84" s="7" t="str">
        <f>SUMIFS(Transaksi!I:I, Transaksi!E:E, $C84, Transaksi!F:F, "Terjual")
+
SUMIFS(Transaksi!J:J, Transaksi!E:E, $C84, Transaksi!F:F, "Retur Pembelian")+SUMIFS(Transaksi!I:I, Transaksi!E:E, $C84, Transaksi!F:F, "Dipakai Sendiri")</f>
        <v>0</v>
      </c>
      <c r="H84" s="15" t="str">
        <f t="shared" si="2"/>
        <v>92</v>
      </c>
      <c r="I84" s="15" t="str">
        <f t="shared" si="3"/>
        <v/>
      </c>
      <c r="J84" s="7"/>
      <c r="K84" s="7">
        <v>5000.0</v>
      </c>
    </row>
    <row r="85" ht="15.75" customHeight="1">
      <c r="A85" s="5" t="str">
        <f t="shared" si="1"/>
        <v>84</v>
      </c>
      <c r="B85" s="7" t="s">
        <v>191</v>
      </c>
      <c r="C85" s="7" t="s">
        <v>192</v>
      </c>
      <c r="D85" s="7">
        <v>64.0</v>
      </c>
      <c r="E85" s="7" t="str">
        <f>SUMIFS(Transaksi!J:J, Transaksi!E:E, $C85, Transaksi!F:F, "Barang Datang")+SUMIFS(Transaksi!J:J, Transaksi!E:E,$C85,Transaksi!F:F,"Retur Penjualan")</f>
        <v>0</v>
      </c>
      <c r="F85" s="7" t="str">
        <f>SUMIFS(Transaksi!K:K, Transaksi!E:E, $C85, Transaksi!F:F, "Barang Datang")
+
SUMIFS(Transaksi!K:K, Transaksi!E:E, $C85, Transaksi!F:F, "Retur penjualan")+SUMIFS(Transaksi!K:K, Transaksi!E:E, $C85, Transaksi!F:F,"Rusak Internal")</f>
        <v>0</v>
      </c>
      <c r="G85" s="7" t="str">
        <f>SUMIFS(Transaksi!I:I, Transaksi!E:E, $C85, Transaksi!F:F, "Terjual")
+
SUMIFS(Transaksi!J:J, Transaksi!E:E, $C85, Transaksi!F:F, "Retur Pembelian")+SUMIFS(Transaksi!I:I, Transaksi!E:E, $C85, Transaksi!F:F, "Dipakai Sendiri")</f>
        <v>0</v>
      </c>
      <c r="H85" s="15" t="str">
        <f t="shared" si="2"/>
        <v>64</v>
      </c>
      <c r="I85" s="15" t="str">
        <f t="shared" si="3"/>
        <v/>
      </c>
      <c r="J85" s="7"/>
      <c r="K85" s="7">
        <v>30000.0</v>
      </c>
    </row>
    <row r="86" ht="15.75" customHeight="1">
      <c r="A86" s="5" t="str">
        <f t="shared" si="1"/>
        <v>85</v>
      </c>
      <c r="B86" s="7" t="s">
        <v>193</v>
      </c>
      <c r="C86" s="7" t="s">
        <v>194</v>
      </c>
      <c r="D86" s="7">
        <v>59.0</v>
      </c>
      <c r="E86" s="7" t="str">
        <f>SUMIFS(Transaksi!J:J, Transaksi!E:E, $C86, Transaksi!F:F, "Barang Datang")+SUMIFS(Transaksi!J:J, Transaksi!E:E,$C86,Transaksi!F:F,"Retur Penjualan")</f>
        <v>0</v>
      </c>
      <c r="F86" s="7" t="str">
        <f>SUMIFS(Transaksi!K:K, Transaksi!E:E, $C86, Transaksi!F:F, "Barang Datang")
+
SUMIFS(Transaksi!K:K, Transaksi!E:E, $C86, Transaksi!F:F, "Retur penjualan")+SUMIFS(Transaksi!K:K, Transaksi!E:E, $C86, Transaksi!F:F,"Rusak Internal")</f>
        <v>0</v>
      </c>
      <c r="G86" s="7" t="str">
        <f>SUMIFS(Transaksi!I:I, Transaksi!E:E, $C86, Transaksi!F:F, "Terjual")
+
SUMIFS(Transaksi!J:J, Transaksi!E:E, $C86, Transaksi!F:F, "Retur Pembelian")+SUMIFS(Transaksi!I:I, Transaksi!E:E, $C86, Transaksi!F:F, "Dipakai Sendiri")</f>
        <v>0</v>
      </c>
      <c r="H86" s="15" t="str">
        <f t="shared" si="2"/>
        <v>59</v>
      </c>
      <c r="I86" s="15" t="str">
        <f t="shared" si="3"/>
        <v/>
      </c>
      <c r="J86" s="7"/>
      <c r="K86" s="7">
        <v>5000.0</v>
      </c>
    </row>
    <row r="87" ht="15.75" customHeight="1">
      <c r="A87" s="5" t="str">
        <f t="shared" si="1"/>
        <v>86</v>
      </c>
      <c r="B87" s="7" t="s">
        <v>195</v>
      </c>
      <c r="C87" s="7" t="s">
        <v>196</v>
      </c>
      <c r="D87" s="7">
        <v>75.0</v>
      </c>
      <c r="E87" s="7" t="str">
        <f>SUMIFS(Transaksi!J:J, Transaksi!E:E, $C87, Transaksi!F:F, "Barang Datang")+SUMIFS(Transaksi!J:J, Transaksi!E:E,$C87,Transaksi!F:F,"Retur Penjualan")</f>
        <v>0</v>
      </c>
      <c r="F87" s="7" t="str">
        <f>SUMIFS(Transaksi!K:K, Transaksi!E:E, $C87, Transaksi!F:F, "Barang Datang")
+
SUMIFS(Transaksi!K:K, Transaksi!E:E, $C87, Transaksi!F:F, "Retur penjualan")+SUMIFS(Transaksi!K:K, Transaksi!E:E, $C87, Transaksi!F:F,"Rusak Internal")</f>
        <v>0</v>
      </c>
      <c r="G87" s="7" t="str">
        <f>SUMIFS(Transaksi!I:I, Transaksi!E:E, $C87, Transaksi!F:F, "Terjual")
+
SUMIFS(Transaksi!J:J, Transaksi!E:E, $C87, Transaksi!F:F, "Retur Pembelian")+SUMIFS(Transaksi!I:I, Transaksi!E:E, $C87, Transaksi!F:F, "Dipakai Sendiri")</f>
        <v>0</v>
      </c>
      <c r="H87" s="15" t="str">
        <f t="shared" si="2"/>
        <v>75</v>
      </c>
      <c r="I87" s="15" t="str">
        <f t="shared" si="3"/>
        <v/>
      </c>
      <c r="J87" s="7"/>
      <c r="K87" s="7">
        <v>30000.0</v>
      </c>
    </row>
    <row r="88" ht="15.75" customHeight="1">
      <c r="A88" s="5" t="str">
        <f t="shared" si="1"/>
        <v>87</v>
      </c>
      <c r="B88" s="7" t="s">
        <v>197</v>
      </c>
      <c r="C88" s="7" t="s">
        <v>198</v>
      </c>
      <c r="D88" s="7">
        <v>49.0</v>
      </c>
      <c r="E88" s="7" t="str">
        <f>SUMIFS(Transaksi!J:J, Transaksi!E:E, $C88, Transaksi!F:F, "Barang Datang")+SUMIFS(Transaksi!J:J, Transaksi!E:E,$C88,Transaksi!F:F,"Retur Penjualan")</f>
        <v>0</v>
      </c>
      <c r="F88" s="7" t="str">
        <f>SUMIFS(Transaksi!K:K, Transaksi!E:E, $C88, Transaksi!F:F, "Barang Datang")
+
SUMIFS(Transaksi!K:K, Transaksi!E:E, $C88, Transaksi!F:F, "Retur penjualan")+SUMIFS(Transaksi!K:K, Transaksi!E:E, $C88, Transaksi!F:F,"Rusak Internal")</f>
        <v>0</v>
      </c>
      <c r="G88" s="7" t="str">
        <f>SUMIFS(Transaksi!I:I, Transaksi!E:E, $C88, Transaksi!F:F, "Terjual")
+
SUMIFS(Transaksi!J:J, Transaksi!E:E, $C88, Transaksi!F:F, "Retur Pembelian")+SUMIFS(Transaksi!I:I, Transaksi!E:E, $C88, Transaksi!F:F, "Dipakai Sendiri")</f>
        <v>0</v>
      </c>
      <c r="H88" s="15" t="str">
        <f t="shared" si="2"/>
        <v>49</v>
      </c>
      <c r="I88" s="15" t="str">
        <f t="shared" si="3"/>
        <v/>
      </c>
      <c r="J88" s="7"/>
      <c r="K88" s="7">
        <v>30000.0</v>
      </c>
    </row>
    <row r="89" ht="15.75" customHeight="1">
      <c r="A89" s="5" t="str">
        <f t="shared" si="1"/>
        <v>88</v>
      </c>
      <c r="B89" s="7" t="s">
        <v>199</v>
      </c>
      <c r="C89" s="7" t="s">
        <v>200</v>
      </c>
      <c r="D89" s="7">
        <v>66.0</v>
      </c>
      <c r="E89" s="7" t="str">
        <f>SUMIFS(Transaksi!J:J, Transaksi!E:E, $C89, Transaksi!F:F, "Barang Datang")+SUMIFS(Transaksi!J:J, Transaksi!E:E,$C89,Transaksi!F:F,"Retur Penjualan")</f>
        <v>0</v>
      </c>
      <c r="F89" s="7" t="str">
        <f>SUMIFS(Transaksi!K:K, Transaksi!E:E, $C89, Transaksi!F:F, "Barang Datang")
+
SUMIFS(Transaksi!K:K, Transaksi!E:E, $C89, Transaksi!F:F, "Retur penjualan")+SUMIFS(Transaksi!K:K, Transaksi!E:E, $C89, Transaksi!F:F,"Rusak Internal")</f>
        <v>0</v>
      </c>
      <c r="G89" s="7" t="str">
        <f>SUMIFS(Transaksi!I:I, Transaksi!E:E, $C89, Transaksi!F:F, "Terjual")
+
SUMIFS(Transaksi!J:J, Transaksi!E:E, $C89, Transaksi!F:F, "Retur Pembelian")+SUMIFS(Transaksi!I:I, Transaksi!E:E, $C89, Transaksi!F:F, "Dipakai Sendiri")</f>
        <v>0</v>
      </c>
      <c r="H89" s="15" t="str">
        <f t="shared" si="2"/>
        <v>66</v>
      </c>
      <c r="I89" s="15" t="str">
        <f t="shared" si="3"/>
        <v/>
      </c>
      <c r="J89" s="7"/>
      <c r="K89" s="7">
        <v>30000.0</v>
      </c>
    </row>
    <row r="90" ht="15.75" customHeight="1">
      <c r="A90" s="5" t="str">
        <f t="shared" si="1"/>
        <v>89</v>
      </c>
      <c r="B90" s="7" t="s">
        <v>201</v>
      </c>
      <c r="C90" s="7" t="s">
        <v>202</v>
      </c>
      <c r="D90" s="7">
        <v>90.0</v>
      </c>
      <c r="E90" s="7" t="str">
        <f>SUMIFS(Transaksi!J:J, Transaksi!E:E, $C90, Transaksi!F:F, "Barang Datang")+SUMIFS(Transaksi!J:J, Transaksi!E:E,$C90,Transaksi!F:F,"Retur Penjualan")</f>
        <v>0</v>
      </c>
      <c r="F90" s="7" t="str">
        <f>SUMIFS(Transaksi!K:K, Transaksi!E:E, $C90, Transaksi!F:F, "Barang Datang")
+
SUMIFS(Transaksi!K:K, Transaksi!E:E, $C90, Transaksi!F:F, "Retur penjualan")+SUMIFS(Transaksi!K:K, Transaksi!E:E, $C90, Transaksi!F:F,"Rusak Internal")</f>
        <v>0</v>
      </c>
      <c r="G90" s="7" t="str">
        <f>SUMIFS(Transaksi!I:I, Transaksi!E:E, $C90, Transaksi!F:F, "Terjual")
+
SUMIFS(Transaksi!J:J, Transaksi!E:E, $C90, Transaksi!F:F, "Retur Pembelian")+SUMIFS(Transaksi!I:I, Transaksi!E:E, $C90, Transaksi!F:F, "Dipakai Sendiri")</f>
        <v>0</v>
      </c>
      <c r="H90" s="15" t="str">
        <f t="shared" si="2"/>
        <v>90</v>
      </c>
      <c r="I90" s="15" t="str">
        <f t="shared" si="3"/>
        <v/>
      </c>
      <c r="J90" s="7"/>
      <c r="K90" s="7">
        <v>5000.0</v>
      </c>
    </row>
    <row r="91" ht="15.75" customHeight="1">
      <c r="A91" s="5" t="str">
        <f t="shared" si="1"/>
        <v>90</v>
      </c>
      <c r="B91" s="7" t="s">
        <v>203</v>
      </c>
      <c r="C91" s="7" t="s">
        <v>204</v>
      </c>
      <c r="D91" s="7">
        <v>54.0</v>
      </c>
      <c r="E91" s="7" t="str">
        <f>SUMIFS(Transaksi!J:J, Transaksi!E:E, $C91, Transaksi!F:F, "Barang Datang")+SUMIFS(Transaksi!J:J, Transaksi!E:E,$C91,Transaksi!F:F,"Retur Penjualan")</f>
        <v>0</v>
      </c>
      <c r="F91" s="7" t="str">
        <f>SUMIFS(Transaksi!K:K, Transaksi!E:E, $C91, Transaksi!F:F, "Barang Datang")
+
SUMIFS(Transaksi!K:K, Transaksi!E:E, $C91, Transaksi!F:F, "Retur penjualan")+SUMIFS(Transaksi!K:K, Transaksi!E:E, $C91, Transaksi!F:F,"Rusak Internal")</f>
        <v>0</v>
      </c>
      <c r="G91" s="7" t="str">
        <f>SUMIFS(Transaksi!I:I, Transaksi!E:E, $C91, Transaksi!F:F, "Terjual")
+
SUMIFS(Transaksi!J:J, Transaksi!E:E, $C91, Transaksi!F:F, "Retur Pembelian")+SUMIFS(Transaksi!I:I, Transaksi!E:E, $C91, Transaksi!F:F, "Dipakai Sendiri")</f>
        <v>0</v>
      </c>
      <c r="H91" s="15" t="str">
        <f t="shared" si="2"/>
        <v>54</v>
      </c>
      <c r="I91" s="15" t="str">
        <f t="shared" si="3"/>
        <v/>
      </c>
      <c r="J91" s="7"/>
      <c r="K91" s="7">
        <v>20000.0</v>
      </c>
    </row>
    <row r="92" ht="15.75" customHeight="1">
      <c r="A92" s="5" t="str">
        <f t="shared" si="1"/>
        <v>91</v>
      </c>
      <c r="B92" s="7" t="s">
        <v>205</v>
      </c>
      <c r="C92" s="7" t="s">
        <v>206</v>
      </c>
      <c r="D92" s="7">
        <v>46.0</v>
      </c>
      <c r="E92" s="7" t="str">
        <f>SUMIFS(Transaksi!J:J, Transaksi!E:E, $C92, Transaksi!F:F, "Barang Datang")+SUMIFS(Transaksi!J:J, Transaksi!E:E,$C92,Transaksi!F:F,"Retur Penjualan")</f>
        <v>0</v>
      </c>
      <c r="F92" s="7" t="str">
        <f>SUMIFS(Transaksi!K:K, Transaksi!E:E, $C92, Transaksi!F:F, "Barang Datang")
+
SUMIFS(Transaksi!K:K, Transaksi!E:E, $C92, Transaksi!F:F, "Retur penjualan")+SUMIFS(Transaksi!K:K, Transaksi!E:E, $C92, Transaksi!F:F,"Rusak Internal")</f>
        <v>0</v>
      </c>
      <c r="G92" s="7" t="str">
        <f>SUMIFS(Transaksi!I:I, Transaksi!E:E, $C92, Transaksi!F:F, "Terjual")
+
SUMIFS(Transaksi!J:J, Transaksi!E:E, $C92, Transaksi!F:F, "Retur Pembelian")+SUMIFS(Transaksi!I:I, Transaksi!E:E, $C92, Transaksi!F:F, "Dipakai Sendiri")</f>
        <v>0</v>
      </c>
      <c r="H92" s="15" t="str">
        <f t="shared" si="2"/>
        <v>46</v>
      </c>
      <c r="I92" s="15" t="str">
        <f t="shared" si="3"/>
        <v/>
      </c>
      <c r="J92" s="7"/>
      <c r="K92" s="7">
        <v>45000.0</v>
      </c>
    </row>
    <row r="93" ht="15.75" customHeight="1">
      <c r="A93" s="5" t="str">
        <f t="shared" si="1"/>
        <v>92</v>
      </c>
      <c r="B93" s="7" t="s">
        <v>207</v>
      </c>
      <c r="C93" s="7" t="s">
        <v>208</v>
      </c>
      <c r="D93" s="7">
        <v>67.0</v>
      </c>
      <c r="E93" s="7" t="str">
        <f>SUMIFS(Transaksi!J:J, Transaksi!E:E, $C93, Transaksi!F:F, "Barang Datang")+SUMIFS(Transaksi!J:J, Transaksi!E:E,$C93,Transaksi!F:F,"Retur Penjualan")</f>
        <v>0</v>
      </c>
      <c r="F93" s="7" t="str">
        <f>SUMIFS(Transaksi!K:K, Transaksi!E:E, $C93, Transaksi!F:F, "Barang Datang")
+
SUMIFS(Transaksi!K:K, Transaksi!E:E, $C93, Transaksi!F:F, "Retur penjualan")+SUMIFS(Transaksi!K:K, Transaksi!E:E, $C93, Transaksi!F:F,"Rusak Internal")</f>
        <v>0</v>
      </c>
      <c r="G93" s="7" t="str">
        <f>SUMIFS(Transaksi!I:I, Transaksi!E:E, $C93, Transaksi!F:F, "Terjual")
+
SUMIFS(Transaksi!J:J, Transaksi!E:E, $C93, Transaksi!F:F, "Retur Pembelian")+SUMIFS(Transaksi!I:I, Transaksi!E:E, $C93, Transaksi!F:F, "Dipakai Sendiri")</f>
        <v>0</v>
      </c>
      <c r="H93" s="15" t="str">
        <f t="shared" si="2"/>
        <v>67</v>
      </c>
      <c r="I93" s="15" t="str">
        <f t="shared" si="3"/>
        <v/>
      </c>
      <c r="J93" s="7"/>
      <c r="K93" s="7">
        <v>30000.0</v>
      </c>
    </row>
    <row r="94" ht="15.75" customHeight="1">
      <c r="A94" s="5" t="str">
        <f t="shared" si="1"/>
        <v>93</v>
      </c>
      <c r="B94" s="7" t="s">
        <v>209</v>
      </c>
      <c r="C94" s="7" t="s">
        <v>210</v>
      </c>
      <c r="D94" s="7">
        <v>70.0</v>
      </c>
      <c r="E94" s="7" t="str">
        <f>SUMIFS(Transaksi!J:J, Transaksi!E:E, $C94, Transaksi!F:F, "Barang Datang")+SUMIFS(Transaksi!J:J, Transaksi!E:E,$C94,Transaksi!F:F,"Retur Penjualan")</f>
        <v>0</v>
      </c>
      <c r="F94" s="7" t="str">
        <f>SUMIFS(Transaksi!K:K, Transaksi!E:E, $C94, Transaksi!F:F, "Barang Datang")
+
SUMIFS(Transaksi!K:K, Transaksi!E:E, $C94, Transaksi!F:F, "Retur penjualan")+SUMIFS(Transaksi!K:K, Transaksi!E:E, $C94, Transaksi!F:F,"Rusak Internal")</f>
        <v>0</v>
      </c>
      <c r="G94" s="7" t="str">
        <f>SUMIFS(Transaksi!I:I, Transaksi!E:E, $C94, Transaksi!F:F, "Terjual")
+
SUMIFS(Transaksi!J:J, Transaksi!E:E, $C94, Transaksi!F:F, "Retur Pembelian")+SUMIFS(Transaksi!I:I, Transaksi!E:E, $C94, Transaksi!F:F, "Dipakai Sendiri")</f>
        <v>0</v>
      </c>
      <c r="H94" s="15" t="str">
        <f t="shared" si="2"/>
        <v>70</v>
      </c>
      <c r="I94" s="15" t="str">
        <f t="shared" si="3"/>
        <v/>
      </c>
      <c r="J94" s="7"/>
      <c r="K94" s="7">
        <v>35000.0</v>
      </c>
    </row>
    <row r="95" ht="15.75" customHeight="1">
      <c r="A95" s="5" t="str">
        <f t="shared" si="1"/>
        <v>94</v>
      </c>
      <c r="B95" s="7" t="s">
        <v>211</v>
      </c>
      <c r="C95" s="7" t="s">
        <v>212</v>
      </c>
      <c r="D95" s="7">
        <v>49.0</v>
      </c>
      <c r="E95" s="7" t="str">
        <f>SUMIFS(Transaksi!J:J, Transaksi!E:E, $C95, Transaksi!F:F, "Barang Datang")+SUMIFS(Transaksi!J:J, Transaksi!E:E,$C95,Transaksi!F:F,"Retur Penjualan")</f>
        <v>0</v>
      </c>
      <c r="F95" s="7" t="str">
        <f>SUMIFS(Transaksi!K:K, Transaksi!E:E, $C95, Transaksi!F:F, "Barang Datang")
+
SUMIFS(Transaksi!K:K, Transaksi!E:E, $C95, Transaksi!F:F, "Retur penjualan")+SUMIFS(Transaksi!K:K, Transaksi!E:E, $C95, Transaksi!F:F,"Rusak Internal")</f>
        <v>0</v>
      </c>
      <c r="G95" s="7" t="str">
        <f>SUMIFS(Transaksi!I:I, Transaksi!E:E, $C95, Transaksi!F:F, "Terjual")
+
SUMIFS(Transaksi!J:J, Transaksi!E:E, $C95, Transaksi!F:F, "Retur Pembelian")+SUMIFS(Transaksi!I:I, Transaksi!E:E, $C95, Transaksi!F:F, "Dipakai Sendiri")</f>
        <v>0</v>
      </c>
      <c r="H95" s="15" t="str">
        <f t="shared" si="2"/>
        <v>49</v>
      </c>
      <c r="I95" s="15" t="str">
        <f t="shared" si="3"/>
        <v/>
      </c>
      <c r="J95" s="7"/>
      <c r="K95" s="7">
        <v>15000.0</v>
      </c>
    </row>
    <row r="96" ht="15.75" customHeight="1">
      <c r="A96" s="5" t="str">
        <f t="shared" si="1"/>
        <v>95</v>
      </c>
      <c r="B96" s="7" t="s">
        <v>213</v>
      </c>
      <c r="C96" s="7" t="s">
        <v>214</v>
      </c>
      <c r="D96" s="7">
        <v>35.0</v>
      </c>
      <c r="E96" s="7" t="str">
        <f>SUMIFS(Transaksi!J:J, Transaksi!E:E, $C96, Transaksi!F:F, "Barang Datang")+SUMIFS(Transaksi!J:J, Transaksi!E:E,$C96,Transaksi!F:F,"Retur Penjualan")</f>
        <v>0</v>
      </c>
      <c r="F96" s="7" t="str">
        <f>SUMIFS(Transaksi!K:K, Transaksi!E:E, $C96, Transaksi!F:F, "Barang Datang")
+
SUMIFS(Transaksi!K:K, Transaksi!E:E, $C96, Transaksi!F:F, "Retur penjualan")+SUMIFS(Transaksi!K:K, Transaksi!E:E, $C96, Transaksi!F:F,"Rusak Internal")</f>
        <v>0</v>
      </c>
      <c r="G96" s="7" t="str">
        <f>SUMIFS(Transaksi!I:I, Transaksi!E:E, $C96, Transaksi!F:F, "Terjual")
+
SUMIFS(Transaksi!J:J, Transaksi!E:E, $C96, Transaksi!F:F, "Retur Pembelian")+SUMIFS(Transaksi!I:I, Transaksi!E:E, $C96, Transaksi!F:F, "Dipakai Sendiri")</f>
        <v>0</v>
      </c>
      <c r="H96" s="15" t="str">
        <f t="shared" si="2"/>
        <v>35</v>
      </c>
      <c r="I96" s="15" t="str">
        <f t="shared" si="3"/>
        <v/>
      </c>
      <c r="J96" s="7"/>
      <c r="K96" s="7">
        <v>35000.0</v>
      </c>
    </row>
    <row r="97" ht="15.75" customHeight="1">
      <c r="A97" s="5" t="str">
        <f t="shared" si="1"/>
        <v>96</v>
      </c>
      <c r="B97" s="7" t="s">
        <v>215</v>
      </c>
      <c r="C97" s="7" t="s">
        <v>216</v>
      </c>
      <c r="D97" s="7">
        <v>69.0</v>
      </c>
      <c r="E97" s="7" t="str">
        <f>SUMIFS(Transaksi!J:J, Transaksi!E:E, $C97, Transaksi!F:F, "Barang Datang")+SUMIFS(Transaksi!J:J, Transaksi!E:E,$C97,Transaksi!F:F,"Retur Penjualan")</f>
        <v>0</v>
      </c>
      <c r="F97" s="7" t="str">
        <f>SUMIFS(Transaksi!K:K, Transaksi!E:E, $C97, Transaksi!F:F, "Barang Datang")
+
SUMIFS(Transaksi!K:K, Transaksi!E:E, $C97, Transaksi!F:F, "Retur penjualan")+SUMIFS(Transaksi!K:K, Transaksi!E:E, $C97, Transaksi!F:F,"Rusak Internal")</f>
        <v>0</v>
      </c>
      <c r="G97" s="7" t="str">
        <f>SUMIFS(Transaksi!I:I, Transaksi!E:E, $C97, Transaksi!F:F, "Terjual")
+
SUMIFS(Transaksi!J:J, Transaksi!E:E, $C97, Transaksi!F:F, "Retur Pembelian")+SUMIFS(Transaksi!I:I, Transaksi!E:E, $C97, Transaksi!F:F, "Dipakai Sendiri")</f>
        <v>0</v>
      </c>
      <c r="H97" s="15" t="str">
        <f t="shared" si="2"/>
        <v>69</v>
      </c>
      <c r="I97" s="15" t="str">
        <f t="shared" si="3"/>
        <v/>
      </c>
      <c r="J97" s="7"/>
      <c r="K97" s="7">
        <v>25000.0</v>
      </c>
    </row>
    <row r="98" ht="15.75" customHeight="1">
      <c r="A98" s="5" t="str">
        <f t="shared" si="1"/>
        <v>97</v>
      </c>
      <c r="B98" s="7" t="s">
        <v>217</v>
      </c>
      <c r="C98" s="7" t="s">
        <v>218</v>
      </c>
      <c r="D98" s="7">
        <v>30.0</v>
      </c>
      <c r="E98" s="7" t="str">
        <f>SUMIFS(Transaksi!J:J, Transaksi!E:E, $C98, Transaksi!F:F, "Barang Datang")+SUMIFS(Transaksi!J:J, Transaksi!E:E,$C98,Transaksi!F:F,"Retur Penjualan")</f>
        <v>0</v>
      </c>
      <c r="F98" s="7" t="str">
        <f>SUMIFS(Transaksi!K:K, Transaksi!E:E, $C98, Transaksi!F:F, "Barang Datang")
+
SUMIFS(Transaksi!K:K, Transaksi!E:E, $C98, Transaksi!F:F, "Retur penjualan")+SUMIFS(Transaksi!K:K, Transaksi!E:E, $C98, Transaksi!F:F,"Rusak Internal")</f>
        <v>0</v>
      </c>
      <c r="G98" s="7" t="str">
        <f>SUMIFS(Transaksi!I:I, Transaksi!E:E, $C98, Transaksi!F:F, "Terjual")
+
SUMIFS(Transaksi!J:J, Transaksi!E:E, $C98, Transaksi!F:F, "Retur Pembelian")+SUMIFS(Transaksi!I:I, Transaksi!E:E, $C98, Transaksi!F:F, "Dipakai Sendiri")</f>
        <v>0</v>
      </c>
      <c r="H98" s="15" t="str">
        <f t="shared" si="2"/>
        <v>30</v>
      </c>
      <c r="I98" s="15" t="str">
        <f t="shared" si="3"/>
        <v/>
      </c>
      <c r="J98" s="7"/>
      <c r="K98" s="7">
        <v>10000.0</v>
      </c>
    </row>
    <row r="99" ht="15.75" customHeight="1">
      <c r="A99" s="5" t="str">
        <f t="shared" si="1"/>
        <v>98</v>
      </c>
      <c r="B99" s="7" t="s">
        <v>219</v>
      </c>
      <c r="C99" s="7" t="s">
        <v>220</v>
      </c>
      <c r="D99" s="7">
        <v>51.0</v>
      </c>
      <c r="E99" s="7" t="str">
        <f>SUMIFS(Transaksi!J:J, Transaksi!E:E, $C99, Transaksi!F:F, "Barang Datang")+SUMIFS(Transaksi!J:J, Transaksi!E:E,$C99,Transaksi!F:F,"Retur Penjualan")</f>
        <v>0</v>
      </c>
      <c r="F99" s="7" t="str">
        <f>SUMIFS(Transaksi!K:K, Transaksi!E:E, $C99, Transaksi!F:F, "Barang Datang")
+
SUMIFS(Transaksi!K:K, Transaksi!E:E, $C99, Transaksi!F:F, "Retur penjualan")+SUMIFS(Transaksi!K:K, Transaksi!E:E, $C99, Transaksi!F:F,"Rusak Internal")</f>
        <v>0</v>
      </c>
      <c r="G99" s="7" t="str">
        <f>SUMIFS(Transaksi!I:I, Transaksi!E:E, $C99, Transaksi!F:F, "Terjual")
+
SUMIFS(Transaksi!J:J, Transaksi!E:E, $C99, Transaksi!F:F, "Retur Pembelian")+SUMIFS(Transaksi!I:I, Transaksi!E:E, $C99, Transaksi!F:F, "Dipakai Sendiri")</f>
        <v>0</v>
      </c>
      <c r="H99" s="15" t="str">
        <f t="shared" si="2"/>
        <v>51</v>
      </c>
      <c r="I99" s="15" t="str">
        <f t="shared" si="3"/>
        <v/>
      </c>
      <c r="J99" s="7"/>
      <c r="K99" s="7">
        <v>20000.0</v>
      </c>
    </row>
    <row r="100" ht="15.75" customHeight="1">
      <c r="A100" s="5" t="str">
        <f t="shared" si="1"/>
        <v>99</v>
      </c>
      <c r="B100" s="7" t="s">
        <v>221</v>
      </c>
      <c r="C100" s="7" t="s">
        <v>222</v>
      </c>
      <c r="D100" s="7">
        <v>55.0</v>
      </c>
      <c r="E100" s="7" t="str">
        <f>SUMIFS(Transaksi!J:J, Transaksi!E:E, $C100, Transaksi!F:F, "Barang Datang")+SUMIFS(Transaksi!J:J, Transaksi!E:E,$C100,Transaksi!F:F,"Retur Penjualan")</f>
        <v>0</v>
      </c>
      <c r="F100" s="7" t="str">
        <f>SUMIFS(Transaksi!K:K, Transaksi!E:E, $C100, Transaksi!F:F, "Barang Datang")
+
SUMIFS(Transaksi!K:K, Transaksi!E:E, $C100, Transaksi!F:F, "Retur penjualan")+SUMIFS(Transaksi!K:K, Transaksi!E:E, $C100, Transaksi!F:F,"Rusak Internal")</f>
        <v>0</v>
      </c>
      <c r="G100" s="7" t="str">
        <f>SUMIFS(Transaksi!I:I, Transaksi!E:E, $C100, Transaksi!F:F, "Terjual")
+
SUMIFS(Transaksi!J:J, Transaksi!E:E, $C100, Transaksi!F:F, "Retur Pembelian")+SUMIFS(Transaksi!I:I, Transaksi!E:E, $C100, Transaksi!F:F, "Dipakai Sendiri")</f>
        <v>0</v>
      </c>
      <c r="H100" s="15" t="str">
        <f t="shared" si="2"/>
        <v>55</v>
      </c>
      <c r="I100" s="15" t="str">
        <f t="shared" si="3"/>
        <v/>
      </c>
      <c r="J100" s="7"/>
      <c r="K100" s="7">
        <v>30000.0</v>
      </c>
    </row>
    <row r="101" ht="15.75" customHeight="1">
      <c r="A101" s="5" t="str">
        <f t="shared" si="1"/>
        <v>100</v>
      </c>
      <c r="B101" s="7" t="s">
        <v>223</v>
      </c>
      <c r="C101" s="7" t="s">
        <v>224</v>
      </c>
      <c r="D101" s="7">
        <v>41.0</v>
      </c>
      <c r="E101" s="7" t="str">
        <f>SUMIFS(Transaksi!J:J, Transaksi!E:E, $C101, Transaksi!F:F, "Barang Datang")+SUMIFS(Transaksi!J:J, Transaksi!E:E,$C101,Transaksi!F:F,"Retur Penjualan")</f>
        <v>0</v>
      </c>
      <c r="F101" s="7" t="str">
        <f>SUMIFS(Transaksi!K:K, Transaksi!E:E, $C101, Transaksi!F:F, "Barang Datang")
+
SUMIFS(Transaksi!K:K, Transaksi!E:E, $C101, Transaksi!F:F, "Retur penjualan")+SUMIFS(Transaksi!K:K, Transaksi!E:E, $C101, Transaksi!F:F,"Rusak Internal")</f>
        <v>0</v>
      </c>
      <c r="G101" s="7" t="str">
        <f>SUMIFS(Transaksi!I:I, Transaksi!E:E, $C101, Transaksi!F:F, "Terjual")
+
SUMIFS(Transaksi!J:J, Transaksi!E:E, $C101, Transaksi!F:F, "Retur Pembelian")+SUMIFS(Transaksi!I:I, Transaksi!E:E, $C101, Transaksi!F:F, "Dipakai Sendiri")</f>
        <v>0</v>
      </c>
      <c r="H101" s="15" t="str">
        <f t="shared" si="2"/>
        <v>41</v>
      </c>
      <c r="I101" s="15" t="str">
        <f t="shared" si="3"/>
        <v/>
      </c>
      <c r="J101" s="7"/>
      <c r="K101" s="7">
        <v>35000.0</v>
      </c>
    </row>
    <row r="102" ht="15.75" customHeight="1">
      <c r="A102" s="5" t="str">
        <f t="shared" si="1"/>
        <v>101</v>
      </c>
      <c r="B102" s="7" t="s">
        <v>225</v>
      </c>
      <c r="C102" s="7" t="s">
        <v>226</v>
      </c>
      <c r="D102" s="7">
        <v>55.0</v>
      </c>
      <c r="E102" s="7" t="str">
        <f>SUMIFS(Transaksi!J:J, Transaksi!E:E, $C102, Transaksi!F:F, "Barang Datang")+SUMIFS(Transaksi!J:J, Transaksi!E:E,$C102,Transaksi!F:F,"Retur Penjualan")</f>
        <v>0</v>
      </c>
      <c r="F102" s="7" t="str">
        <f>SUMIFS(Transaksi!K:K, Transaksi!E:E, $C102, Transaksi!F:F, "Barang Datang")
+
SUMIFS(Transaksi!K:K, Transaksi!E:E, $C102, Transaksi!F:F, "Retur penjualan")+SUMIFS(Transaksi!K:K, Transaksi!E:E, $C102, Transaksi!F:F,"Rusak Internal")</f>
        <v>0</v>
      </c>
      <c r="G102" s="7" t="str">
        <f>SUMIFS(Transaksi!I:I, Transaksi!E:E, $C102, Transaksi!F:F, "Terjual")
+
SUMIFS(Transaksi!J:J, Transaksi!E:E, $C102, Transaksi!F:F, "Retur Pembelian")+SUMIFS(Transaksi!I:I, Transaksi!E:E, $C102, Transaksi!F:F, "Dipakai Sendiri")</f>
        <v>0</v>
      </c>
      <c r="H102" s="15" t="str">
        <f t="shared" si="2"/>
        <v>55</v>
      </c>
      <c r="I102" s="15" t="str">
        <f t="shared" si="3"/>
        <v/>
      </c>
      <c r="J102" s="7"/>
      <c r="K102" s="7">
        <v>40000.0</v>
      </c>
    </row>
    <row r="103" ht="15.75" customHeight="1">
      <c r="A103" s="5" t="str">
        <f t="shared" si="1"/>
        <v>102</v>
      </c>
      <c r="B103" s="7" t="s">
        <v>227</v>
      </c>
      <c r="C103" s="7" t="s">
        <v>228</v>
      </c>
      <c r="D103" s="7">
        <v>30.0</v>
      </c>
      <c r="E103" s="7" t="str">
        <f>SUMIFS(Transaksi!J:J, Transaksi!E:E, $C103, Transaksi!F:F, "Barang Datang")+SUMIFS(Transaksi!J:J, Transaksi!E:E,$C103,Transaksi!F:F,"Retur Penjualan")</f>
        <v>0</v>
      </c>
      <c r="F103" s="7" t="str">
        <f>SUMIFS(Transaksi!K:K, Transaksi!E:E, $C103, Transaksi!F:F, "Barang Datang")
+
SUMIFS(Transaksi!K:K, Transaksi!E:E, $C103, Transaksi!F:F, "Retur penjualan")+SUMIFS(Transaksi!K:K, Transaksi!E:E, $C103, Transaksi!F:F,"Rusak Internal")</f>
        <v>0</v>
      </c>
      <c r="G103" s="7" t="str">
        <f>SUMIFS(Transaksi!I:I, Transaksi!E:E, $C103, Transaksi!F:F, "Terjual")
+
SUMIFS(Transaksi!J:J, Transaksi!E:E, $C103, Transaksi!F:F, "Retur Pembelian")+SUMIFS(Transaksi!I:I, Transaksi!E:E, $C103, Transaksi!F:F, "Dipakai Sendiri")</f>
        <v>0</v>
      </c>
      <c r="H103" s="15" t="str">
        <f t="shared" si="2"/>
        <v>30</v>
      </c>
      <c r="I103" s="15" t="str">
        <f t="shared" si="3"/>
        <v/>
      </c>
      <c r="J103" s="7"/>
      <c r="K103" s="7">
        <v>35000.0</v>
      </c>
    </row>
    <row r="104" ht="15.75" customHeight="1">
      <c r="A104" s="5" t="str">
        <f t="shared" si="1"/>
        <v>103</v>
      </c>
      <c r="B104" s="7" t="s">
        <v>229</v>
      </c>
      <c r="C104" s="7" t="s">
        <v>230</v>
      </c>
      <c r="D104" s="7">
        <v>40.0</v>
      </c>
      <c r="E104" s="7" t="str">
        <f>SUMIFS(Transaksi!J:J, Transaksi!E:E, $C104, Transaksi!F:F, "Barang Datang")+SUMIFS(Transaksi!J:J, Transaksi!E:E,$C104,Transaksi!F:F,"Retur Penjualan")</f>
        <v>0</v>
      </c>
      <c r="F104" s="7" t="str">
        <f>SUMIFS(Transaksi!K:K, Transaksi!E:E, $C104, Transaksi!F:F, "Barang Datang")
+
SUMIFS(Transaksi!K:K, Transaksi!E:E, $C104, Transaksi!F:F, "Retur penjualan")+SUMIFS(Transaksi!K:K, Transaksi!E:E, $C104, Transaksi!F:F,"Rusak Internal")</f>
        <v>0</v>
      </c>
      <c r="G104" s="7" t="str">
        <f>SUMIFS(Transaksi!I:I, Transaksi!E:E, $C104, Transaksi!F:F, "Terjual")
+
SUMIFS(Transaksi!J:J, Transaksi!E:E, $C104, Transaksi!F:F, "Retur Pembelian")+SUMIFS(Transaksi!I:I, Transaksi!E:E, $C104, Transaksi!F:F, "Dipakai Sendiri")</f>
        <v>0</v>
      </c>
      <c r="H104" s="15" t="str">
        <f t="shared" si="2"/>
        <v>40</v>
      </c>
      <c r="I104" s="15" t="str">
        <f t="shared" si="3"/>
        <v/>
      </c>
      <c r="J104" s="7"/>
      <c r="K104" s="7">
        <v>50000.0</v>
      </c>
    </row>
    <row r="105" ht="15.75" customHeight="1">
      <c r="A105" s="5" t="str">
        <f t="shared" si="1"/>
        <v>104</v>
      </c>
      <c r="B105" s="7" t="s">
        <v>20</v>
      </c>
      <c r="C105" s="7" t="s">
        <v>231</v>
      </c>
      <c r="D105" s="7">
        <v>86.0</v>
      </c>
      <c r="E105" s="7" t="str">
        <f>SUMIFS(Transaksi!J:J, Transaksi!E:E, $C105, Transaksi!F:F, "Barang Datang")+SUMIFS(Transaksi!J:J, Transaksi!E:E,$C105,Transaksi!F:F,"Retur Penjualan")</f>
        <v>0</v>
      </c>
      <c r="F105" s="7" t="str">
        <f>SUMIFS(Transaksi!K:K, Transaksi!E:E, $C105, Transaksi!F:F, "Barang Datang")
+
SUMIFS(Transaksi!K:K, Transaksi!E:E, $C105, Transaksi!F:F, "Retur penjualan")+SUMIFS(Transaksi!K:K, Transaksi!E:E, $C105, Transaksi!F:F,"Rusak Internal")</f>
        <v>0</v>
      </c>
      <c r="G105" s="7" t="str">
        <f>SUMIFS(Transaksi!I:I, Transaksi!E:E, $C105, Transaksi!F:F, "Terjual")
+
SUMIFS(Transaksi!J:J, Transaksi!E:E, $C105, Transaksi!F:F, "Retur Pembelian")+SUMIFS(Transaksi!I:I, Transaksi!E:E, $C105, Transaksi!F:F, "Dipakai Sendiri")</f>
        <v>0</v>
      </c>
      <c r="H105" s="15" t="str">
        <f t="shared" si="2"/>
        <v>86</v>
      </c>
      <c r="I105" s="15" t="str">
        <f t="shared" si="3"/>
        <v/>
      </c>
      <c r="J105" s="7"/>
      <c r="K105" s="7">
        <v>5000.0</v>
      </c>
    </row>
    <row r="106" ht="15.75" customHeight="1">
      <c r="A106" s="5" t="str">
        <f t="shared" si="1"/>
        <v>105</v>
      </c>
      <c r="B106" s="7" t="s">
        <v>232</v>
      </c>
      <c r="C106" s="7" t="s">
        <v>233</v>
      </c>
      <c r="D106" s="7">
        <v>59.0</v>
      </c>
      <c r="E106" s="7" t="str">
        <f>SUMIFS(Transaksi!J:J, Transaksi!E:E, $C106, Transaksi!F:F, "Barang Datang")+SUMIFS(Transaksi!J:J, Transaksi!E:E,$C106,Transaksi!F:F,"Retur Penjualan")</f>
        <v>0</v>
      </c>
      <c r="F106" s="7" t="str">
        <f>SUMIFS(Transaksi!K:K, Transaksi!E:E, $C106, Transaksi!F:F, "Barang Datang")
+
SUMIFS(Transaksi!K:K, Transaksi!E:E, $C106, Transaksi!F:F, "Retur penjualan")+SUMIFS(Transaksi!K:K, Transaksi!E:E, $C106, Transaksi!F:F,"Rusak Internal")</f>
        <v>0</v>
      </c>
      <c r="G106" s="7" t="str">
        <f>SUMIFS(Transaksi!I:I, Transaksi!E:E, $C106, Transaksi!F:F, "Terjual")
+
SUMIFS(Transaksi!J:J, Transaksi!E:E, $C106, Transaksi!F:F, "Retur Pembelian")+SUMIFS(Transaksi!I:I, Transaksi!E:E, $C106, Transaksi!F:F, "Dipakai Sendiri")</f>
        <v>0</v>
      </c>
      <c r="H106" s="15" t="str">
        <f t="shared" si="2"/>
        <v>59</v>
      </c>
      <c r="I106" s="15" t="str">
        <f t="shared" si="3"/>
        <v/>
      </c>
      <c r="J106" s="7"/>
      <c r="K106" s="7">
        <v>45000.0</v>
      </c>
    </row>
    <row r="107" ht="15.75" customHeight="1">
      <c r="A107" s="5" t="str">
        <f t="shared" si="1"/>
        <v>106</v>
      </c>
      <c r="B107" s="7" t="s">
        <v>234</v>
      </c>
      <c r="C107" s="7" t="s">
        <v>235</v>
      </c>
      <c r="D107" s="7">
        <v>75.0</v>
      </c>
      <c r="E107" s="7" t="str">
        <f>SUMIFS(Transaksi!J:J, Transaksi!E:E, $C107, Transaksi!F:F, "Barang Datang")+SUMIFS(Transaksi!J:J, Transaksi!E:E,$C107,Transaksi!F:F,"Retur Penjualan")</f>
        <v>0</v>
      </c>
      <c r="F107" s="7" t="str">
        <f>SUMIFS(Transaksi!K:K, Transaksi!E:E, $C107, Transaksi!F:F, "Barang Datang")
+
SUMIFS(Transaksi!K:K, Transaksi!E:E, $C107, Transaksi!F:F, "Retur penjualan")+SUMIFS(Transaksi!K:K, Transaksi!E:E, $C107, Transaksi!F:F,"Rusak Internal")</f>
        <v>0</v>
      </c>
      <c r="G107" s="7" t="str">
        <f>SUMIFS(Transaksi!I:I, Transaksi!E:E, $C107, Transaksi!F:F, "Terjual")
+
SUMIFS(Transaksi!J:J, Transaksi!E:E, $C107, Transaksi!F:F, "Retur Pembelian")+SUMIFS(Transaksi!I:I, Transaksi!E:E, $C107, Transaksi!F:F, "Dipakai Sendiri")</f>
        <v>0</v>
      </c>
      <c r="H107" s="15" t="str">
        <f t="shared" si="2"/>
        <v>75</v>
      </c>
      <c r="I107" s="15" t="str">
        <f t="shared" si="3"/>
        <v/>
      </c>
      <c r="J107" s="7"/>
      <c r="K107" s="7">
        <v>50000.0</v>
      </c>
    </row>
    <row r="108" ht="15.75" customHeight="1">
      <c r="A108" s="5" t="str">
        <f t="shared" si="1"/>
        <v>107</v>
      </c>
      <c r="B108" s="7" t="s">
        <v>236</v>
      </c>
      <c r="C108" s="7" t="s">
        <v>237</v>
      </c>
      <c r="D108" s="7">
        <v>36.0</v>
      </c>
      <c r="E108" s="7" t="str">
        <f>SUMIFS(Transaksi!J:J, Transaksi!E:E, $C108, Transaksi!F:F, "Barang Datang")+SUMIFS(Transaksi!J:J, Transaksi!E:E,$C108,Transaksi!F:F,"Retur Penjualan")</f>
        <v>0</v>
      </c>
      <c r="F108" s="7" t="str">
        <f>SUMIFS(Transaksi!K:K, Transaksi!E:E, $C108, Transaksi!F:F, "Barang Datang")
+
SUMIFS(Transaksi!K:K, Transaksi!E:E, $C108, Transaksi!F:F, "Retur penjualan")+SUMIFS(Transaksi!K:K, Transaksi!E:E, $C108, Transaksi!F:F,"Rusak Internal")</f>
        <v>0</v>
      </c>
      <c r="G108" s="7" t="str">
        <f>SUMIFS(Transaksi!I:I, Transaksi!E:E, $C108, Transaksi!F:F, "Terjual")
+
SUMIFS(Transaksi!J:J, Transaksi!E:E, $C108, Transaksi!F:F, "Retur Pembelian")+SUMIFS(Transaksi!I:I, Transaksi!E:E, $C108, Transaksi!F:F, "Dipakai Sendiri")</f>
        <v>0</v>
      </c>
      <c r="H108" s="15" t="str">
        <f t="shared" si="2"/>
        <v>36</v>
      </c>
      <c r="I108" s="15" t="str">
        <f t="shared" si="3"/>
        <v/>
      </c>
      <c r="J108" s="7"/>
      <c r="K108" s="7">
        <v>25000.0</v>
      </c>
    </row>
    <row r="109" ht="15.75" customHeight="1">
      <c r="A109" s="5" t="str">
        <f t="shared" si="1"/>
        <v>108</v>
      </c>
      <c r="B109" s="7" t="s">
        <v>238</v>
      </c>
      <c r="C109" s="7" t="s">
        <v>239</v>
      </c>
      <c r="D109" s="7">
        <v>89.0</v>
      </c>
      <c r="E109" s="7" t="str">
        <f>SUMIFS(Transaksi!J:J, Transaksi!E:E, $C109, Transaksi!F:F, "Barang Datang")+SUMIFS(Transaksi!J:J, Transaksi!E:E,$C109,Transaksi!F:F,"Retur Penjualan")</f>
        <v>0</v>
      </c>
      <c r="F109" s="7" t="str">
        <f>SUMIFS(Transaksi!K:K, Transaksi!E:E, $C109, Transaksi!F:F, "Barang Datang")
+
SUMIFS(Transaksi!K:K, Transaksi!E:E, $C109, Transaksi!F:F, "Retur penjualan")+SUMIFS(Transaksi!K:K, Transaksi!E:E, $C109, Transaksi!F:F,"Rusak Internal")</f>
        <v>0</v>
      </c>
      <c r="G109" s="7" t="str">
        <f>SUMIFS(Transaksi!I:I, Transaksi!E:E, $C109, Transaksi!F:F, "Terjual")
+
SUMIFS(Transaksi!J:J, Transaksi!E:E, $C109, Transaksi!F:F, "Retur Pembelian")+SUMIFS(Transaksi!I:I, Transaksi!E:E, $C109, Transaksi!F:F, "Dipakai Sendiri")</f>
        <v>0</v>
      </c>
      <c r="H109" s="15" t="str">
        <f t="shared" si="2"/>
        <v>89</v>
      </c>
      <c r="I109" s="15" t="str">
        <f t="shared" si="3"/>
        <v/>
      </c>
      <c r="J109" s="7"/>
      <c r="K109" s="7">
        <v>50000.0</v>
      </c>
    </row>
    <row r="110" ht="15.75" customHeight="1">
      <c r="A110" s="5" t="str">
        <f t="shared" si="1"/>
        <v>109</v>
      </c>
      <c r="B110" s="7" t="s">
        <v>240</v>
      </c>
      <c r="C110" s="7" t="s">
        <v>241</v>
      </c>
      <c r="D110" s="7">
        <v>79.0</v>
      </c>
      <c r="E110" s="7" t="str">
        <f>SUMIFS(Transaksi!J:J, Transaksi!E:E, $C110, Transaksi!F:F, "Barang Datang")+SUMIFS(Transaksi!J:J, Transaksi!E:E,$C110,Transaksi!F:F,"Retur Penjualan")</f>
        <v>0</v>
      </c>
      <c r="F110" s="7" t="str">
        <f>SUMIFS(Transaksi!K:K, Transaksi!E:E, $C110, Transaksi!F:F, "Barang Datang")
+
SUMIFS(Transaksi!K:K, Transaksi!E:E, $C110, Transaksi!F:F, "Retur penjualan")+SUMIFS(Transaksi!K:K, Transaksi!E:E, $C110, Transaksi!F:F,"Rusak Internal")</f>
        <v>0</v>
      </c>
      <c r="G110" s="7" t="str">
        <f>SUMIFS(Transaksi!I:I, Transaksi!E:E, $C110, Transaksi!F:F, "Terjual")
+
SUMIFS(Transaksi!J:J, Transaksi!E:E, $C110, Transaksi!F:F, "Retur Pembelian")+SUMIFS(Transaksi!I:I, Transaksi!E:E, $C110, Transaksi!F:F, "Dipakai Sendiri")</f>
        <v>0</v>
      </c>
      <c r="H110" s="15" t="str">
        <f t="shared" si="2"/>
        <v>79</v>
      </c>
      <c r="I110" s="15" t="str">
        <f t="shared" si="3"/>
        <v/>
      </c>
      <c r="J110" s="7"/>
      <c r="K110" s="7">
        <v>25000.0</v>
      </c>
    </row>
    <row r="111" ht="15.75" customHeight="1">
      <c r="A111" s="5" t="str">
        <f t="shared" si="1"/>
        <v>110</v>
      </c>
      <c r="B111" s="7" t="s">
        <v>242</v>
      </c>
      <c r="C111" s="7" t="s">
        <v>243</v>
      </c>
      <c r="D111" s="7">
        <v>56.0</v>
      </c>
      <c r="E111" s="7" t="str">
        <f>SUMIFS(Transaksi!J:J, Transaksi!E:E, $C111, Transaksi!F:F, "Barang Datang")+SUMIFS(Transaksi!J:J, Transaksi!E:E,$C111,Transaksi!F:F,"Retur Penjualan")</f>
        <v>0</v>
      </c>
      <c r="F111" s="7" t="str">
        <f>SUMIFS(Transaksi!K:K, Transaksi!E:E, $C111, Transaksi!F:F, "Barang Datang")
+
SUMIFS(Transaksi!K:K, Transaksi!E:E, $C111, Transaksi!F:F, "Retur penjualan")+SUMIFS(Transaksi!K:K, Transaksi!E:E, $C111, Transaksi!F:F,"Rusak Internal")</f>
        <v>0</v>
      </c>
      <c r="G111" s="7" t="str">
        <f>SUMIFS(Transaksi!I:I, Transaksi!E:E, $C111, Transaksi!F:F, "Terjual")
+
SUMIFS(Transaksi!J:J, Transaksi!E:E, $C111, Transaksi!F:F, "Retur Pembelian")+SUMIFS(Transaksi!I:I, Transaksi!E:E, $C111, Transaksi!F:F, "Dipakai Sendiri")</f>
        <v>0</v>
      </c>
      <c r="H111" s="15" t="str">
        <f t="shared" si="2"/>
        <v>56</v>
      </c>
      <c r="I111" s="15" t="str">
        <f t="shared" si="3"/>
        <v/>
      </c>
      <c r="J111" s="7"/>
      <c r="K111" s="7">
        <v>15000.0</v>
      </c>
    </row>
    <row r="112" ht="15.75" customHeight="1">
      <c r="A112" s="5" t="str">
        <f t="shared" si="1"/>
        <v>111</v>
      </c>
      <c r="B112" s="7" t="s">
        <v>244</v>
      </c>
      <c r="C112" s="7" t="s">
        <v>245</v>
      </c>
      <c r="D112" s="7">
        <v>40.0</v>
      </c>
      <c r="E112" s="7" t="str">
        <f>SUMIFS(Transaksi!J:J, Transaksi!E:E, $C112, Transaksi!F:F, "Barang Datang")+SUMIFS(Transaksi!J:J, Transaksi!E:E,$C112,Transaksi!F:F,"Retur Penjualan")</f>
        <v>0</v>
      </c>
      <c r="F112" s="7" t="str">
        <f>SUMIFS(Transaksi!K:K, Transaksi!E:E, $C112, Transaksi!F:F, "Barang Datang")
+
SUMIFS(Transaksi!K:K, Transaksi!E:E, $C112, Transaksi!F:F, "Retur penjualan")+SUMIFS(Transaksi!K:K, Transaksi!E:E, $C112, Transaksi!F:F,"Rusak Internal")</f>
        <v>0</v>
      </c>
      <c r="G112" s="7" t="str">
        <f>SUMIFS(Transaksi!I:I, Transaksi!E:E, $C112, Transaksi!F:F, "Terjual")
+
SUMIFS(Transaksi!J:J, Transaksi!E:E, $C112, Transaksi!F:F, "Retur Pembelian")+SUMIFS(Transaksi!I:I, Transaksi!E:E, $C112, Transaksi!F:F, "Dipakai Sendiri")</f>
        <v>0</v>
      </c>
      <c r="H112" s="15" t="str">
        <f t="shared" si="2"/>
        <v>40</v>
      </c>
      <c r="I112" s="15" t="str">
        <f t="shared" si="3"/>
        <v/>
      </c>
      <c r="J112" s="7"/>
      <c r="K112" s="7">
        <v>25000.0</v>
      </c>
    </row>
    <row r="113" ht="15.75" customHeight="1">
      <c r="A113" s="5" t="str">
        <f t="shared" si="1"/>
        <v>112</v>
      </c>
      <c r="B113" s="7" t="s">
        <v>246</v>
      </c>
      <c r="C113" s="7" t="s">
        <v>247</v>
      </c>
      <c r="D113" s="7">
        <v>50.0</v>
      </c>
      <c r="E113" s="7" t="str">
        <f>SUMIFS(Transaksi!J:J, Transaksi!E:E, $C113, Transaksi!F:F, "Barang Datang")+SUMIFS(Transaksi!J:J, Transaksi!E:E,$C113,Transaksi!F:F,"Retur Penjualan")</f>
        <v>0</v>
      </c>
      <c r="F113" s="7" t="str">
        <f>SUMIFS(Transaksi!K:K, Transaksi!E:E, $C113, Transaksi!F:F, "Barang Datang")
+
SUMIFS(Transaksi!K:K, Transaksi!E:E, $C113, Transaksi!F:F, "Retur penjualan")+SUMIFS(Transaksi!K:K, Transaksi!E:E, $C113, Transaksi!F:F,"Rusak Internal")</f>
        <v>0</v>
      </c>
      <c r="G113" s="7" t="str">
        <f>SUMIFS(Transaksi!I:I, Transaksi!E:E, $C113, Transaksi!F:F, "Terjual")
+
SUMIFS(Transaksi!J:J, Transaksi!E:E, $C113, Transaksi!F:F, "Retur Pembelian")+SUMIFS(Transaksi!I:I, Transaksi!E:E, $C113, Transaksi!F:F, "Dipakai Sendiri")</f>
        <v>0</v>
      </c>
      <c r="H113" s="15" t="str">
        <f t="shared" si="2"/>
        <v>50</v>
      </c>
      <c r="I113" s="15" t="str">
        <f t="shared" si="3"/>
        <v/>
      </c>
      <c r="J113" s="7"/>
      <c r="K113" s="7">
        <v>5000.0</v>
      </c>
    </row>
    <row r="114" ht="15.75" customHeight="1">
      <c r="A114" s="5" t="str">
        <f t="shared" si="1"/>
        <v>113</v>
      </c>
      <c r="B114" s="7" t="s">
        <v>248</v>
      </c>
      <c r="C114" s="7" t="s">
        <v>249</v>
      </c>
      <c r="D114" s="7">
        <v>46.0</v>
      </c>
      <c r="E114" s="7" t="str">
        <f>SUMIFS(Transaksi!J:J, Transaksi!E:E, $C114, Transaksi!F:F, "Barang Datang")+SUMIFS(Transaksi!J:J, Transaksi!E:E,$C114,Transaksi!F:F,"Retur Penjualan")</f>
        <v>0</v>
      </c>
      <c r="F114" s="7" t="str">
        <f>SUMIFS(Transaksi!K:K, Transaksi!E:E, $C114, Transaksi!F:F, "Barang Datang")
+
SUMIFS(Transaksi!K:K, Transaksi!E:E, $C114, Transaksi!F:F, "Retur penjualan")+SUMIFS(Transaksi!K:K, Transaksi!E:E, $C114, Transaksi!F:F,"Rusak Internal")</f>
        <v>0</v>
      </c>
      <c r="G114" s="7" t="str">
        <f>SUMIFS(Transaksi!I:I, Transaksi!E:E, $C114, Transaksi!F:F, "Terjual")
+
SUMIFS(Transaksi!J:J, Transaksi!E:E, $C114, Transaksi!F:F, "Retur Pembelian")+SUMIFS(Transaksi!I:I, Transaksi!E:E, $C114, Transaksi!F:F, "Dipakai Sendiri")</f>
        <v>0</v>
      </c>
      <c r="H114" s="15" t="str">
        <f t="shared" si="2"/>
        <v>46</v>
      </c>
      <c r="I114" s="15" t="str">
        <f t="shared" si="3"/>
        <v/>
      </c>
      <c r="J114" s="7"/>
      <c r="K114" s="7">
        <v>45000.0</v>
      </c>
    </row>
    <row r="115" ht="15.75" customHeight="1">
      <c r="A115" s="5" t="str">
        <f t="shared" si="1"/>
        <v>114</v>
      </c>
      <c r="B115" s="7" t="s">
        <v>250</v>
      </c>
      <c r="C115" s="7" t="s">
        <v>251</v>
      </c>
      <c r="D115" s="7">
        <v>25.0</v>
      </c>
      <c r="E115" s="7" t="str">
        <f>SUMIFS(Transaksi!J:J, Transaksi!E:E, $C115, Transaksi!F:F, "Barang Datang")+SUMIFS(Transaksi!J:J, Transaksi!E:E,$C115,Transaksi!F:F,"Retur Penjualan")</f>
        <v>0</v>
      </c>
      <c r="F115" s="7" t="str">
        <f>SUMIFS(Transaksi!K:K, Transaksi!E:E, $C115, Transaksi!F:F, "Barang Datang")
+
SUMIFS(Transaksi!K:K, Transaksi!E:E, $C115, Transaksi!F:F, "Retur penjualan")+SUMIFS(Transaksi!K:K, Transaksi!E:E, $C115, Transaksi!F:F,"Rusak Internal")</f>
        <v>0</v>
      </c>
      <c r="G115" s="7" t="str">
        <f>SUMIFS(Transaksi!I:I, Transaksi!E:E, $C115, Transaksi!F:F, "Terjual")
+
SUMIFS(Transaksi!J:J, Transaksi!E:E, $C115, Transaksi!F:F, "Retur Pembelian")+SUMIFS(Transaksi!I:I, Transaksi!E:E, $C115, Transaksi!F:F, "Dipakai Sendiri")</f>
        <v>0</v>
      </c>
      <c r="H115" s="15" t="str">
        <f t="shared" si="2"/>
        <v>25</v>
      </c>
      <c r="I115" s="15" t="str">
        <f t="shared" si="3"/>
        <v/>
      </c>
      <c r="J115" s="7"/>
      <c r="K115" s="7">
        <v>35000.0</v>
      </c>
    </row>
    <row r="116" ht="15.75" customHeight="1">
      <c r="A116" s="5" t="str">
        <f t="shared" si="1"/>
        <v>115</v>
      </c>
      <c r="B116" s="7" t="s">
        <v>252</v>
      </c>
      <c r="C116" s="7" t="s">
        <v>253</v>
      </c>
      <c r="D116" s="7">
        <v>70.0</v>
      </c>
      <c r="E116" s="7" t="str">
        <f>SUMIFS(Transaksi!J:J, Transaksi!E:E, $C116, Transaksi!F:F, "Barang Datang")+SUMIFS(Transaksi!J:J, Transaksi!E:E,$C116,Transaksi!F:F,"Retur Penjualan")</f>
        <v>0</v>
      </c>
      <c r="F116" s="7" t="str">
        <f>SUMIFS(Transaksi!K:K, Transaksi!E:E, $C116, Transaksi!F:F, "Barang Datang")
+
SUMIFS(Transaksi!K:K, Transaksi!E:E, $C116, Transaksi!F:F, "Retur penjualan")+SUMIFS(Transaksi!K:K, Transaksi!E:E, $C116, Transaksi!F:F,"Rusak Internal")</f>
        <v>0</v>
      </c>
      <c r="G116" s="7" t="str">
        <f>SUMIFS(Transaksi!I:I, Transaksi!E:E, $C116, Transaksi!F:F, "Terjual")
+
SUMIFS(Transaksi!J:J, Transaksi!E:E, $C116, Transaksi!F:F, "Retur Pembelian")+SUMIFS(Transaksi!I:I, Transaksi!E:E, $C116, Transaksi!F:F, "Dipakai Sendiri")</f>
        <v>0</v>
      </c>
      <c r="H116" s="15" t="str">
        <f t="shared" si="2"/>
        <v>70</v>
      </c>
      <c r="I116" s="15" t="str">
        <f t="shared" si="3"/>
        <v/>
      </c>
      <c r="J116" s="7"/>
      <c r="K116" s="7">
        <v>15000.0</v>
      </c>
    </row>
    <row r="117" ht="15.75" customHeight="1">
      <c r="A117" s="5" t="str">
        <f t="shared" si="1"/>
        <v>116</v>
      </c>
      <c r="B117" s="7" t="s">
        <v>254</v>
      </c>
      <c r="C117" s="7" t="s">
        <v>255</v>
      </c>
      <c r="D117" s="7">
        <v>46.0</v>
      </c>
      <c r="E117" s="7" t="str">
        <f>SUMIFS(Transaksi!J:J, Transaksi!E:E, $C117, Transaksi!F:F, "Barang Datang")+SUMIFS(Transaksi!J:J, Transaksi!E:E,$C117,Transaksi!F:F,"Retur Penjualan")</f>
        <v>0</v>
      </c>
      <c r="F117" s="7" t="str">
        <f>SUMIFS(Transaksi!K:K, Transaksi!E:E, $C117, Transaksi!F:F, "Barang Datang")
+
SUMIFS(Transaksi!K:K, Transaksi!E:E, $C117, Transaksi!F:F, "Retur penjualan")+SUMIFS(Transaksi!K:K, Transaksi!E:E, $C117, Transaksi!F:F,"Rusak Internal")</f>
        <v>0</v>
      </c>
      <c r="G117" s="7" t="str">
        <f>SUMIFS(Transaksi!I:I, Transaksi!E:E, $C117, Transaksi!F:F, "Terjual")
+
SUMIFS(Transaksi!J:J, Transaksi!E:E, $C117, Transaksi!F:F, "Retur Pembelian")+SUMIFS(Transaksi!I:I, Transaksi!E:E, $C117, Transaksi!F:F, "Dipakai Sendiri")</f>
        <v>0</v>
      </c>
      <c r="H117" s="15" t="str">
        <f t="shared" si="2"/>
        <v>46</v>
      </c>
      <c r="I117" s="15" t="str">
        <f t="shared" si="3"/>
        <v/>
      </c>
      <c r="J117" s="7"/>
      <c r="K117" s="7">
        <v>30000.0</v>
      </c>
    </row>
    <row r="118" ht="15.75" customHeight="1">
      <c r="A118" s="5" t="str">
        <f t="shared" si="1"/>
        <v>117</v>
      </c>
      <c r="B118" s="7" t="s">
        <v>256</v>
      </c>
      <c r="C118" s="7" t="s">
        <v>257</v>
      </c>
      <c r="D118" s="7">
        <v>98.0</v>
      </c>
      <c r="E118" s="7" t="str">
        <f>SUMIFS(Transaksi!J:J, Transaksi!E:E, $C118, Transaksi!F:F, "Barang Datang")+SUMIFS(Transaksi!J:J, Transaksi!E:E,$C118,Transaksi!F:F,"Retur Penjualan")</f>
        <v>0</v>
      </c>
      <c r="F118" s="7" t="str">
        <f>SUMIFS(Transaksi!K:K, Transaksi!E:E, $C118, Transaksi!F:F, "Barang Datang")
+
SUMIFS(Transaksi!K:K, Transaksi!E:E, $C118, Transaksi!F:F, "Retur penjualan")+SUMIFS(Transaksi!K:K, Transaksi!E:E, $C118, Transaksi!F:F,"Rusak Internal")</f>
        <v>0</v>
      </c>
      <c r="G118" s="7" t="str">
        <f>SUMIFS(Transaksi!I:I, Transaksi!E:E, $C118, Transaksi!F:F, "Terjual")
+
SUMIFS(Transaksi!J:J, Transaksi!E:E, $C118, Transaksi!F:F, "Retur Pembelian")+SUMIFS(Transaksi!I:I, Transaksi!E:E, $C118, Transaksi!F:F, "Dipakai Sendiri")</f>
        <v>0</v>
      </c>
      <c r="H118" s="15" t="str">
        <f t="shared" si="2"/>
        <v>98</v>
      </c>
      <c r="I118" s="15" t="str">
        <f t="shared" si="3"/>
        <v/>
      </c>
      <c r="J118" s="7"/>
      <c r="K118" s="7">
        <v>35000.0</v>
      </c>
    </row>
    <row r="119" ht="15.75" customHeight="1">
      <c r="A119" s="5" t="str">
        <f t="shared" si="1"/>
        <v>118</v>
      </c>
      <c r="B119" s="7" t="s">
        <v>258</v>
      </c>
      <c r="C119" s="7" t="s">
        <v>259</v>
      </c>
      <c r="D119" s="7">
        <v>53.0</v>
      </c>
      <c r="E119" s="7" t="str">
        <f>SUMIFS(Transaksi!J:J, Transaksi!E:E, $C119, Transaksi!F:F, "Barang Datang")+SUMIFS(Transaksi!J:J, Transaksi!E:E,$C119,Transaksi!F:F,"Retur Penjualan")</f>
        <v>0</v>
      </c>
      <c r="F119" s="7" t="str">
        <f>SUMIFS(Transaksi!K:K, Transaksi!E:E, $C119, Transaksi!F:F, "Barang Datang")
+
SUMIFS(Transaksi!K:K, Transaksi!E:E, $C119, Transaksi!F:F, "Retur penjualan")+SUMIFS(Transaksi!K:K, Transaksi!E:E, $C119, Transaksi!F:F,"Rusak Internal")</f>
        <v>0</v>
      </c>
      <c r="G119" s="7" t="str">
        <f>SUMIFS(Transaksi!I:I, Transaksi!E:E, $C119, Transaksi!F:F, "Terjual")
+
SUMIFS(Transaksi!J:J, Transaksi!E:E, $C119, Transaksi!F:F, "Retur Pembelian")+SUMIFS(Transaksi!I:I, Transaksi!E:E, $C119, Transaksi!F:F, "Dipakai Sendiri")</f>
        <v>0</v>
      </c>
      <c r="H119" s="15" t="str">
        <f t="shared" si="2"/>
        <v>53</v>
      </c>
      <c r="I119" s="15" t="str">
        <f t="shared" si="3"/>
        <v/>
      </c>
      <c r="J119" s="7"/>
      <c r="K119" s="7">
        <v>40000.0</v>
      </c>
    </row>
    <row r="120" ht="15.75" customHeight="1">
      <c r="A120" s="5" t="str">
        <f t="shared" si="1"/>
        <v>119</v>
      </c>
      <c r="B120" s="7" t="s">
        <v>260</v>
      </c>
      <c r="C120" s="7" t="s">
        <v>261</v>
      </c>
      <c r="D120" s="7">
        <v>18.0</v>
      </c>
      <c r="E120" s="7" t="str">
        <f>SUMIFS(Transaksi!J:J, Transaksi!E:E, $C120, Transaksi!F:F, "Barang Datang")+SUMIFS(Transaksi!J:J, Transaksi!E:E,$C120,Transaksi!F:F,"Retur Penjualan")</f>
        <v>0</v>
      </c>
      <c r="F120" s="7" t="str">
        <f>SUMIFS(Transaksi!K:K, Transaksi!E:E, $C120, Transaksi!F:F, "Barang Datang")
+
SUMIFS(Transaksi!K:K, Transaksi!E:E, $C120, Transaksi!F:F, "Retur penjualan")+SUMIFS(Transaksi!K:K, Transaksi!E:E, $C120, Transaksi!F:F,"Rusak Internal")</f>
        <v>0</v>
      </c>
      <c r="G120" s="7" t="str">
        <f>SUMIFS(Transaksi!I:I, Transaksi!E:E, $C120, Transaksi!F:F, "Terjual")
+
SUMIFS(Transaksi!J:J, Transaksi!E:E, $C120, Transaksi!F:F, "Retur Pembelian")+SUMIFS(Transaksi!I:I, Transaksi!E:E, $C120, Transaksi!F:F, "Dipakai Sendiri")</f>
        <v>0</v>
      </c>
      <c r="H120" s="15" t="str">
        <f t="shared" si="2"/>
        <v>18</v>
      </c>
      <c r="I120" s="15" t="str">
        <f t="shared" si="3"/>
        <v/>
      </c>
      <c r="J120" s="7"/>
      <c r="K120" s="7">
        <v>20000.0</v>
      </c>
    </row>
    <row r="121" ht="15.75" customHeight="1">
      <c r="A121" s="5" t="str">
        <f t="shared" si="1"/>
        <v>120</v>
      </c>
      <c r="B121" s="7" t="s">
        <v>262</v>
      </c>
      <c r="C121" s="7" t="s">
        <v>263</v>
      </c>
      <c r="D121" s="7">
        <v>81.0</v>
      </c>
      <c r="E121" s="7" t="str">
        <f>SUMIFS(Transaksi!J:J, Transaksi!E:E, $C121, Transaksi!F:F, "Barang Datang")+SUMIFS(Transaksi!J:J, Transaksi!E:E,$C121,Transaksi!F:F,"Retur Penjualan")</f>
        <v>0</v>
      </c>
      <c r="F121" s="7" t="str">
        <f>SUMIFS(Transaksi!K:K, Transaksi!E:E, $C121, Transaksi!F:F, "Barang Datang")
+
SUMIFS(Transaksi!K:K, Transaksi!E:E, $C121, Transaksi!F:F, "Retur penjualan")+SUMIFS(Transaksi!K:K, Transaksi!E:E, $C121, Transaksi!F:F,"Rusak Internal")</f>
        <v>0</v>
      </c>
      <c r="G121" s="7" t="str">
        <f>SUMIFS(Transaksi!I:I, Transaksi!E:E, $C121, Transaksi!F:F, "Terjual")
+
SUMIFS(Transaksi!J:J, Transaksi!E:E, $C121, Transaksi!F:F, "Retur Pembelian")+SUMIFS(Transaksi!I:I, Transaksi!E:E, $C121, Transaksi!F:F, "Dipakai Sendiri")</f>
        <v>0</v>
      </c>
      <c r="H121" s="15" t="str">
        <f t="shared" si="2"/>
        <v>81</v>
      </c>
      <c r="I121" s="15" t="str">
        <f t="shared" si="3"/>
        <v/>
      </c>
      <c r="J121" s="7"/>
      <c r="K121" s="7">
        <v>20000.0</v>
      </c>
    </row>
    <row r="122" ht="15.75" customHeight="1">
      <c r="A122" s="5" t="str">
        <f t="shared" si="1"/>
        <v>121</v>
      </c>
      <c r="B122" s="7" t="s">
        <v>264</v>
      </c>
      <c r="C122" s="7" t="s">
        <v>265</v>
      </c>
      <c r="D122" s="7">
        <v>83.0</v>
      </c>
      <c r="E122" s="7" t="str">
        <f>SUMIFS(Transaksi!J:J, Transaksi!E:E, $C122, Transaksi!F:F, "Barang Datang")+SUMIFS(Transaksi!J:J, Transaksi!E:E,$C122,Transaksi!F:F,"Retur Penjualan")</f>
        <v>0</v>
      </c>
      <c r="F122" s="7" t="str">
        <f>SUMIFS(Transaksi!K:K, Transaksi!E:E, $C122, Transaksi!F:F, "Barang Datang")
+
SUMIFS(Transaksi!K:K, Transaksi!E:E, $C122, Transaksi!F:F, "Retur penjualan")+SUMIFS(Transaksi!K:K, Transaksi!E:E, $C122, Transaksi!F:F,"Rusak Internal")</f>
        <v>0</v>
      </c>
      <c r="G122" s="7" t="str">
        <f>SUMIFS(Transaksi!I:I, Transaksi!E:E, $C122, Transaksi!F:F, "Terjual")
+
SUMIFS(Transaksi!J:J, Transaksi!E:E, $C122, Transaksi!F:F, "Retur Pembelian")+SUMIFS(Transaksi!I:I, Transaksi!E:E, $C122, Transaksi!F:F, "Dipakai Sendiri")</f>
        <v>0</v>
      </c>
      <c r="H122" s="15" t="str">
        <f t="shared" si="2"/>
        <v>83</v>
      </c>
      <c r="I122" s="15" t="str">
        <f t="shared" si="3"/>
        <v/>
      </c>
      <c r="J122" s="7"/>
      <c r="K122" s="7">
        <v>30000.0</v>
      </c>
    </row>
    <row r="123" ht="15.75" customHeight="1">
      <c r="A123" s="5" t="str">
        <f t="shared" si="1"/>
        <v>122</v>
      </c>
      <c r="B123" s="7" t="s">
        <v>266</v>
      </c>
      <c r="C123" s="7" t="s">
        <v>267</v>
      </c>
      <c r="D123" s="7">
        <v>55.0</v>
      </c>
      <c r="E123" s="7" t="str">
        <f>SUMIFS(Transaksi!J:J, Transaksi!E:E, $C123, Transaksi!F:F, "Barang Datang")+SUMIFS(Transaksi!J:J, Transaksi!E:E,$C123,Transaksi!F:F,"Retur Penjualan")</f>
        <v>0</v>
      </c>
      <c r="F123" s="7" t="str">
        <f>SUMIFS(Transaksi!K:K, Transaksi!E:E, $C123, Transaksi!F:F, "Barang Datang")
+
SUMIFS(Transaksi!K:K, Transaksi!E:E, $C123, Transaksi!F:F, "Retur penjualan")+SUMIFS(Transaksi!K:K, Transaksi!E:E, $C123, Transaksi!F:F,"Rusak Internal")</f>
        <v>0</v>
      </c>
      <c r="G123" s="7" t="str">
        <f>SUMIFS(Transaksi!I:I, Transaksi!E:E, $C123, Transaksi!F:F, "Terjual")
+
SUMIFS(Transaksi!J:J, Transaksi!E:E, $C123, Transaksi!F:F, "Retur Pembelian")+SUMIFS(Transaksi!I:I, Transaksi!E:E, $C123, Transaksi!F:F, "Dipakai Sendiri")</f>
        <v>0</v>
      </c>
      <c r="H123" s="15" t="str">
        <f t="shared" si="2"/>
        <v>55</v>
      </c>
      <c r="I123" s="15" t="str">
        <f t="shared" si="3"/>
        <v/>
      </c>
      <c r="J123" s="7"/>
      <c r="K123" s="7">
        <v>15000.0</v>
      </c>
    </row>
    <row r="124" ht="15.75" customHeight="1">
      <c r="A124" s="5" t="str">
        <f t="shared" si="1"/>
        <v>123</v>
      </c>
      <c r="B124" s="7" t="s">
        <v>268</v>
      </c>
      <c r="C124" s="7" t="s">
        <v>269</v>
      </c>
      <c r="D124" s="7">
        <v>77.0</v>
      </c>
      <c r="E124" s="7" t="str">
        <f>SUMIFS(Transaksi!J:J, Transaksi!E:E, $C124, Transaksi!F:F, "Barang Datang")+SUMIFS(Transaksi!J:J, Transaksi!E:E,$C124,Transaksi!F:F,"Retur Penjualan")</f>
        <v>0</v>
      </c>
      <c r="F124" s="7" t="str">
        <f>SUMIFS(Transaksi!K:K, Transaksi!E:E, $C124, Transaksi!F:F, "Barang Datang")
+
SUMIFS(Transaksi!K:K, Transaksi!E:E, $C124, Transaksi!F:F, "Retur penjualan")+SUMIFS(Transaksi!K:K, Transaksi!E:E, $C124, Transaksi!F:F,"Rusak Internal")</f>
        <v>0</v>
      </c>
      <c r="G124" s="7" t="str">
        <f>SUMIFS(Transaksi!I:I, Transaksi!E:E, $C124, Transaksi!F:F, "Terjual")
+
SUMIFS(Transaksi!J:J, Transaksi!E:E, $C124, Transaksi!F:F, "Retur Pembelian")+SUMIFS(Transaksi!I:I, Transaksi!E:E, $C124, Transaksi!F:F, "Dipakai Sendiri")</f>
        <v>0</v>
      </c>
      <c r="H124" s="15" t="str">
        <f t="shared" si="2"/>
        <v>77</v>
      </c>
      <c r="I124" s="15" t="str">
        <f t="shared" si="3"/>
        <v/>
      </c>
      <c r="J124" s="7"/>
      <c r="K124" s="7">
        <v>25000.0</v>
      </c>
    </row>
    <row r="125" ht="15.75" customHeight="1">
      <c r="A125" s="5" t="str">
        <f t="shared" si="1"/>
        <v>124</v>
      </c>
      <c r="B125" s="7" t="s">
        <v>270</v>
      </c>
      <c r="C125" s="7" t="s">
        <v>271</v>
      </c>
      <c r="D125" s="7">
        <v>99.0</v>
      </c>
      <c r="E125" s="7" t="str">
        <f>SUMIFS(Transaksi!J:J, Transaksi!E:E, $C125, Transaksi!F:F, "Barang Datang")+SUMIFS(Transaksi!J:J, Transaksi!E:E,$C125,Transaksi!F:F,"Retur Penjualan")</f>
        <v>0</v>
      </c>
      <c r="F125" s="7" t="str">
        <f>SUMIFS(Transaksi!K:K, Transaksi!E:E, $C125, Transaksi!F:F, "Barang Datang")
+
SUMIFS(Transaksi!K:K, Transaksi!E:E, $C125, Transaksi!F:F, "Retur penjualan")+SUMIFS(Transaksi!K:K, Transaksi!E:E, $C125, Transaksi!F:F,"Rusak Internal")</f>
        <v>0</v>
      </c>
      <c r="G125" s="7" t="str">
        <f>SUMIFS(Transaksi!I:I, Transaksi!E:E, $C125, Transaksi!F:F, "Terjual")
+
SUMIFS(Transaksi!J:J, Transaksi!E:E, $C125, Transaksi!F:F, "Retur Pembelian")+SUMIFS(Transaksi!I:I, Transaksi!E:E, $C125, Transaksi!F:F, "Dipakai Sendiri")</f>
        <v>0</v>
      </c>
      <c r="H125" s="15" t="str">
        <f t="shared" si="2"/>
        <v>99</v>
      </c>
      <c r="I125" s="15" t="str">
        <f t="shared" si="3"/>
        <v/>
      </c>
      <c r="J125" s="7"/>
      <c r="K125" s="7">
        <v>10000.0</v>
      </c>
    </row>
    <row r="126" ht="15.75" customHeight="1">
      <c r="A126" s="5" t="str">
        <f t="shared" si="1"/>
        <v>125</v>
      </c>
      <c r="B126" s="7" t="s">
        <v>272</v>
      </c>
      <c r="C126" s="7" t="s">
        <v>273</v>
      </c>
      <c r="D126" s="7">
        <v>55.0</v>
      </c>
      <c r="E126" s="7" t="str">
        <f>SUMIFS(Transaksi!J:J, Transaksi!E:E, $C126, Transaksi!F:F, "Barang Datang")+SUMIFS(Transaksi!J:J, Transaksi!E:E,$C126,Transaksi!F:F,"Retur Penjualan")</f>
        <v>0</v>
      </c>
      <c r="F126" s="7" t="str">
        <f>SUMIFS(Transaksi!K:K, Transaksi!E:E, $C126, Transaksi!F:F, "Barang Datang")
+
SUMIFS(Transaksi!K:K, Transaksi!E:E, $C126, Transaksi!F:F, "Retur penjualan")+SUMIFS(Transaksi!K:K, Transaksi!E:E, $C126, Transaksi!F:F,"Rusak Internal")</f>
        <v>0</v>
      </c>
      <c r="G126" s="7" t="str">
        <f>SUMIFS(Transaksi!I:I, Transaksi!E:E, $C126, Transaksi!F:F, "Terjual")
+
SUMIFS(Transaksi!J:J, Transaksi!E:E, $C126, Transaksi!F:F, "Retur Pembelian")+SUMIFS(Transaksi!I:I, Transaksi!E:E, $C126, Transaksi!F:F, "Dipakai Sendiri")</f>
        <v>0</v>
      </c>
      <c r="H126" s="15" t="str">
        <f t="shared" si="2"/>
        <v>55</v>
      </c>
      <c r="I126" s="15" t="str">
        <f t="shared" si="3"/>
        <v/>
      </c>
      <c r="J126" s="7"/>
      <c r="K126" s="7">
        <v>5000.0</v>
      </c>
    </row>
    <row r="127" ht="15.75" customHeight="1">
      <c r="A127" s="5" t="str">
        <f t="shared" si="1"/>
        <v>126</v>
      </c>
      <c r="B127" s="7" t="s">
        <v>274</v>
      </c>
      <c r="C127" s="7" t="s">
        <v>275</v>
      </c>
      <c r="D127" s="7">
        <v>21.0</v>
      </c>
      <c r="E127" s="7" t="str">
        <f>SUMIFS(Transaksi!J:J, Transaksi!E:E, $C127, Transaksi!F:F, "Barang Datang")+SUMIFS(Transaksi!J:J, Transaksi!E:E,$C127,Transaksi!F:F,"Retur Penjualan")</f>
        <v>0</v>
      </c>
      <c r="F127" s="7" t="str">
        <f>SUMIFS(Transaksi!K:K, Transaksi!E:E, $C127, Transaksi!F:F, "Barang Datang")
+
SUMIFS(Transaksi!K:K, Transaksi!E:E, $C127, Transaksi!F:F, "Retur penjualan")+SUMIFS(Transaksi!K:K, Transaksi!E:E, $C127, Transaksi!F:F,"Rusak Internal")</f>
        <v>0</v>
      </c>
      <c r="G127" s="7" t="str">
        <f>SUMIFS(Transaksi!I:I, Transaksi!E:E, $C127, Transaksi!F:F, "Terjual")
+
SUMIFS(Transaksi!J:J, Transaksi!E:E, $C127, Transaksi!F:F, "Retur Pembelian")+SUMIFS(Transaksi!I:I, Transaksi!E:E, $C127, Transaksi!F:F, "Dipakai Sendiri")</f>
        <v>0</v>
      </c>
      <c r="H127" s="15" t="str">
        <f t="shared" si="2"/>
        <v>21</v>
      </c>
      <c r="I127" s="15" t="str">
        <f t="shared" si="3"/>
        <v/>
      </c>
      <c r="J127" s="7"/>
      <c r="K127" s="7">
        <v>40000.0</v>
      </c>
    </row>
    <row r="128" ht="15.75" customHeight="1">
      <c r="A128" s="5" t="str">
        <f t="shared" si="1"/>
        <v>127</v>
      </c>
      <c r="B128" s="7" t="s">
        <v>276</v>
      </c>
      <c r="C128" s="7" t="s">
        <v>277</v>
      </c>
      <c r="D128" s="7">
        <v>96.0</v>
      </c>
      <c r="E128" s="7" t="str">
        <f>SUMIFS(Transaksi!J:J, Transaksi!E:E, $C128, Transaksi!F:F, "Barang Datang")+SUMIFS(Transaksi!J:J, Transaksi!E:E,$C128,Transaksi!F:F,"Retur Penjualan")</f>
        <v>0</v>
      </c>
      <c r="F128" s="7" t="str">
        <f>SUMIFS(Transaksi!K:K, Transaksi!E:E, $C128, Transaksi!F:F, "Barang Datang")
+
SUMIFS(Transaksi!K:K, Transaksi!E:E, $C128, Transaksi!F:F, "Retur penjualan")+SUMIFS(Transaksi!K:K, Transaksi!E:E, $C128, Transaksi!F:F,"Rusak Internal")</f>
        <v>0</v>
      </c>
      <c r="G128" s="7" t="str">
        <f>SUMIFS(Transaksi!I:I, Transaksi!E:E, $C128, Transaksi!F:F, "Terjual")
+
SUMIFS(Transaksi!J:J, Transaksi!E:E, $C128, Transaksi!F:F, "Retur Pembelian")+SUMIFS(Transaksi!I:I, Transaksi!E:E, $C128, Transaksi!F:F, "Dipakai Sendiri")</f>
        <v>0</v>
      </c>
      <c r="H128" s="15" t="str">
        <f t="shared" si="2"/>
        <v>96</v>
      </c>
      <c r="I128" s="15" t="str">
        <f t="shared" si="3"/>
        <v/>
      </c>
      <c r="J128" s="7"/>
      <c r="K128" s="7">
        <v>10000.0</v>
      </c>
    </row>
    <row r="129" ht="15.75" customHeight="1">
      <c r="A129" s="5" t="str">
        <f t="shared" si="1"/>
        <v>128</v>
      </c>
      <c r="B129" s="7" t="s">
        <v>278</v>
      </c>
      <c r="C129" s="7" t="s">
        <v>279</v>
      </c>
      <c r="D129" s="7">
        <v>35.0</v>
      </c>
      <c r="E129" s="7" t="str">
        <f>SUMIFS(Transaksi!J:J, Transaksi!E:E, $C129, Transaksi!F:F, "Barang Datang")+SUMIFS(Transaksi!J:J, Transaksi!E:E,$C129,Transaksi!F:F,"Retur Penjualan")</f>
        <v>0</v>
      </c>
      <c r="F129" s="7" t="str">
        <f>SUMIFS(Transaksi!K:K, Transaksi!E:E, $C129, Transaksi!F:F, "Barang Datang")
+
SUMIFS(Transaksi!K:K, Transaksi!E:E, $C129, Transaksi!F:F, "Retur penjualan")+SUMIFS(Transaksi!K:K, Transaksi!E:E, $C129, Transaksi!F:F,"Rusak Internal")</f>
        <v>0</v>
      </c>
      <c r="G129" s="7" t="str">
        <f>SUMIFS(Transaksi!I:I, Transaksi!E:E, $C129, Transaksi!F:F, "Terjual")
+
SUMIFS(Transaksi!J:J, Transaksi!E:E, $C129, Transaksi!F:F, "Retur Pembelian")+SUMIFS(Transaksi!I:I, Transaksi!E:E, $C129, Transaksi!F:F, "Dipakai Sendiri")</f>
        <v>0</v>
      </c>
      <c r="H129" s="15" t="str">
        <f t="shared" si="2"/>
        <v>35</v>
      </c>
      <c r="I129" s="15" t="str">
        <f t="shared" si="3"/>
        <v/>
      </c>
      <c r="J129" s="7"/>
      <c r="K129" s="7">
        <v>35000.0</v>
      </c>
    </row>
    <row r="130" ht="15.75" customHeight="1">
      <c r="A130" s="5" t="str">
        <f t="shared" si="1"/>
        <v>129</v>
      </c>
      <c r="B130" s="7" t="s">
        <v>280</v>
      </c>
      <c r="C130" s="7" t="s">
        <v>281</v>
      </c>
      <c r="D130" s="7">
        <v>37.0</v>
      </c>
      <c r="E130" s="7" t="str">
        <f>SUMIFS(Transaksi!J:J, Transaksi!E:E, $C130, Transaksi!F:F, "Barang Datang")+SUMIFS(Transaksi!J:J, Transaksi!E:E,$C130,Transaksi!F:F,"Retur Penjualan")</f>
        <v>0</v>
      </c>
      <c r="F130" s="7" t="str">
        <f>SUMIFS(Transaksi!K:K, Transaksi!E:E, $C130, Transaksi!F:F, "Barang Datang")
+
SUMIFS(Transaksi!K:K, Transaksi!E:E, $C130, Transaksi!F:F, "Retur penjualan")+SUMIFS(Transaksi!K:K, Transaksi!E:E, $C130, Transaksi!F:F,"Rusak Internal")</f>
        <v>0</v>
      </c>
      <c r="G130" s="7" t="str">
        <f>SUMIFS(Transaksi!I:I, Transaksi!E:E, $C130, Transaksi!F:F, "Terjual")
+
SUMIFS(Transaksi!J:J, Transaksi!E:E, $C130, Transaksi!F:F, "Retur Pembelian")+SUMIFS(Transaksi!I:I, Transaksi!E:E, $C130, Transaksi!F:F, "Dipakai Sendiri")</f>
        <v>0</v>
      </c>
      <c r="H130" s="15" t="str">
        <f t="shared" si="2"/>
        <v>37</v>
      </c>
      <c r="I130" s="15" t="str">
        <f t="shared" si="3"/>
        <v/>
      </c>
      <c r="J130" s="7"/>
      <c r="K130" s="7">
        <v>10000.0</v>
      </c>
    </row>
    <row r="131" ht="15.75" customHeight="1">
      <c r="A131" s="5" t="str">
        <f t="shared" si="1"/>
        <v>130</v>
      </c>
      <c r="B131" s="7" t="s">
        <v>282</v>
      </c>
      <c r="C131" s="7" t="s">
        <v>283</v>
      </c>
      <c r="D131" s="7">
        <v>32.0</v>
      </c>
      <c r="E131" s="7" t="str">
        <f>SUMIFS(Transaksi!J:J, Transaksi!E:E, $C131, Transaksi!F:F, "Barang Datang")+SUMIFS(Transaksi!J:J, Transaksi!E:E,$C131,Transaksi!F:F,"Retur Penjualan")</f>
        <v>0</v>
      </c>
      <c r="F131" s="7" t="str">
        <f>SUMIFS(Transaksi!K:K, Transaksi!E:E, $C131, Transaksi!F:F, "Barang Datang")
+
SUMIFS(Transaksi!K:K, Transaksi!E:E, $C131, Transaksi!F:F, "Retur penjualan")+SUMIFS(Transaksi!K:K, Transaksi!E:E, $C131, Transaksi!F:F,"Rusak Internal")</f>
        <v>0</v>
      </c>
      <c r="G131" s="7" t="str">
        <f>SUMIFS(Transaksi!I:I, Transaksi!E:E, $C131, Transaksi!F:F, "Terjual")
+
SUMIFS(Transaksi!J:J, Transaksi!E:E, $C131, Transaksi!F:F, "Retur Pembelian")+SUMIFS(Transaksi!I:I, Transaksi!E:E, $C131, Transaksi!F:F, "Dipakai Sendiri")</f>
        <v>0</v>
      </c>
      <c r="H131" s="15" t="str">
        <f t="shared" si="2"/>
        <v>32</v>
      </c>
      <c r="I131" s="15" t="str">
        <f t="shared" si="3"/>
        <v/>
      </c>
      <c r="J131" s="7"/>
      <c r="K131" s="7">
        <v>45000.0</v>
      </c>
    </row>
    <row r="132" ht="15.75" customHeight="1">
      <c r="A132" s="5" t="str">
        <f t="shared" si="1"/>
        <v>131</v>
      </c>
      <c r="B132" s="7" t="s">
        <v>284</v>
      </c>
      <c r="C132" s="7" t="s">
        <v>285</v>
      </c>
      <c r="D132" s="7">
        <v>42.0</v>
      </c>
      <c r="E132" s="7" t="str">
        <f>SUMIFS(Transaksi!J:J, Transaksi!E:E, $C132, Transaksi!F:F, "Barang Datang")+SUMIFS(Transaksi!J:J, Transaksi!E:E,$C132,Transaksi!F:F,"Retur Penjualan")</f>
        <v>0</v>
      </c>
      <c r="F132" s="7" t="str">
        <f>SUMIFS(Transaksi!K:K, Transaksi!E:E, $C132, Transaksi!F:F, "Barang Datang")
+
SUMIFS(Transaksi!K:K, Transaksi!E:E, $C132, Transaksi!F:F, "Retur penjualan")+SUMIFS(Transaksi!K:K, Transaksi!E:E, $C132, Transaksi!F:F,"Rusak Internal")</f>
        <v>0</v>
      </c>
      <c r="G132" s="7" t="str">
        <f>SUMIFS(Transaksi!I:I, Transaksi!E:E, $C132, Transaksi!F:F, "Terjual")
+
SUMIFS(Transaksi!J:J, Transaksi!E:E, $C132, Transaksi!F:F, "Retur Pembelian")+SUMIFS(Transaksi!I:I, Transaksi!E:E, $C132, Transaksi!F:F, "Dipakai Sendiri")</f>
        <v>0</v>
      </c>
      <c r="H132" s="15" t="str">
        <f t="shared" si="2"/>
        <v>42</v>
      </c>
      <c r="I132" s="15" t="str">
        <f t="shared" si="3"/>
        <v/>
      </c>
      <c r="J132" s="7"/>
      <c r="K132" s="7">
        <v>5000.0</v>
      </c>
    </row>
    <row r="133" ht="15.75" customHeight="1">
      <c r="A133" s="5" t="str">
        <f t="shared" si="1"/>
        <v>132</v>
      </c>
      <c r="B133" s="7" t="s">
        <v>286</v>
      </c>
      <c r="C133" s="7" t="s">
        <v>287</v>
      </c>
      <c r="D133" s="7">
        <v>40.0</v>
      </c>
      <c r="E133" s="7" t="str">
        <f>SUMIFS(Transaksi!J:J, Transaksi!E:E, $C133, Transaksi!F:F, "Barang Datang")+SUMIFS(Transaksi!J:J, Transaksi!E:E,$C133,Transaksi!F:F,"Retur Penjualan")</f>
        <v>0</v>
      </c>
      <c r="F133" s="7" t="str">
        <f>SUMIFS(Transaksi!K:K, Transaksi!E:E, $C133, Transaksi!F:F, "Barang Datang")
+
SUMIFS(Transaksi!K:K, Transaksi!E:E, $C133, Transaksi!F:F, "Retur penjualan")+SUMIFS(Transaksi!K:K, Transaksi!E:E, $C133, Transaksi!F:F,"Rusak Internal")</f>
        <v>0</v>
      </c>
      <c r="G133" s="7" t="str">
        <f>SUMIFS(Transaksi!I:I, Transaksi!E:E, $C133, Transaksi!F:F, "Terjual")
+
SUMIFS(Transaksi!J:J, Transaksi!E:E, $C133, Transaksi!F:F, "Retur Pembelian")+SUMIFS(Transaksi!I:I, Transaksi!E:E, $C133, Transaksi!F:F, "Dipakai Sendiri")</f>
        <v>0</v>
      </c>
      <c r="H133" s="15" t="str">
        <f t="shared" si="2"/>
        <v>40</v>
      </c>
      <c r="I133" s="15" t="str">
        <f t="shared" si="3"/>
        <v/>
      </c>
      <c r="J133" s="7"/>
      <c r="K133" s="7">
        <v>30000.0</v>
      </c>
    </row>
    <row r="134" ht="15.75" customHeight="1">
      <c r="A134" s="5" t="str">
        <f t="shared" si="1"/>
        <v>133</v>
      </c>
      <c r="B134" s="7" t="s">
        <v>288</v>
      </c>
      <c r="C134" s="7" t="s">
        <v>289</v>
      </c>
      <c r="D134" s="7">
        <v>43.0</v>
      </c>
      <c r="E134" s="7" t="str">
        <f>SUMIFS(Transaksi!J:J, Transaksi!E:E, $C134, Transaksi!F:F, "Barang Datang")+SUMIFS(Transaksi!J:J, Transaksi!E:E,$C134,Transaksi!F:F,"Retur Penjualan")</f>
        <v>0</v>
      </c>
      <c r="F134" s="7" t="str">
        <f>SUMIFS(Transaksi!K:K, Transaksi!E:E, $C134, Transaksi!F:F, "Barang Datang")
+
SUMIFS(Transaksi!K:K, Transaksi!E:E, $C134, Transaksi!F:F, "Retur penjualan")+SUMIFS(Transaksi!K:K, Transaksi!E:E, $C134, Transaksi!F:F,"Rusak Internal")</f>
        <v>0</v>
      </c>
      <c r="G134" s="7" t="str">
        <f>SUMIFS(Transaksi!I:I, Transaksi!E:E, $C134, Transaksi!F:F, "Terjual")
+
SUMIFS(Transaksi!J:J, Transaksi!E:E, $C134, Transaksi!F:F, "Retur Pembelian")+SUMIFS(Transaksi!I:I, Transaksi!E:E, $C134, Transaksi!F:F, "Dipakai Sendiri")</f>
        <v>0</v>
      </c>
      <c r="H134" s="15" t="str">
        <f t="shared" si="2"/>
        <v>43</v>
      </c>
      <c r="I134" s="15" t="str">
        <f t="shared" si="3"/>
        <v/>
      </c>
      <c r="J134" s="7"/>
      <c r="K134" s="7">
        <v>5000.0</v>
      </c>
    </row>
    <row r="135" ht="15.75" customHeight="1">
      <c r="A135" s="5" t="str">
        <f t="shared" si="1"/>
        <v>134</v>
      </c>
      <c r="B135" s="7" t="s">
        <v>290</v>
      </c>
      <c r="C135" s="7" t="s">
        <v>291</v>
      </c>
      <c r="D135" s="7">
        <v>93.0</v>
      </c>
      <c r="E135" s="7" t="str">
        <f>SUMIFS(Transaksi!J:J, Transaksi!E:E, $C135, Transaksi!F:F, "Barang Datang")+SUMIFS(Transaksi!J:J, Transaksi!E:E,$C135,Transaksi!F:F,"Retur Penjualan")</f>
        <v>0</v>
      </c>
      <c r="F135" s="7" t="str">
        <f>SUMIFS(Transaksi!K:K, Transaksi!E:E, $C135, Transaksi!F:F, "Barang Datang")
+
SUMIFS(Transaksi!K:K, Transaksi!E:E, $C135, Transaksi!F:F, "Retur penjualan")+SUMIFS(Transaksi!K:K, Transaksi!E:E, $C135, Transaksi!F:F,"Rusak Internal")</f>
        <v>0</v>
      </c>
      <c r="G135" s="7" t="str">
        <f>SUMIFS(Transaksi!I:I, Transaksi!E:E, $C135, Transaksi!F:F, "Terjual")
+
SUMIFS(Transaksi!J:J, Transaksi!E:E, $C135, Transaksi!F:F, "Retur Pembelian")+SUMIFS(Transaksi!I:I, Transaksi!E:E, $C135, Transaksi!F:F, "Dipakai Sendiri")</f>
        <v>0</v>
      </c>
      <c r="H135" s="15" t="str">
        <f t="shared" si="2"/>
        <v>93</v>
      </c>
      <c r="I135" s="15" t="str">
        <f t="shared" si="3"/>
        <v/>
      </c>
      <c r="J135" s="7"/>
      <c r="K135" s="7">
        <v>40000.0</v>
      </c>
    </row>
    <row r="136" ht="15.75" customHeight="1">
      <c r="A136" s="5" t="str">
        <f t="shared" si="1"/>
        <v>135</v>
      </c>
      <c r="B136" s="7" t="s">
        <v>292</v>
      </c>
      <c r="C136" s="7" t="s">
        <v>293</v>
      </c>
      <c r="D136" s="7">
        <v>90.0</v>
      </c>
      <c r="E136" s="7" t="str">
        <f>SUMIFS(Transaksi!J:J, Transaksi!E:E, $C136, Transaksi!F:F, "Barang Datang")+SUMIFS(Transaksi!J:J, Transaksi!E:E,$C136,Transaksi!F:F,"Retur Penjualan")</f>
        <v>0</v>
      </c>
      <c r="F136" s="7" t="str">
        <f>SUMIFS(Transaksi!K:K, Transaksi!E:E, $C136, Transaksi!F:F, "Barang Datang")
+
SUMIFS(Transaksi!K:K, Transaksi!E:E, $C136, Transaksi!F:F, "Retur penjualan")+SUMIFS(Transaksi!K:K, Transaksi!E:E, $C136, Transaksi!F:F,"Rusak Internal")</f>
        <v>0</v>
      </c>
      <c r="G136" s="7" t="str">
        <f>SUMIFS(Transaksi!I:I, Transaksi!E:E, $C136, Transaksi!F:F, "Terjual")
+
SUMIFS(Transaksi!J:J, Transaksi!E:E, $C136, Transaksi!F:F, "Retur Pembelian")+SUMIFS(Transaksi!I:I, Transaksi!E:E, $C136, Transaksi!F:F, "Dipakai Sendiri")</f>
        <v>0</v>
      </c>
      <c r="H136" s="15" t="str">
        <f t="shared" si="2"/>
        <v>90</v>
      </c>
      <c r="I136" s="15" t="str">
        <f t="shared" si="3"/>
        <v/>
      </c>
      <c r="J136" s="7"/>
      <c r="K136" s="7">
        <v>25000.0</v>
      </c>
    </row>
    <row r="137" ht="15.75" customHeight="1">
      <c r="A137" s="5" t="str">
        <f t="shared" si="1"/>
        <v>136</v>
      </c>
      <c r="B137" s="7" t="s">
        <v>294</v>
      </c>
      <c r="C137" s="7" t="s">
        <v>295</v>
      </c>
      <c r="D137" s="7">
        <v>29.0</v>
      </c>
      <c r="E137" s="7" t="str">
        <f>SUMIFS(Transaksi!J:J, Transaksi!E:E, $C137, Transaksi!F:F, "Barang Datang")+SUMIFS(Transaksi!J:J, Transaksi!E:E,$C137,Transaksi!F:F,"Retur Penjualan")</f>
        <v>0</v>
      </c>
      <c r="F137" s="7" t="str">
        <f>SUMIFS(Transaksi!K:K, Transaksi!E:E, $C137, Transaksi!F:F, "Barang Datang")
+
SUMIFS(Transaksi!K:K, Transaksi!E:E, $C137, Transaksi!F:F, "Retur penjualan")+SUMIFS(Transaksi!K:K, Transaksi!E:E, $C137, Transaksi!F:F,"Rusak Internal")</f>
        <v>0</v>
      </c>
      <c r="G137" s="7" t="str">
        <f>SUMIFS(Transaksi!I:I, Transaksi!E:E, $C137, Transaksi!F:F, "Terjual")
+
SUMIFS(Transaksi!J:J, Transaksi!E:E, $C137, Transaksi!F:F, "Retur Pembelian")+SUMIFS(Transaksi!I:I, Transaksi!E:E, $C137, Transaksi!F:F, "Dipakai Sendiri")</f>
        <v>0</v>
      </c>
      <c r="H137" s="15" t="str">
        <f t="shared" si="2"/>
        <v>29</v>
      </c>
      <c r="I137" s="15" t="str">
        <f t="shared" si="3"/>
        <v/>
      </c>
      <c r="J137" s="7"/>
      <c r="K137" s="7">
        <v>20000.0</v>
      </c>
    </row>
    <row r="138" ht="15.75" customHeight="1">
      <c r="A138" s="5" t="str">
        <f t="shared" si="1"/>
        <v>137</v>
      </c>
      <c r="B138" s="7" t="s">
        <v>296</v>
      </c>
      <c r="C138" s="7" t="s">
        <v>297</v>
      </c>
      <c r="D138" s="7">
        <v>14.0</v>
      </c>
      <c r="E138" s="7" t="str">
        <f>SUMIFS(Transaksi!J:J, Transaksi!E:E, $C138, Transaksi!F:F, "Barang Datang")+SUMIFS(Transaksi!J:J, Transaksi!E:E,$C138,Transaksi!F:F,"Retur Penjualan")</f>
        <v>0</v>
      </c>
      <c r="F138" s="7" t="str">
        <f>SUMIFS(Transaksi!K:K, Transaksi!E:E, $C138, Transaksi!F:F, "Barang Datang")
+
SUMIFS(Transaksi!K:K, Transaksi!E:E, $C138, Transaksi!F:F, "Retur penjualan")+SUMIFS(Transaksi!K:K, Transaksi!E:E, $C138, Transaksi!F:F,"Rusak Internal")</f>
        <v>0</v>
      </c>
      <c r="G138" s="7" t="str">
        <f>SUMIFS(Transaksi!I:I, Transaksi!E:E, $C138, Transaksi!F:F, "Terjual")
+
SUMIFS(Transaksi!J:J, Transaksi!E:E, $C138, Transaksi!F:F, "Retur Pembelian")+SUMIFS(Transaksi!I:I, Transaksi!E:E, $C138, Transaksi!F:F, "Dipakai Sendiri")</f>
        <v>0</v>
      </c>
      <c r="H138" s="15" t="str">
        <f t="shared" si="2"/>
        <v>14</v>
      </c>
      <c r="I138" s="15" t="str">
        <f t="shared" si="3"/>
        <v/>
      </c>
      <c r="J138" s="7"/>
      <c r="K138" s="7">
        <v>40000.0</v>
      </c>
    </row>
    <row r="139" ht="15.75" customHeight="1">
      <c r="A139" s="5" t="str">
        <f t="shared" si="1"/>
        <v>138</v>
      </c>
      <c r="B139" s="7" t="s">
        <v>298</v>
      </c>
      <c r="C139" s="7" t="s">
        <v>299</v>
      </c>
      <c r="D139" s="7">
        <v>10.0</v>
      </c>
      <c r="E139" s="7" t="str">
        <f>SUMIFS(Transaksi!J:J, Transaksi!E:E, $C139, Transaksi!F:F, "Barang Datang")+SUMIFS(Transaksi!J:J, Transaksi!E:E,$C139,Transaksi!F:F,"Retur Penjualan")</f>
        <v>0</v>
      </c>
      <c r="F139" s="7" t="str">
        <f>SUMIFS(Transaksi!K:K, Transaksi!E:E, $C139, Transaksi!F:F, "Barang Datang")
+
SUMIFS(Transaksi!K:K, Transaksi!E:E, $C139, Transaksi!F:F, "Retur penjualan")+SUMIFS(Transaksi!K:K, Transaksi!E:E, $C139, Transaksi!F:F,"Rusak Internal")</f>
        <v>0</v>
      </c>
      <c r="G139" s="7" t="str">
        <f>SUMIFS(Transaksi!I:I, Transaksi!E:E, $C139, Transaksi!F:F, "Terjual")
+
SUMIFS(Transaksi!J:J, Transaksi!E:E, $C139, Transaksi!F:F, "Retur Pembelian")+SUMIFS(Transaksi!I:I, Transaksi!E:E, $C139, Transaksi!F:F, "Dipakai Sendiri")</f>
        <v>0</v>
      </c>
      <c r="H139" s="15" t="str">
        <f t="shared" si="2"/>
        <v>10</v>
      </c>
      <c r="I139" s="15" t="str">
        <f t="shared" si="3"/>
        <v/>
      </c>
      <c r="J139" s="7"/>
      <c r="K139" s="7">
        <v>20000.0</v>
      </c>
    </row>
    <row r="140" ht="15.75" customHeight="1">
      <c r="A140" s="5" t="str">
        <f t="shared" si="1"/>
        <v>139</v>
      </c>
      <c r="B140" s="7" t="s">
        <v>300</v>
      </c>
      <c r="C140" s="7" t="s">
        <v>301</v>
      </c>
      <c r="D140" s="7">
        <v>13.0</v>
      </c>
      <c r="E140" s="7" t="str">
        <f>SUMIFS(Transaksi!J:J, Transaksi!E:E, $C140, Transaksi!F:F, "Barang Datang")+SUMIFS(Transaksi!J:J, Transaksi!E:E,$C140,Transaksi!F:F,"Retur Penjualan")</f>
        <v>0</v>
      </c>
      <c r="F140" s="7" t="str">
        <f>SUMIFS(Transaksi!K:K, Transaksi!E:E, $C140, Transaksi!F:F, "Barang Datang")
+
SUMIFS(Transaksi!K:K, Transaksi!E:E, $C140, Transaksi!F:F, "Retur penjualan")+SUMIFS(Transaksi!K:K, Transaksi!E:E, $C140, Transaksi!F:F,"Rusak Internal")</f>
        <v>0</v>
      </c>
      <c r="G140" s="7" t="str">
        <f>SUMIFS(Transaksi!I:I, Transaksi!E:E, $C140, Transaksi!F:F, "Terjual")
+
SUMIFS(Transaksi!J:J, Transaksi!E:E, $C140, Transaksi!F:F, "Retur Pembelian")+SUMIFS(Transaksi!I:I, Transaksi!E:E, $C140, Transaksi!F:F, "Dipakai Sendiri")</f>
        <v>0</v>
      </c>
      <c r="H140" s="15" t="str">
        <f t="shared" si="2"/>
        <v>13</v>
      </c>
      <c r="I140" s="15" t="str">
        <f t="shared" si="3"/>
        <v/>
      </c>
      <c r="J140" s="7"/>
      <c r="K140" s="7">
        <v>10000.0</v>
      </c>
    </row>
    <row r="141" ht="15.75" customHeight="1">
      <c r="A141" s="5" t="str">
        <f t="shared" si="1"/>
        <v>140</v>
      </c>
      <c r="B141" s="7" t="s">
        <v>302</v>
      </c>
      <c r="C141" s="7" t="s">
        <v>303</v>
      </c>
      <c r="D141" s="7">
        <v>39.0</v>
      </c>
      <c r="E141" s="7" t="str">
        <f>SUMIFS(Transaksi!J:J, Transaksi!E:E, $C141, Transaksi!F:F, "Barang Datang")+SUMIFS(Transaksi!J:J, Transaksi!E:E,$C141,Transaksi!F:F,"Retur Penjualan")</f>
        <v>0</v>
      </c>
      <c r="F141" s="7" t="str">
        <f>SUMIFS(Transaksi!K:K, Transaksi!E:E, $C141, Transaksi!F:F, "Barang Datang")
+
SUMIFS(Transaksi!K:K, Transaksi!E:E, $C141, Transaksi!F:F, "Retur penjualan")+SUMIFS(Transaksi!K:K, Transaksi!E:E, $C141, Transaksi!F:F,"Rusak Internal")</f>
        <v>0</v>
      </c>
      <c r="G141" s="7" t="str">
        <f>SUMIFS(Transaksi!I:I, Transaksi!E:E, $C141, Transaksi!F:F, "Terjual")
+
SUMIFS(Transaksi!J:J, Transaksi!E:E, $C141, Transaksi!F:F, "Retur Pembelian")+SUMIFS(Transaksi!I:I, Transaksi!E:E, $C141, Transaksi!F:F, "Dipakai Sendiri")</f>
        <v>0</v>
      </c>
      <c r="H141" s="15" t="str">
        <f t="shared" si="2"/>
        <v>39</v>
      </c>
      <c r="I141" s="15" t="str">
        <f t="shared" si="3"/>
        <v/>
      </c>
      <c r="J141" s="7"/>
      <c r="K141" s="7">
        <v>50000.0</v>
      </c>
    </row>
    <row r="142" ht="15.75" customHeight="1">
      <c r="A142" s="5" t="str">
        <f t="shared" si="1"/>
        <v>141</v>
      </c>
      <c r="B142" s="7" t="s">
        <v>304</v>
      </c>
      <c r="C142" s="7" t="s">
        <v>305</v>
      </c>
      <c r="D142" s="7">
        <v>45.0</v>
      </c>
      <c r="E142" s="7" t="str">
        <f>SUMIFS(Transaksi!J:J, Transaksi!E:E, $C142, Transaksi!F:F, "Barang Datang")+SUMIFS(Transaksi!J:J, Transaksi!E:E,$C142,Transaksi!F:F,"Retur Penjualan")</f>
        <v>0</v>
      </c>
      <c r="F142" s="7" t="str">
        <f>SUMIFS(Transaksi!K:K, Transaksi!E:E, $C142, Transaksi!F:F, "Barang Datang")
+
SUMIFS(Transaksi!K:K, Transaksi!E:E, $C142, Transaksi!F:F, "Retur penjualan")+SUMIFS(Transaksi!K:K, Transaksi!E:E, $C142, Transaksi!F:F,"Rusak Internal")</f>
        <v>0</v>
      </c>
      <c r="G142" s="7" t="str">
        <f>SUMIFS(Transaksi!I:I, Transaksi!E:E, $C142, Transaksi!F:F, "Terjual")
+
SUMIFS(Transaksi!J:J, Transaksi!E:E, $C142, Transaksi!F:F, "Retur Pembelian")+SUMIFS(Transaksi!I:I, Transaksi!E:E, $C142, Transaksi!F:F, "Dipakai Sendiri")</f>
        <v>0</v>
      </c>
      <c r="H142" s="15" t="str">
        <f t="shared" si="2"/>
        <v>45</v>
      </c>
      <c r="I142" s="15" t="str">
        <f t="shared" si="3"/>
        <v/>
      </c>
      <c r="J142" s="7"/>
      <c r="K142" s="7">
        <v>45000.0</v>
      </c>
    </row>
    <row r="143" ht="15.75" customHeight="1">
      <c r="A143" s="5" t="str">
        <f t="shared" si="1"/>
        <v>142</v>
      </c>
      <c r="B143" s="7" t="s">
        <v>306</v>
      </c>
      <c r="C143" s="7" t="s">
        <v>307</v>
      </c>
      <c r="D143" s="7">
        <v>72.0</v>
      </c>
      <c r="E143" s="7" t="str">
        <f>SUMIFS(Transaksi!J:J, Transaksi!E:E, $C143, Transaksi!F:F, "Barang Datang")+SUMIFS(Transaksi!J:J, Transaksi!E:E,$C143,Transaksi!F:F,"Retur Penjualan")</f>
        <v>0</v>
      </c>
      <c r="F143" s="7" t="str">
        <f>SUMIFS(Transaksi!K:K, Transaksi!E:E, $C143, Transaksi!F:F, "Barang Datang")
+
SUMIFS(Transaksi!K:K, Transaksi!E:E, $C143, Transaksi!F:F, "Retur penjualan")+SUMIFS(Transaksi!K:K, Transaksi!E:E, $C143, Transaksi!F:F,"Rusak Internal")</f>
        <v>0</v>
      </c>
      <c r="G143" s="7" t="str">
        <f>SUMIFS(Transaksi!I:I, Transaksi!E:E, $C143, Transaksi!F:F, "Terjual")
+
SUMIFS(Transaksi!J:J, Transaksi!E:E, $C143, Transaksi!F:F, "Retur Pembelian")+SUMIFS(Transaksi!I:I, Transaksi!E:E, $C143, Transaksi!F:F, "Dipakai Sendiri")</f>
        <v>0</v>
      </c>
      <c r="H143" s="15" t="str">
        <f t="shared" si="2"/>
        <v>72</v>
      </c>
      <c r="I143" s="15" t="str">
        <f t="shared" si="3"/>
        <v/>
      </c>
      <c r="J143" s="7"/>
      <c r="K143" s="7">
        <v>10000.0</v>
      </c>
    </row>
    <row r="144" ht="15.75" customHeight="1">
      <c r="A144" s="5" t="str">
        <f t="shared" si="1"/>
        <v>143</v>
      </c>
      <c r="B144" s="7" t="s">
        <v>308</v>
      </c>
      <c r="C144" s="7" t="s">
        <v>309</v>
      </c>
      <c r="D144" s="7">
        <v>15.0</v>
      </c>
      <c r="E144" s="7" t="str">
        <f>SUMIFS(Transaksi!J:J, Transaksi!E:E, $C144, Transaksi!F:F, "Barang Datang")+SUMIFS(Transaksi!J:J, Transaksi!E:E,$C144,Transaksi!F:F,"Retur Penjualan")</f>
        <v>0</v>
      </c>
      <c r="F144" s="7" t="str">
        <f>SUMIFS(Transaksi!K:K, Transaksi!E:E, $C144, Transaksi!F:F, "Barang Datang")
+
SUMIFS(Transaksi!K:K, Transaksi!E:E, $C144, Transaksi!F:F, "Retur penjualan")+SUMIFS(Transaksi!K:K, Transaksi!E:E, $C144, Transaksi!F:F,"Rusak Internal")</f>
        <v>0</v>
      </c>
      <c r="G144" s="7" t="str">
        <f>SUMIFS(Transaksi!I:I, Transaksi!E:E, $C144, Transaksi!F:F, "Terjual")
+
SUMIFS(Transaksi!J:J, Transaksi!E:E, $C144, Transaksi!F:F, "Retur Pembelian")+SUMIFS(Transaksi!I:I, Transaksi!E:E, $C144, Transaksi!F:F, "Dipakai Sendiri")</f>
        <v>0</v>
      </c>
      <c r="H144" s="15" t="str">
        <f t="shared" si="2"/>
        <v>15</v>
      </c>
      <c r="I144" s="15" t="str">
        <f t="shared" si="3"/>
        <v/>
      </c>
      <c r="J144" s="7"/>
      <c r="K144" s="7">
        <v>35000.0</v>
      </c>
    </row>
    <row r="145" ht="15.75" customHeight="1">
      <c r="A145" s="5" t="str">
        <f t="shared" si="1"/>
        <v>144</v>
      </c>
      <c r="B145" s="7" t="s">
        <v>310</v>
      </c>
      <c r="C145" s="7" t="s">
        <v>311</v>
      </c>
      <c r="D145" s="7">
        <v>68.0</v>
      </c>
      <c r="E145" s="7" t="str">
        <f>SUMIFS(Transaksi!J:J, Transaksi!E:E, $C145, Transaksi!F:F, "Barang Datang")+SUMIFS(Transaksi!J:J, Transaksi!E:E,$C145,Transaksi!F:F,"Retur Penjualan")</f>
        <v>0</v>
      </c>
      <c r="F145" s="7" t="str">
        <f>SUMIFS(Transaksi!K:K, Transaksi!E:E, $C145, Transaksi!F:F, "Barang Datang")
+
SUMIFS(Transaksi!K:K, Transaksi!E:E, $C145, Transaksi!F:F, "Retur penjualan")+SUMIFS(Transaksi!K:K, Transaksi!E:E, $C145, Transaksi!F:F,"Rusak Internal")</f>
        <v>0</v>
      </c>
      <c r="G145" s="7" t="str">
        <f>SUMIFS(Transaksi!I:I, Transaksi!E:E, $C145, Transaksi!F:F, "Terjual")
+
SUMIFS(Transaksi!J:J, Transaksi!E:E, $C145, Transaksi!F:F, "Retur Pembelian")+SUMIFS(Transaksi!I:I, Transaksi!E:E, $C145, Transaksi!F:F, "Dipakai Sendiri")</f>
        <v>0</v>
      </c>
      <c r="H145" s="15" t="str">
        <f t="shared" si="2"/>
        <v>68</v>
      </c>
      <c r="I145" s="15" t="str">
        <f t="shared" si="3"/>
        <v/>
      </c>
      <c r="J145" s="7"/>
      <c r="K145" s="7">
        <v>30000.0</v>
      </c>
    </row>
    <row r="146" ht="15.75" customHeight="1">
      <c r="A146" s="5" t="str">
        <f t="shared" si="1"/>
        <v>145</v>
      </c>
      <c r="B146" s="7" t="s">
        <v>312</v>
      </c>
      <c r="C146" s="7" t="s">
        <v>313</v>
      </c>
      <c r="D146" s="7">
        <v>97.0</v>
      </c>
      <c r="E146" s="7" t="str">
        <f>SUMIFS(Transaksi!J:J, Transaksi!E:E, $C146, Transaksi!F:F, "Barang Datang")+SUMIFS(Transaksi!J:J, Transaksi!E:E,$C146,Transaksi!F:F,"Retur Penjualan")</f>
        <v>0</v>
      </c>
      <c r="F146" s="7" t="str">
        <f>SUMIFS(Transaksi!K:K, Transaksi!E:E, $C146, Transaksi!F:F, "Barang Datang")
+
SUMIFS(Transaksi!K:K, Transaksi!E:E, $C146, Transaksi!F:F, "Retur penjualan")+SUMIFS(Transaksi!K:K, Transaksi!E:E, $C146, Transaksi!F:F,"Rusak Internal")</f>
        <v>0</v>
      </c>
      <c r="G146" s="7" t="str">
        <f>SUMIFS(Transaksi!I:I, Transaksi!E:E, $C146, Transaksi!F:F, "Terjual")
+
SUMIFS(Transaksi!J:J, Transaksi!E:E, $C146, Transaksi!F:F, "Retur Pembelian")+SUMIFS(Transaksi!I:I, Transaksi!E:E, $C146, Transaksi!F:F, "Dipakai Sendiri")</f>
        <v>0</v>
      </c>
      <c r="H146" s="15" t="str">
        <f t="shared" si="2"/>
        <v>97</v>
      </c>
      <c r="I146" s="15" t="str">
        <f t="shared" si="3"/>
        <v/>
      </c>
      <c r="J146" s="7"/>
      <c r="K146" s="7">
        <v>5000.0</v>
      </c>
    </row>
    <row r="147" ht="15.75" customHeight="1">
      <c r="A147" s="5" t="str">
        <f t="shared" si="1"/>
        <v>146</v>
      </c>
      <c r="B147" s="7" t="s">
        <v>314</v>
      </c>
      <c r="C147" s="7" t="s">
        <v>315</v>
      </c>
      <c r="D147" s="7">
        <v>55.0</v>
      </c>
      <c r="E147" s="7" t="str">
        <f>SUMIFS(Transaksi!J:J, Transaksi!E:E, $C147, Transaksi!F:F, "Barang Datang")+SUMIFS(Transaksi!J:J, Transaksi!E:E,$C147,Transaksi!F:F,"Retur Penjualan")</f>
        <v>0</v>
      </c>
      <c r="F147" s="7" t="str">
        <f>SUMIFS(Transaksi!K:K, Transaksi!E:E, $C147, Transaksi!F:F, "Barang Datang")
+
SUMIFS(Transaksi!K:K, Transaksi!E:E, $C147, Transaksi!F:F, "Retur penjualan")+SUMIFS(Transaksi!K:K, Transaksi!E:E, $C147, Transaksi!F:F,"Rusak Internal")</f>
        <v>0</v>
      </c>
      <c r="G147" s="7" t="str">
        <f>SUMIFS(Transaksi!I:I, Transaksi!E:E, $C147, Transaksi!F:F, "Terjual")
+
SUMIFS(Transaksi!J:J, Transaksi!E:E, $C147, Transaksi!F:F, "Retur Pembelian")+SUMIFS(Transaksi!I:I, Transaksi!E:E, $C147, Transaksi!F:F, "Dipakai Sendiri")</f>
        <v>0</v>
      </c>
      <c r="H147" s="15" t="str">
        <f t="shared" si="2"/>
        <v>55</v>
      </c>
      <c r="I147" s="15" t="str">
        <f t="shared" si="3"/>
        <v/>
      </c>
      <c r="J147" s="7"/>
      <c r="K147" s="7">
        <v>30000.0</v>
      </c>
    </row>
    <row r="148" ht="15.75" customHeight="1">
      <c r="A148" s="5" t="str">
        <f t="shared" si="1"/>
        <v>147</v>
      </c>
      <c r="B148" s="7" t="s">
        <v>316</v>
      </c>
      <c r="C148" s="7" t="s">
        <v>317</v>
      </c>
      <c r="D148" s="7">
        <v>24.0</v>
      </c>
      <c r="E148" s="7" t="str">
        <f>SUMIFS(Transaksi!J:J, Transaksi!E:E, $C148, Transaksi!F:F, "Barang Datang")+SUMIFS(Transaksi!J:J, Transaksi!E:E,$C148,Transaksi!F:F,"Retur Penjualan")</f>
        <v>0</v>
      </c>
      <c r="F148" s="7" t="str">
        <f>SUMIFS(Transaksi!K:K, Transaksi!E:E, $C148, Transaksi!F:F, "Barang Datang")
+
SUMIFS(Transaksi!K:K, Transaksi!E:E, $C148, Transaksi!F:F, "Retur penjualan")+SUMIFS(Transaksi!K:K, Transaksi!E:E, $C148, Transaksi!F:F,"Rusak Internal")</f>
        <v>0</v>
      </c>
      <c r="G148" s="7" t="str">
        <f>SUMIFS(Transaksi!I:I, Transaksi!E:E, $C148, Transaksi!F:F, "Terjual")
+
SUMIFS(Transaksi!J:J, Transaksi!E:E, $C148, Transaksi!F:F, "Retur Pembelian")+SUMIFS(Transaksi!I:I, Transaksi!E:E, $C148, Transaksi!F:F, "Dipakai Sendiri")</f>
        <v>0</v>
      </c>
      <c r="H148" s="15" t="str">
        <f t="shared" si="2"/>
        <v>24</v>
      </c>
      <c r="I148" s="15" t="str">
        <f t="shared" si="3"/>
        <v/>
      </c>
      <c r="J148" s="7"/>
      <c r="K148" s="7">
        <v>45000.0</v>
      </c>
    </row>
    <row r="149" ht="15.75" customHeight="1">
      <c r="A149" s="5" t="str">
        <f t="shared" si="1"/>
        <v>148</v>
      </c>
      <c r="B149" s="7" t="s">
        <v>318</v>
      </c>
      <c r="C149" s="7" t="s">
        <v>319</v>
      </c>
      <c r="D149" s="7">
        <v>86.0</v>
      </c>
      <c r="E149" s="7" t="str">
        <f>SUMIFS(Transaksi!J:J, Transaksi!E:E, $C149, Transaksi!F:F, "Barang Datang")+SUMIFS(Transaksi!J:J, Transaksi!E:E,$C149,Transaksi!F:F,"Retur Penjualan")</f>
        <v>0</v>
      </c>
      <c r="F149" s="7" t="str">
        <f>SUMIFS(Transaksi!K:K, Transaksi!E:E, $C149, Transaksi!F:F, "Barang Datang")
+
SUMIFS(Transaksi!K:K, Transaksi!E:E, $C149, Transaksi!F:F, "Retur penjualan")+SUMIFS(Transaksi!K:K, Transaksi!E:E, $C149, Transaksi!F:F,"Rusak Internal")</f>
        <v>0</v>
      </c>
      <c r="G149" s="7" t="str">
        <f>SUMIFS(Transaksi!I:I, Transaksi!E:E, $C149, Transaksi!F:F, "Terjual")
+
SUMIFS(Transaksi!J:J, Transaksi!E:E, $C149, Transaksi!F:F, "Retur Pembelian")+SUMIFS(Transaksi!I:I, Transaksi!E:E, $C149, Transaksi!F:F, "Dipakai Sendiri")</f>
        <v>0</v>
      </c>
      <c r="H149" s="15" t="str">
        <f t="shared" si="2"/>
        <v>86</v>
      </c>
      <c r="I149" s="15" t="str">
        <f t="shared" si="3"/>
        <v/>
      </c>
      <c r="J149" s="7"/>
      <c r="K149" s="7">
        <v>35000.0</v>
      </c>
    </row>
    <row r="150" ht="15.75" customHeight="1">
      <c r="A150" s="5" t="str">
        <f t="shared" si="1"/>
        <v>149</v>
      </c>
      <c r="B150" s="7" t="s">
        <v>320</v>
      </c>
      <c r="C150" s="7" t="s">
        <v>321</v>
      </c>
      <c r="D150" s="7">
        <v>12.0</v>
      </c>
      <c r="E150" s="7" t="str">
        <f>SUMIFS(Transaksi!J:J, Transaksi!E:E, $C150, Transaksi!F:F, "Barang Datang")+SUMIFS(Transaksi!J:J, Transaksi!E:E,$C150,Transaksi!F:F,"Retur Penjualan")</f>
        <v>0</v>
      </c>
      <c r="F150" s="7" t="str">
        <f>SUMIFS(Transaksi!K:K, Transaksi!E:E, $C150, Transaksi!F:F, "Barang Datang")
+
SUMIFS(Transaksi!K:K, Transaksi!E:E, $C150, Transaksi!F:F, "Retur penjualan")+SUMIFS(Transaksi!K:K, Transaksi!E:E, $C150, Transaksi!F:F,"Rusak Internal")</f>
        <v>0</v>
      </c>
      <c r="G150" s="7" t="str">
        <f>SUMIFS(Transaksi!I:I, Transaksi!E:E, $C150, Transaksi!F:F, "Terjual")
+
SUMIFS(Transaksi!J:J, Transaksi!E:E, $C150, Transaksi!F:F, "Retur Pembelian")+SUMIFS(Transaksi!I:I, Transaksi!E:E, $C150, Transaksi!F:F, "Dipakai Sendiri")</f>
        <v>0</v>
      </c>
      <c r="H150" s="15" t="str">
        <f t="shared" si="2"/>
        <v>12</v>
      </c>
      <c r="I150" s="15" t="str">
        <f t="shared" si="3"/>
        <v/>
      </c>
      <c r="J150" s="7"/>
      <c r="K150" s="7">
        <v>15000.0</v>
      </c>
    </row>
    <row r="151" ht="15.75" customHeight="1">
      <c r="A151" s="5" t="str">
        <f t="shared" si="1"/>
        <v>150</v>
      </c>
      <c r="B151" s="7" t="s">
        <v>322</v>
      </c>
      <c r="C151" s="7" t="s">
        <v>323</v>
      </c>
      <c r="D151" s="7">
        <v>66.0</v>
      </c>
      <c r="E151" s="7" t="str">
        <f>SUMIFS(Transaksi!J:J, Transaksi!E:E, $C151, Transaksi!F:F, "Barang Datang")+SUMIFS(Transaksi!J:J, Transaksi!E:E,$C151,Transaksi!F:F,"Retur Penjualan")</f>
        <v>0</v>
      </c>
      <c r="F151" s="7" t="str">
        <f>SUMIFS(Transaksi!K:K, Transaksi!E:E, $C151, Transaksi!F:F, "Barang Datang")
+
SUMIFS(Transaksi!K:K, Transaksi!E:E, $C151, Transaksi!F:F, "Retur penjualan")+SUMIFS(Transaksi!K:K, Transaksi!E:E, $C151, Transaksi!F:F,"Rusak Internal")</f>
        <v>0</v>
      </c>
      <c r="G151" s="7" t="str">
        <f>SUMIFS(Transaksi!I:I, Transaksi!E:E, $C151, Transaksi!F:F, "Terjual")
+
SUMIFS(Transaksi!J:J, Transaksi!E:E, $C151, Transaksi!F:F, "Retur Pembelian")+SUMIFS(Transaksi!I:I, Transaksi!E:E, $C151, Transaksi!F:F, "Dipakai Sendiri")</f>
        <v>0</v>
      </c>
      <c r="H151" s="15" t="str">
        <f t="shared" si="2"/>
        <v>66</v>
      </c>
      <c r="I151" s="15" t="str">
        <f t="shared" si="3"/>
        <v/>
      </c>
      <c r="J151" s="7"/>
      <c r="K151" s="7">
        <v>50000.0</v>
      </c>
    </row>
    <row r="152" ht="15.75" customHeight="1">
      <c r="A152" s="5" t="str">
        <f t="shared" si="1"/>
        <v>151</v>
      </c>
      <c r="B152" s="7" t="s">
        <v>324</v>
      </c>
      <c r="C152" s="7" t="s">
        <v>325</v>
      </c>
      <c r="D152" s="7">
        <v>29.0</v>
      </c>
      <c r="E152" s="7" t="str">
        <f>SUMIFS(Transaksi!J:J, Transaksi!E:E, $C152, Transaksi!F:F, "Barang Datang")+SUMIFS(Transaksi!J:J, Transaksi!E:E,$C152,Transaksi!F:F,"Retur Penjualan")</f>
        <v>0</v>
      </c>
      <c r="F152" s="7" t="str">
        <f>SUMIFS(Transaksi!K:K, Transaksi!E:E, $C152, Transaksi!F:F, "Barang Datang")
+
SUMIFS(Transaksi!K:K, Transaksi!E:E, $C152, Transaksi!F:F, "Retur penjualan")+SUMIFS(Transaksi!K:K, Transaksi!E:E, $C152, Transaksi!F:F,"Rusak Internal")</f>
        <v>0</v>
      </c>
      <c r="G152" s="7" t="str">
        <f>SUMIFS(Transaksi!I:I, Transaksi!E:E, $C152, Transaksi!F:F, "Terjual")
+
SUMIFS(Transaksi!J:J, Transaksi!E:E, $C152, Transaksi!F:F, "Retur Pembelian")+SUMIFS(Transaksi!I:I, Transaksi!E:E, $C152, Transaksi!F:F, "Dipakai Sendiri")</f>
        <v>0</v>
      </c>
      <c r="H152" s="15" t="str">
        <f t="shared" si="2"/>
        <v>29</v>
      </c>
      <c r="I152" s="15" t="str">
        <f t="shared" si="3"/>
        <v/>
      </c>
      <c r="J152" s="7"/>
      <c r="K152" s="7">
        <v>5000.0</v>
      </c>
    </row>
    <row r="153" ht="15.75" customHeight="1">
      <c r="A153" s="5" t="str">
        <f t="shared" si="1"/>
        <v>152</v>
      </c>
      <c r="B153" s="7" t="s">
        <v>326</v>
      </c>
      <c r="C153" s="7" t="s">
        <v>327</v>
      </c>
      <c r="D153" s="7">
        <v>51.0</v>
      </c>
      <c r="E153" s="7" t="str">
        <f>SUMIFS(Transaksi!J:J, Transaksi!E:E, $C153, Transaksi!F:F, "Barang Datang")+SUMIFS(Transaksi!J:J, Transaksi!E:E,$C153,Transaksi!F:F,"Retur Penjualan")</f>
        <v>0</v>
      </c>
      <c r="F153" s="7" t="str">
        <f>SUMIFS(Transaksi!K:K, Transaksi!E:E, $C153, Transaksi!F:F, "Barang Datang")
+
SUMIFS(Transaksi!K:K, Transaksi!E:E, $C153, Transaksi!F:F, "Retur penjualan")+SUMIFS(Transaksi!K:K, Transaksi!E:E, $C153, Transaksi!F:F,"Rusak Internal")</f>
        <v>0</v>
      </c>
      <c r="G153" s="7" t="str">
        <f>SUMIFS(Transaksi!I:I, Transaksi!E:E, $C153, Transaksi!F:F, "Terjual")
+
SUMIFS(Transaksi!J:J, Transaksi!E:E, $C153, Transaksi!F:F, "Retur Pembelian")+SUMIFS(Transaksi!I:I, Transaksi!E:E, $C153, Transaksi!F:F, "Dipakai Sendiri")</f>
        <v>0</v>
      </c>
      <c r="H153" s="15" t="str">
        <f t="shared" si="2"/>
        <v>51</v>
      </c>
      <c r="I153" s="15" t="str">
        <f t="shared" si="3"/>
        <v/>
      </c>
      <c r="J153" s="7"/>
      <c r="K153" s="7">
        <v>30000.0</v>
      </c>
    </row>
    <row r="154" ht="15.75" customHeight="1">
      <c r="A154" s="5" t="str">
        <f t="shared" si="1"/>
        <v>153</v>
      </c>
      <c r="B154" s="7" t="s">
        <v>328</v>
      </c>
      <c r="C154" s="7" t="s">
        <v>329</v>
      </c>
      <c r="D154" s="7">
        <v>16.0</v>
      </c>
      <c r="E154" s="7" t="str">
        <f>SUMIFS(Transaksi!J:J, Transaksi!E:E, $C154, Transaksi!F:F, "Barang Datang")+SUMIFS(Transaksi!J:J, Transaksi!E:E,$C154,Transaksi!F:F,"Retur Penjualan")</f>
        <v>0</v>
      </c>
      <c r="F154" s="7" t="str">
        <f>SUMIFS(Transaksi!K:K, Transaksi!E:E, $C154, Transaksi!F:F, "Barang Datang")
+
SUMIFS(Transaksi!K:K, Transaksi!E:E, $C154, Transaksi!F:F, "Retur penjualan")+SUMIFS(Transaksi!K:K, Transaksi!E:E, $C154, Transaksi!F:F,"Rusak Internal")</f>
        <v>0</v>
      </c>
      <c r="G154" s="7" t="str">
        <f>SUMIFS(Transaksi!I:I, Transaksi!E:E, $C154, Transaksi!F:F, "Terjual")
+
SUMIFS(Transaksi!J:J, Transaksi!E:E, $C154, Transaksi!F:F, "Retur Pembelian")+SUMIFS(Transaksi!I:I, Transaksi!E:E, $C154, Transaksi!F:F, "Dipakai Sendiri")</f>
        <v>0</v>
      </c>
      <c r="H154" s="15" t="str">
        <f t="shared" si="2"/>
        <v>16</v>
      </c>
      <c r="I154" s="15" t="str">
        <f t="shared" si="3"/>
        <v/>
      </c>
      <c r="J154" s="7"/>
      <c r="K154" s="7">
        <v>50000.0</v>
      </c>
    </row>
    <row r="155" ht="15.75" customHeight="1">
      <c r="A155" s="5" t="str">
        <f t="shared" si="1"/>
        <v>154</v>
      </c>
      <c r="B155" s="7" t="s">
        <v>330</v>
      </c>
      <c r="C155" s="7" t="s">
        <v>331</v>
      </c>
      <c r="D155" s="7">
        <v>48.0</v>
      </c>
      <c r="E155" s="7" t="str">
        <f>SUMIFS(Transaksi!J:J, Transaksi!E:E, $C155, Transaksi!F:F, "Barang Datang")+SUMIFS(Transaksi!J:J, Transaksi!E:E,$C155,Transaksi!F:F,"Retur Penjualan")</f>
        <v>0</v>
      </c>
      <c r="F155" s="7" t="str">
        <f>SUMIFS(Transaksi!K:K, Transaksi!E:E, $C155, Transaksi!F:F, "Barang Datang")
+
SUMIFS(Transaksi!K:K, Transaksi!E:E, $C155, Transaksi!F:F, "Retur penjualan")+SUMIFS(Transaksi!K:K, Transaksi!E:E, $C155, Transaksi!F:F,"Rusak Internal")</f>
        <v>0</v>
      </c>
      <c r="G155" s="7" t="str">
        <f>SUMIFS(Transaksi!I:I, Transaksi!E:E, $C155, Transaksi!F:F, "Terjual")
+
SUMIFS(Transaksi!J:J, Transaksi!E:E, $C155, Transaksi!F:F, "Retur Pembelian")+SUMIFS(Transaksi!I:I, Transaksi!E:E, $C155, Transaksi!F:F, "Dipakai Sendiri")</f>
        <v>0</v>
      </c>
      <c r="H155" s="15" t="str">
        <f t="shared" si="2"/>
        <v>48</v>
      </c>
      <c r="I155" s="15" t="str">
        <f t="shared" si="3"/>
        <v/>
      </c>
      <c r="J155" s="7"/>
      <c r="K155" s="7">
        <v>40000.0</v>
      </c>
    </row>
    <row r="156" ht="15.75" customHeight="1">
      <c r="A156" s="5" t="str">
        <f t="shared" si="1"/>
        <v>155</v>
      </c>
      <c r="B156" s="7" t="s">
        <v>332</v>
      </c>
      <c r="C156" s="7" t="s">
        <v>333</v>
      </c>
      <c r="D156" s="7">
        <v>92.0</v>
      </c>
      <c r="E156" s="7" t="str">
        <f>SUMIFS(Transaksi!J:J, Transaksi!E:E, $C156, Transaksi!F:F, "Barang Datang")+SUMIFS(Transaksi!J:J, Transaksi!E:E,$C156,Transaksi!F:F,"Retur Penjualan")</f>
        <v>0</v>
      </c>
      <c r="F156" s="7" t="str">
        <f>SUMIFS(Transaksi!K:K, Transaksi!E:E, $C156, Transaksi!F:F, "Barang Datang")
+
SUMIFS(Transaksi!K:K, Transaksi!E:E, $C156, Transaksi!F:F, "Retur penjualan")+SUMIFS(Transaksi!K:K, Transaksi!E:E, $C156, Transaksi!F:F,"Rusak Internal")</f>
        <v>0</v>
      </c>
      <c r="G156" s="7" t="str">
        <f>SUMIFS(Transaksi!I:I, Transaksi!E:E, $C156, Transaksi!F:F, "Terjual")
+
SUMIFS(Transaksi!J:J, Transaksi!E:E, $C156, Transaksi!F:F, "Retur Pembelian")+SUMIFS(Transaksi!I:I, Transaksi!E:E, $C156, Transaksi!F:F, "Dipakai Sendiri")</f>
        <v>0</v>
      </c>
      <c r="H156" s="15" t="str">
        <f t="shared" si="2"/>
        <v>92</v>
      </c>
      <c r="I156" s="15" t="str">
        <f t="shared" si="3"/>
        <v/>
      </c>
      <c r="J156" s="7"/>
      <c r="K156" s="7">
        <v>20000.0</v>
      </c>
    </row>
    <row r="157" ht="15.75" customHeight="1">
      <c r="A157" s="5" t="str">
        <f t="shared" si="1"/>
        <v>156</v>
      </c>
      <c r="B157" s="7" t="s">
        <v>334</v>
      </c>
      <c r="C157" s="7" t="s">
        <v>335</v>
      </c>
      <c r="D157" s="7">
        <v>14.0</v>
      </c>
      <c r="E157" s="7" t="str">
        <f>SUMIFS(Transaksi!J:J, Transaksi!E:E, $C157, Transaksi!F:F, "Barang Datang")+SUMIFS(Transaksi!J:J, Transaksi!E:E,$C157,Transaksi!F:F,"Retur Penjualan")</f>
        <v>0</v>
      </c>
      <c r="F157" s="7" t="str">
        <f>SUMIFS(Transaksi!K:K, Transaksi!E:E, $C157, Transaksi!F:F, "Barang Datang")
+
SUMIFS(Transaksi!K:K, Transaksi!E:E, $C157, Transaksi!F:F, "Retur penjualan")+SUMIFS(Transaksi!K:K, Transaksi!E:E, $C157, Transaksi!F:F,"Rusak Internal")</f>
        <v>0</v>
      </c>
      <c r="G157" s="7" t="str">
        <f>SUMIFS(Transaksi!I:I, Transaksi!E:E, $C157, Transaksi!F:F, "Terjual")
+
SUMIFS(Transaksi!J:J, Transaksi!E:E, $C157, Transaksi!F:F, "Retur Pembelian")+SUMIFS(Transaksi!I:I, Transaksi!E:E, $C157, Transaksi!F:F, "Dipakai Sendiri")</f>
        <v>0</v>
      </c>
      <c r="H157" s="15" t="str">
        <f t="shared" si="2"/>
        <v>14</v>
      </c>
      <c r="I157" s="15" t="str">
        <f t="shared" si="3"/>
        <v/>
      </c>
      <c r="J157" s="7"/>
      <c r="K157" s="7">
        <v>15000.0</v>
      </c>
    </row>
    <row r="158" ht="15.75" customHeight="1">
      <c r="A158" s="5" t="str">
        <f t="shared" si="1"/>
        <v>157</v>
      </c>
      <c r="B158" s="7" t="s">
        <v>336</v>
      </c>
      <c r="C158" s="7" t="s">
        <v>337</v>
      </c>
      <c r="D158" s="7">
        <v>40.0</v>
      </c>
      <c r="E158" s="7" t="str">
        <f>SUMIFS(Transaksi!J:J, Transaksi!E:E, $C158, Transaksi!F:F, "Barang Datang")+SUMIFS(Transaksi!J:J, Transaksi!E:E,$C158,Transaksi!F:F,"Retur Penjualan")</f>
        <v>0</v>
      </c>
      <c r="F158" s="7" t="str">
        <f>SUMIFS(Transaksi!K:K, Transaksi!E:E, $C158, Transaksi!F:F, "Barang Datang")
+
SUMIFS(Transaksi!K:K, Transaksi!E:E, $C158, Transaksi!F:F, "Retur penjualan")+SUMIFS(Transaksi!K:K, Transaksi!E:E, $C158, Transaksi!F:F,"Rusak Internal")</f>
        <v>0</v>
      </c>
      <c r="G158" s="7" t="str">
        <f>SUMIFS(Transaksi!I:I, Transaksi!E:E, $C158, Transaksi!F:F, "Terjual")
+
SUMIFS(Transaksi!J:J, Transaksi!E:E, $C158, Transaksi!F:F, "Retur Pembelian")+SUMIFS(Transaksi!I:I, Transaksi!E:E, $C158, Transaksi!F:F, "Dipakai Sendiri")</f>
        <v>0</v>
      </c>
      <c r="H158" s="15" t="str">
        <f t="shared" si="2"/>
        <v>40</v>
      </c>
      <c r="I158" s="15" t="str">
        <f t="shared" si="3"/>
        <v/>
      </c>
      <c r="J158" s="7"/>
      <c r="K158" s="7">
        <v>30000.0</v>
      </c>
    </row>
    <row r="159" ht="15.75" customHeight="1">
      <c r="A159" s="5" t="str">
        <f t="shared" si="1"/>
        <v>158</v>
      </c>
      <c r="B159" s="7" t="s">
        <v>338</v>
      </c>
      <c r="C159" s="7" t="s">
        <v>339</v>
      </c>
      <c r="D159" s="7">
        <v>38.0</v>
      </c>
      <c r="E159" s="7" t="str">
        <f>SUMIFS(Transaksi!J:J, Transaksi!E:E, $C159, Transaksi!F:F, "Barang Datang")+SUMIFS(Transaksi!J:J, Transaksi!E:E,$C159,Transaksi!F:F,"Retur Penjualan")</f>
        <v>0</v>
      </c>
      <c r="F159" s="7" t="str">
        <f>SUMIFS(Transaksi!K:K, Transaksi!E:E, $C159, Transaksi!F:F, "Barang Datang")
+
SUMIFS(Transaksi!K:K, Transaksi!E:E, $C159, Transaksi!F:F, "Retur penjualan")+SUMIFS(Transaksi!K:K, Transaksi!E:E, $C159, Transaksi!F:F,"Rusak Internal")</f>
        <v>0</v>
      </c>
      <c r="G159" s="7" t="str">
        <f>SUMIFS(Transaksi!I:I, Transaksi!E:E, $C159, Transaksi!F:F, "Terjual")
+
SUMIFS(Transaksi!J:J, Transaksi!E:E, $C159, Transaksi!F:F, "Retur Pembelian")+SUMIFS(Transaksi!I:I, Transaksi!E:E, $C159, Transaksi!F:F, "Dipakai Sendiri")</f>
        <v>0</v>
      </c>
      <c r="H159" s="15" t="str">
        <f t="shared" si="2"/>
        <v>38</v>
      </c>
      <c r="I159" s="15" t="str">
        <f t="shared" si="3"/>
        <v/>
      </c>
      <c r="J159" s="7"/>
      <c r="K159" s="7">
        <v>15000.0</v>
      </c>
    </row>
    <row r="160" ht="15.75" customHeight="1">
      <c r="A160" s="5" t="str">
        <f t="shared" si="1"/>
        <v>159</v>
      </c>
      <c r="B160" s="7" t="s">
        <v>340</v>
      </c>
      <c r="C160" s="7" t="s">
        <v>341</v>
      </c>
      <c r="D160" s="7">
        <v>10.0</v>
      </c>
      <c r="E160" s="7" t="str">
        <f>SUMIFS(Transaksi!J:J, Transaksi!E:E, $C160, Transaksi!F:F, "Barang Datang")+SUMIFS(Transaksi!J:J, Transaksi!E:E,$C160,Transaksi!F:F,"Retur Penjualan")</f>
        <v>0</v>
      </c>
      <c r="F160" s="7" t="str">
        <f>SUMIFS(Transaksi!K:K, Transaksi!E:E, $C160, Transaksi!F:F, "Barang Datang")
+
SUMIFS(Transaksi!K:K, Transaksi!E:E, $C160, Transaksi!F:F, "Retur penjualan")+SUMIFS(Transaksi!K:K, Transaksi!E:E, $C160, Transaksi!F:F,"Rusak Internal")</f>
        <v>0</v>
      </c>
      <c r="G160" s="7" t="str">
        <f>SUMIFS(Transaksi!I:I, Transaksi!E:E, $C160, Transaksi!F:F, "Terjual")
+
SUMIFS(Transaksi!J:J, Transaksi!E:E, $C160, Transaksi!F:F, "Retur Pembelian")+SUMIFS(Transaksi!I:I, Transaksi!E:E, $C160, Transaksi!F:F, "Dipakai Sendiri")</f>
        <v>0</v>
      </c>
      <c r="H160" s="15" t="str">
        <f t="shared" si="2"/>
        <v>10</v>
      </c>
      <c r="I160" s="15" t="str">
        <f t="shared" si="3"/>
        <v/>
      </c>
      <c r="J160" s="7"/>
      <c r="K160" s="7">
        <v>20000.0</v>
      </c>
    </row>
    <row r="161" ht="15.75" customHeight="1">
      <c r="A161" s="5" t="str">
        <f t="shared" si="1"/>
        <v>160</v>
      </c>
      <c r="B161" s="7" t="s">
        <v>342</v>
      </c>
      <c r="C161" s="7" t="s">
        <v>343</v>
      </c>
      <c r="D161" s="7">
        <v>64.0</v>
      </c>
      <c r="E161" s="7" t="str">
        <f>SUMIFS(Transaksi!J:J, Transaksi!E:E, $C161, Transaksi!F:F, "Barang Datang")+SUMIFS(Transaksi!J:J, Transaksi!E:E,$C161,Transaksi!F:F,"Retur Penjualan")</f>
        <v>0</v>
      </c>
      <c r="F161" s="7" t="str">
        <f>SUMIFS(Transaksi!K:K, Transaksi!E:E, $C161, Transaksi!F:F, "Barang Datang")
+
SUMIFS(Transaksi!K:K, Transaksi!E:E, $C161, Transaksi!F:F, "Retur penjualan")+SUMIFS(Transaksi!K:K, Transaksi!E:E, $C161, Transaksi!F:F,"Rusak Internal")</f>
        <v>0</v>
      </c>
      <c r="G161" s="7" t="str">
        <f>SUMIFS(Transaksi!I:I, Transaksi!E:E, $C161, Transaksi!F:F, "Terjual")
+
SUMIFS(Transaksi!J:J, Transaksi!E:E, $C161, Transaksi!F:F, "Retur Pembelian")+SUMIFS(Transaksi!I:I, Transaksi!E:E, $C161, Transaksi!F:F, "Dipakai Sendiri")</f>
        <v>0</v>
      </c>
      <c r="H161" s="15" t="str">
        <f t="shared" si="2"/>
        <v>64</v>
      </c>
      <c r="I161" s="15" t="str">
        <f t="shared" si="3"/>
        <v/>
      </c>
      <c r="J161" s="7"/>
      <c r="K161" s="7">
        <v>40000.0</v>
      </c>
    </row>
    <row r="162" ht="15.75" customHeight="1">
      <c r="A162" s="5" t="str">
        <f t="shared" si="1"/>
        <v>161</v>
      </c>
      <c r="B162" s="7" t="s">
        <v>344</v>
      </c>
      <c r="C162" s="7" t="s">
        <v>345</v>
      </c>
      <c r="D162" s="7">
        <v>91.0</v>
      </c>
      <c r="E162" s="7" t="str">
        <f>SUMIFS(Transaksi!J:J, Transaksi!E:E, $C162, Transaksi!F:F, "Barang Datang")+SUMIFS(Transaksi!J:J, Transaksi!E:E,$C162,Transaksi!F:F,"Retur Penjualan")</f>
        <v>0</v>
      </c>
      <c r="F162" s="7" t="str">
        <f>SUMIFS(Transaksi!K:K, Transaksi!E:E, $C162, Transaksi!F:F, "Barang Datang")
+
SUMIFS(Transaksi!K:K, Transaksi!E:E, $C162, Transaksi!F:F, "Retur penjualan")+SUMIFS(Transaksi!K:K, Transaksi!E:E, $C162, Transaksi!F:F,"Rusak Internal")</f>
        <v>0</v>
      </c>
      <c r="G162" s="7" t="str">
        <f>SUMIFS(Transaksi!I:I, Transaksi!E:E, $C162, Transaksi!F:F, "Terjual")
+
SUMIFS(Transaksi!J:J, Transaksi!E:E, $C162, Transaksi!F:F, "Retur Pembelian")+SUMIFS(Transaksi!I:I, Transaksi!E:E, $C162, Transaksi!F:F, "Dipakai Sendiri")</f>
        <v>0</v>
      </c>
      <c r="H162" s="15" t="str">
        <f t="shared" si="2"/>
        <v>91</v>
      </c>
      <c r="I162" s="15" t="str">
        <f t="shared" si="3"/>
        <v/>
      </c>
      <c r="J162" s="7"/>
      <c r="K162" s="7">
        <v>45000.0</v>
      </c>
    </row>
    <row r="163" ht="15.75" customHeight="1">
      <c r="A163" s="5" t="str">
        <f t="shared" si="1"/>
        <v>162</v>
      </c>
      <c r="B163" s="7" t="s">
        <v>346</v>
      </c>
      <c r="C163" s="7" t="s">
        <v>347</v>
      </c>
      <c r="D163" s="7">
        <v>39.0</v>
      </c>
      <c r="E163" s="7" t="str">
        <f>SUMIFS(Transaksi!J:J, Transaksi!E:E, $C163, Transaksi!F:F, "Barang Datang")+SUMIFS(Transaksi!J:J, Transaksi!E:E,$C163,Transaksi!F:F,"Retur Penjualan")</f>
        <v>0</v>
      </c>
      <c r="F163" s="7" t="str">
        <f>SUMIFS(Transaksi!K:K, Transaksi!E:E, $C163, Transaksi!F:F, "Barang Datang")
+
SUMIFS(Transaksi!K:K, Transaksi!E:E, $C163, Transaksi!F:F, "Retur penjualan")+SUMIFS(Transaksi!K:K, Transaksi!E:E, $C163, Transaksi!F:F,"Rusak Internal")</f>
        <v>0</v>
      </c>
      <c r="G163" s="7" t="str">
        <f>SUMIFS(Transaksi!I:I, Transaksi!E:E, $C163, Transaksi!F:F, "Terjual")
+
SUMIFS(Transaksi!J:J, Transaksi!E:E, $C163, Transaksi!F:F, "Retur Pembelian")+SUMIFS(Transaksi!I:I, Transaksi!E:E, $C163, Transaksi!F:F, "Dipakai Sendiri")</f>
        <v>0</v>
      </c>
      <c r="H163" s="15" t="str">
        <f t="shared" si="2"/>
        <v>39</v>
      </c>
      <c r="I163" s="15" t="str">
        <f t="shared" si="3"/>
        <v/>
      </c>
      <c r="J163" s="7"/>
      <c r="K163" s="7">
        <v>35000.0</v>
      </c>
    </row>
    <row r="164" ht="15.75" customHeight="1">
      <c r="A164" s="5" t="str">
        <f t="shared" si="1"/>
        <v>163</v>
      </c>
      <c r="B164" s="7" t="s">
        <v>348</v>
      </c>
      <c r="C164" s="7" t="s">
        <v>349</v>
      </c>
      <c r="D164" s="7">
        <v>40.0</v>
      </c>
      <c r="E164" s="7" t="str">
        <f>SUMIFS(Transaksi!J:J, Transaksi!E:E, $C164, Transaksi!F:F, "Barang Datang")+SUMIFS(Transaksi!J:J, Transaksi!E:E,$C164,Transaksi!F:F,"Retur Penjualan")</f>
        <v>0</v>
      </c>
      <c r="F164" s="7" t="str">
        <f>SUMIFS(Transaksi!K:K, Transaksi!E:E, $C164, Transaksi!F:F, "Barang Datang")
+
SUMIFS(Transaksi!K:K, Transaksi!E:E, $C164, Transaksi!F:F, "Retur penjualan")+SUMIFS(Transaksi!K:K, Transaksi!E:E, $C164, Transaksi!F:F,"Rusak Internal")</f>
        <v>0</v>
      </c>
      <c r="G164" s="7" t="str">
        <f>SUMIFS(Transaksi!I:I, Transaksi!E:E, $C164, Transaksi!F:F, "Terjual")
+
SUMIFS(Transaksi!J:J, Transaksi!E:E, $C164, Transaksi!F:F, "Retur Pembelian")+SUMIFS(Transaksi!I:I, Transaksi!E:E, $C164, Transaksi!F:F, "Dipakai Sendiri")</f>
        <v>0</v>
      </c>
      <c r="H164" s="15" t="str">
        <f t="shared" si="2"/>
        <v>40</v>
      </c>
      <c r="I164" s="15" t="str">
        <f t="shared" si="3"/>
        <v/>
      </c>
      <c r="J164" s="7"/>
      <c r="K164" s="7">
        <v>20000.0</v>
      </c>
    </row>
    <row r="165" ht="15.75" customHeight="1">
      <c r="A165" s="5" t="str">
        <f t="shared" si="1"/>
        <v>164</v>
      </c>
      <c r="B165" s="7" t="s">
        <v>350</v>
      </c>
      <c r="C165" s="7" t="s">
        <v>351</v>
      </c>
      <c r="D165" s="7">
        <v>32.0</v>
      </c>
      <c r="E165" s="7" t="str">
        <f>SUMIFS(Transaksi!J:J, Transaksi!E:E, $C165, Transaksi!F:F, "Barang Datang")+SUMIFS(Transaksi!J:J, Transaksi!E:E,$C165,Transaksi!F:F,"Retur Penjualan")</f>
        <v>0</v>
      </c>
      <c r="F165" s="7" t="str">
        <f>SUMIFS(Transaksi!K:K, Transaksi!E:E, $C165, Transaksi!F:F, "Barang Datang")
+
SUMIFS(Transaksi!K:K, Transaksi!E:E, $C165, Transaksi!F:F, "Retur penjualan")+SUMIFS(Transaksi!K:K, Transaksi!E:E, $C165, Transaksi!F:F,"Rusak Internal")</f>
        <v>0</v>
      </c>
      <c r="G165" s="7" t="str">
        <f>SUMIFS(Transaksi!I:I, Transaksi!E:E, $C165, Transaksi!F:F, "Terjual")
+
SUMIFS(Transaksi!J:J, Transaksi!E:E, $C165, Transaksi!F:F, "Retur Pembelian")+SUMIFS(Transaksi!I:I, Transaksi!E:E, $C165, Transaksi!F:F, "Dipakai Sendiri")</f>
        <v>0</v>
      </c>
      <c r="H165" s="15" t="str">
        <f t="shared" si="2"/>
        <v>32</v>
      </c>
      <c r="I165" s="15" t="str">
        <f t="shared" si="3"/>
        <v/>
      </c>
      <c r="J165" s="7"/>
      <c r="K165" s="7">
        <v>50000.0</v>
      </c>
    </row>
    <row r="166" ht="15.75" customHeight="1">
      <c r="A166" s="5" t="str">
        <f t="shared" si="1"/>
        <v>165</v>
      </c>
      <c r="B166" s="7" t="s">
        <v>352</v>
      </c>
      <c r="C166" s="7" t="s">
        <v>353</v>
      </c>
      <c r="D166" s="7">
        <v>58.0</v>
      </c>
      <c r="E166" s="7" t="str">
        <f>SUMIFS(Transaksi!J:J, Transaksi!E:E, $C166, Transaksi!F:F, "Barang Datang")+SUMIFS(Transaksi!J:J, Transaksi!E:E,$C166,Transaksi!F:F,"Retur Penjualan")</f>
        <v>0</v>
      </c>
      <c r="F166" s="7" t="str">
        <f>SUMIFS(Transaksi!K:K, Transaksi!E:E, $C166, Transaksi!F:F, "Barang Datang")
+
SUMIFS(Transaksi!K:K, Transaksi!E:E, $C166, Transaksi!F:F, "Retur penjualan")+SUMIFS(Transaksi!K:K, Transaksi!E:E, $C166, Transaksi!F:F,"Rusak Internal")</f>
        <v>0</v>
      </c>
      <c r="G166" s="7" t="str">
        <f>SUMIFS(Transaksi!I:I, Transaksi!E:E, $C166, Transaksi!F:F, "Terjual")
+
SUMIFS(Transaksi!J:J, Transaksi!E:E, $C166, Transaksi!F:F, "Retur Pembelian")+SUMIFS(Transaksi!I:I, Transaksi!E:E, $C166, Transaksi!F:F, "Dipakai Sendiri")</f>
        <v>0</v>
      </c>
      <c r="H166" s="15" t="str">
        <f t="shared" si="2"/>
        <v>58</v>
      </c>
      <c r="I166" s="15" t="str">
        <f t="shared" si="3"/>
        <v/>
      </c>
      <c r="J166" s="7"/>
      <c r="K166" s="7">
        <v>25000.0</v>
      </c>
    </row>
    <row r="167" ht="15.75" customHeight="1">
      <c r="A167" s="5" t="str">
        <f t="shared" si="1"/>
        <v>166</v>
      </c>
      <c r="B167" s="7" t="s">
        <v>354</v>
      </c>
      <c r="C167" s="7" t="s">
        <v>355</v>
      </c>
      <c r="D167" s="7">
        <v>29.0</v>
      </c>
      <c r="E167" s="7" t="str">
        <f>SUMIFS(Transaksi!J:J, Transaksi!E:E, $C167, Transaksi!F:F, "Barang Datang")+SUMIFS(Transaksi!J:J, Transaksi!E:E,$C167,Transaksi!F:F,"Retur Penjualan")</f>
        <v>0</v>
      </c>
      <c r="F167" s="7" t="str">
        <f>SUMIFS(Transaksi!K:K, Transaksi!E:E, $C167, Transaksi!F:F, "Barang Datang")
+
SUMIFS(Transaksi!K:K, Transaksi!E:E, $C167, Transaksi!F:F, "Retur penjualan")+SUMIFS(Transaksi!K:K, Transaksi!E:E, $C167, Transaksi!F:F,"Rusak Internal")</f>
        <v>0</v>
      </c>
      <c r="G167" s="7" t="str">
        <f>SUMIFS(Transaksi!I:I, Transaksi!E:E, $C167, Transaksi!F:F, "Terjual")
+
SUMIFS(Transaksi!J:J, Transaksi!E:E, $C167, Transaksi!F:F, "Retur Pembelian")+SUMIFS(Transaksi!I:I, Transaksi!E:E, $C167, Transaksi!F:F, "Dipakai Sendiri")</f>
        <v>0</v>
      </c>
      <c r="H167" s="15" t="str">
        <f t="shared" si="2"/>
        <v>29</v>
      </c>
      <c r="I167" s="15" t="str">
        <f t="shared" si="3"/>
        <v/>
      </c>
      <c r="J167" s="7"/>
      <c r="K167" s="7">
        <v>45000.0</v>
      </c>
    </row>
    <row r="168" ht="15.75" customHeight="1">
      <c r="A168" s="5" t="str">
        <f t="shared" si="1"/>
        <v>167</v>
      </c>
      <c r="B168" s="7" t="s">
        <v>356</v>
      </c>
      <c r="C168" s="7" t="s">
        <v>357</v>
      </c>
      <c r="D168" s="7">
        <v>68.0</v>
      </c>
      <c r="E168" s="7" t="str">
        <f>SUMIFS(Transaksi!J:J, Transaksi!E:E, $C168, Transaksi!F:F, "Barang Datang")+SUMIFS(Transaksi!J:J, Transaksi!E:E,$C168,Transaksi!F:F,"Retur Penjualan")</f>
        <v>0</v>
      </c>
      <c r="F168" s="7" t="str">
        <f>SUMIFS(Transaksi!K:K, Transaksi!E:E, $C168, Transaksi!F:F, "Barang Datang")
+
SUMIFS(Transaksi!K:K, Transaksi!E:E, $C168, Transaksi!F:F, "Retur penjualan")+SUMIFS(Transaksi!K:K, Transaksi!E:E, $C168, Transaksi!F:F,"Rusak Internal")</f>
        <v>0</v>
      </c>
      <c r="G168" s="7" t="str">
        <f>SUMIFS(Transaksi!I:I, Transaksi!E:E, $C168, Transaksi!F:F, "Terjual")
+
SUMIFS(Transaksi!J:J, Transaksi!E:E, $C168, Transaksi!F:F, "Retur Pembelian")+SUMIFS(Transaksi!I:I, Transaksi!E:E, $C168, Transaksi!F:F, "Dipakai Sendiri")</f>
        <v>0</v>
      </c>
      <c r="H168" s="15" t="str">
        <f t="shared" si="2"/>
        <v>68</v>
      </c>
      <c r="I168" s="15" t="str">
        <f t="shared" si="3"/>
        <v/>
      </c>
      <c r="J168" s="7"/>
      <c r="K168" s="7">
        <v>50000.0</v>
      </c>
    </row>
    <row r="169" ht="15.75" customHeight="1">
      <c r="A169" s="5" t="str">
        <f t="shared" si="1"/>
        <v>168</v>
      </c>
      <c r="B169" s="7" t="s">
        <v>358</v>
      </c>
      <c r="C169" s="7" t="s">
        <v>359</v>
      </c>
      <c r="D169" s="7">
        <v>10.0</v>
      </c>
      <c r="E169" s="7" t="str">
        <f>SUMIFS(Transaksi!J:J, Transaksi!E:E, $C169, Transaksi!F:F, "Barang Datang")+SUMIFS(Transaksi!J:J, Transaksi!E:E,$C169,Transaksi!F:F,"Retur Penjualan")</f>
        <v>0</v>
      </c>
      <c r="F169" s="7" t="str">
        <f>SUMIFS(Transaksi!K:K, Transaksi!E:E, $C169, Transaksi!F:F, "Barang Datang")
+
SUMIFS(Transaksi!K:K, Transaksi!E:E, $C169, Transaksi!F:F, "Retur penjualan")+SUMIFS(Transaksi!K:K, Transaksi!E:E, $C169, Transaksi!F:F,"Rusak Internal")</f>
        <v>0</v>
      </c>
      <c r="G169" s="7" t="str">
        <f>SUMIFS(Transaksi!I:I, Transaksi!E:E, $C169, Transaksi!F:F, "Terjual")
+
SUMIFS(Transaksi!J:J, Transaksi!E:E, $C169, Transaksi!F:F, "Retur Pembelian")+SUMIFS(Transaksi!I:I, Transaksi!E:E, $C169, Transaksi!F:F, "Dipakai Sendiri")</f>
        <v>0</v>
      </c>
      <c r="H169" s="15" t="str">
        <f t="shared" si="2"/>
        <v>10</v>
      </c>
      <c r="I169" s="15" t="str">
        <f t="shared" si="3"/>
        <v/>
      </c>
      <c r="J169" s="7"/>
      <c r="K169" s="7">
        <v>35000.0</v>
      </c>
    </row>
    <row r="170" ht="15.75" customHeight="1">
      <c r="A170" s="5" t="str">
        <f t="shared" si="1"/>
        <v>169</v>
      </c>
      <c r="B170" s="7" t="s">
        <v>360</v>
      </c>
      <c r="C170" s="7" t="s">
        <v>361</v>
      </c>
      <c r="D170" s="7">
        <v>39.0</v>
      </c>
      <c r="E170" s="7" t="str">
        <f>SUMIFS(Transaksi!J:J, Transaksi!E:E, $C170, Transaksi!F:F, "Barang Datang")+SUMIFS(Transaksi!J:J, Transaksi!E:E,$C170,Transaksi!F:F,"Retur Penjualan")</f>
        <v>0</v>
      </c>
      <c r="F170" s="7" t="str">
        <f>SUMIFS(Transaksi!K:K, Transaksi!E:E, $C170, Transaksi!F:F, "Barang Datang")
+
SUMIFS(Transaksi!K:K, Transaksi!E:E, $C170, Transaksi!F:F, "Retur penjualan")+SUMIFS(Transaksi!K:K, Transaksi!E:E, $C170, Transaksi!F:F,"Rusak Internal")</f>
        <v>0</v>
      </c>
      <c r="G170" s="7" t="str">
        <f>SUMIFS(Transaksi!I:I, Transaksi!E:E, $C170, Transaksi!F:F, "Terjual")
+
SUMIFS(Transaksi!J:J, Transaksi!E:E, $C170, Transaksi!F:F, "Retur Pembelian")+SUMIFS(Transaksi!I:I, Transaksi!E:E, $C170, Transaksi!F:F, "Dipakai Sendiri")</f>
        <v>0</v>
      </c>
      <c r="H170" s="15" t="str">
        <f t="shared" si="2"/>
        <v>39</v>
      </c>
      <c r="I170" s="15" t="str">
        <f t="shared" si="3"/>
        <v/>
      </c>
      <c r="J170" s="7"/>
      <c r="K170" s="7">
        <v>45000.0</v>
      </c>
    </row>
    <row r="171" ht="15.75" customHeight="1">
      <c r="A171" s="5" t="str">
        <f t="shared" si="1"/>
        <v>170</v>
      </c>
      <c r="B171" s="7" t="s">
        <v>362</v>
      </c>
      <c r="C171" s="7" t="s">
        <v>363</v>
      </c>
      <c r="D171" s="7">
        <v>84.0</v>
      </c>
      <c r="E171" s="7" t="str">
        <f>SUMIFS(Transaksi!J:J, Transaksi!E:E, $C171, Transaksi!F:F, "Barang Datang")+SUMIFS(Transaksi!J:J, Transaksi!E:E,$C171,Transaksi!F:F,"Retur Penjualan")</f>
        <v>0</v>
      </c>
      <c r="F171" s="7" t="str">
        <f>SUMIFS(Transaksi!K:K, Transaksi!E:E, $C171, Transaksi!F:F, "Barang Datang")
+
SUMIFS(Transaksi!K:K, Transaksi!E:E, $C171, Transaksi!F:F, "Retur penjualan")+SUMIFS(Transaksi!K:K, Transaksi!E:E, $C171, Transaksi!F:F,"Rusak Internal")</f>
        <v>0</v>
      </c>
      <c r="G171" s="7" t="str">
        <f>SUMIFS(Transaksi!I:I, Transaksi!E:E, $C171, Transaksi!F:F, "Terjual")
+
SUMIFS(Transaksi!J:J, Transaksi!E:E, $C171, Transaksi!F:F, "Retur Pembelian")+SUMIFS(Transaksi!I:I, Transaksi!E:E, $C171, Transaksi!F:F, "Dipakai Sendiri")</f>
        <v>0</v>
      </c>
      <c r="H171" s="15" t="str">
        <f t="shared" si="2"/>
        <v>84</v>
      </c>
      <c r="I171" s="15" t="str">
        <f t="shared" si="3"/>
        <v/>
      </c>
      <c r="J171" s="7"/>
      <c r="K171" s="7">
        <v>5000.0</v>
      </c>
    </row>
    <row r="172" ht="15.75" customHeight="1">
      <c r="A172" s="5" t="str">
        <f t="shared" si="1"/>
        <v>171</v>
      </c>
      <c r="B172" s="7" t="s">
        <v>364</v>
      </c>
      <c r="C172" s="7" t="s">
        <v>365</v>
      </c>
      <c r="D172" s="7">
        <v>83.0</v>
      </c>
      <c r="E172" s="7" t="str">
        <f>SUMIFS(Transaksi!J:J, Transaksi!E:E, $C172, Transaksi!F:F, "Barang Datang")+SUMIFS(Transaksi!J:J, Transaksi!E:E,$C172,Transaksi!F:F,"Retur Penjualan")</f>
        <v>0</v>
      </c>
      <c r="F172" s="7" t="str">
        <f>SUMIFS(Transaksi!K:K, Transaksi!E:E, $C172, Transaksi!F:F, "Barang Datang")
+
SUMIFS(Transaksi!K:K, Transaksi!E:E, $C172, Transaksi!F:F, "Retur penjualan")+SUMIFS(Transaksi!K:K, Transaksi!E:E, $C172, Transaksi!F:F,"Rusak Internal")</f>
        <v>0</v>
      </c>
      <c r="G172" s="7" t="str">
        <f>SUMIFS(Transaksi!I:I, Transaksi!E:E, $C172, Transaksi!F:F, "Terjual")
+
SUMIFS(Transaksi!J:J, Transaksi!E:E, $C172, Transaksi!F:F, "Retur Pembelian")+SUMIFS(Transaksi!I:I, Transaksi!E:E, $C172, Transaksi!F:F, "Dipakai Sendiri")</f>
        <v>0</v>
      </c>
      <c r="H172" s="15" t="str">
        <f t="shared" si="2"/>
        <v>83</v>
      </c>
      <c r="I172" s="15" t="str">
        <f t="shared" si="3"/>
        <v/>
      </c>
      <c r="J172" s="7"/>
      <c r="K172" s="7">
        <v>15000.0</v>
      </c>
    </row>
    <row r="173" ht="15.75" customHeight="1">
      <c r="A173" s="5" t="str">
        <f t="shared" si="1"/>
        <v>172</v>
      </c>
      <c r="B173" s="7" t="s">
        <v>366</v>
      </c>
      <c r="C173" s="7" t="s">
        <v>367</v>
      </c>
      <c r="D173" s="7">
        <v>91.0</v>
      </c>
      <c r="E173" s="7" t="str">
        <f>SUMIFS(Transaksi!J:J, Transaksi!E:E, $C173, Transaksi!F:F, "Barang Datang")+SUMIFS(Transaksi!J:J, Transaksi!E:E,$C173,Transaksi!F:F,"Retur Penjualan")</f>
        <v>0</v>
      </c>
      <c r="F173" s="7" t="str">
        <f>SUMIFS(Transaksi!K:K, Transaksi!E:E, $C173, Transaksi!F:F, "Barang Datang")
+
SUMIFS(Transaksi!K:K, Transaksi!E:E, $C173, Transaksi!F:F, "Retur penjualan")+SUMIFS(Transaksi!K:K, Transaksi!E:E, $C173, Transaksi!F:F,"Rusak Internal")</f>
        <v>0</v>
      </c>
      <c r="G173" s="7" t="str">
        <f>SUMIFS(Transaksi!I:I, Transaksi!E:E, $C173, Transaksi!F:F, "Terjual")
+
SUMIFS(Transaksi!J:J, Transaksi!E:E, $C173, Transaksi!F:F, "Retur Pembelian")+SUMIFS(Transaksi!I:I, Transaksi!E:E, $C173, Transaksi!F:F, "Dipakai Sendiri")</f>
        <v>0</v>
      </c>
      <c r="H173" s="15" t="str">
        <f t="shared" si="2"/>
        <v>91</v>
      </c>
      <c r="I173" s="15" t="str">
        <f t="shared" si="3"/>
        <v/>
      </c>
      <c r="J173" s="7"/>
      <c r="K173" s="7">
        <v>20000.0</v>
      </c>
    </row>
    <row r="174" ht="15.75" customHeight="1">
      <c r="A174" s="5" t="str">
        <f t="shared" si="1"/>
        <v>173</v>
      </c>
      <c r="B174" s="7" t="s">
        <v>368</v>
      </c>
      <c r="C174" s="7" t="s">
        <v>369</v>
      </c>
      <c r="D174" s="7">
        <v>34.0</v>
      </c>
      <c r="E174" s="7" t="str">
        <f>SUMIFS(Transaksi!J:J, Transaksi!E:E, $C174, Transaksi!F:F, "Barang Datang")+SUMIFS(Transaksi!J:J, Transaksi!E:E,$C174,Transaksi!F:F,"Retur Penjualan")</f>
        <v>0</v>
      </c>
      <c r="F174" s="7" t="str">
        <f>SUMIFS(Transaksi!K:K, Transaksi!E:E, $C174, Transaksi!F:F, "Barang Datang")
+
SUMIFS(Transaksi!K:K, Transaksi!E:E, $C174, Transaksi!F:F, "Retur penjualan")+SUMIFS(Transaksi!K:K, Transaksi!E:E, $C174, Transaksi!F:F,"Rusak Internal")</f>
        <v>0</v>
      </c>
      <c r="G174" s="7" t="str">
        <f>SUMIFS(Transaksi!I:I, Transaksi!E:E, $C174, Transaksi!F:F, "Terjual")
+
SUMIFS(Transaksi!J:J, Transaksi!E:E, $C174, Transaksi!F:F, "Retur Pembelian")+SUMIFS(Transaksi!I:I, Transaksi!E:E, $C174, Transaksi!F:F, "Dipakai Sendiri")</f>
        <v>0</v>
      </c>
      <c r="H174" s="15" t="str">
        <f t="shared" si="2"/>
        <v>34</v>
      </c>
      <c r="I174" s="15" t="str">
        <f t="shared" si="3"/>
        <v/>
      </c>
      <c r="J174" s="7"/>
      <c r="K174" s="7">
        <v>15000.0</v>
      </c>
    </row>
    <row r="175" ht="15.75" customHeight="1">
      <c r="A175" s="5" t="str">
        <f t="shared" si="1"/>
        <v>174</v>
      </c>
      <c r="B175" s="7" t="s">
        <v>370</v>
      </c>
      <c r="C175" s="7" t="s">
        <v>371</v>
      </c>
      <c r="D175" s="7">
        <v>27.0</v>
      </c>
      <c r="E175" s="7" t="str">
        <f>SUMIFS(Transaksi!J:J, Transaksi!E:E, $C175, Transaksi!F:F, "Barang Datang")+SUMIFS(Transaksi!J:J, Transaksi!E:E,$C175,Transaksi!F:F,"Retur Penjualan")</f>
        <v>0</v>
      </c>
      <c r="F175" s="7" t="str">
        <f>SUMIFS(Transaksi!K:K, Transaksi!E:E, $C175, Transaksi!F:F, "Barang Datang")
+
SUMIFS(Transaksi!K:K, Transaksi!E:E, $C175, Transaksi!F:F, "Retur penjualan")+SUMIFS(Transaksi!K:K, Transaksi!E:E, $C175, Transaksi!F:F,"Rusak Internal")</f>
        <v>0</v>
      </c>
      <c r="G175" s="7" t="str">
        <f>SUMIFS(Transaksi!I:I, Transaksi!E:E, $C175, Transaksi!F:F, "Terjual")
+
SUMIFS(Transaksi!J:J, Transaksi!E:E, $C175, Transaksi!F:F, "Retur Pembelian")+SUMIFS(Transaksi!I:I, Transaksi!E:E, $C175, Transaksi!F:F, "Dipakai Sendiri")</f>
        <v>0</v>
      </c>
      <c r="H175" s="15" t="str">
        <f t="shared" si="2"/>
        <v>27</v>
      </c>
      <c r="I175" s="15" t="str">
        <f t="shared" si="3"/>
        <v/>
      </c>
      <c r="J175" s="7"/>
      <c r="K175" s="7">
        <v>35000.0</v>
      </c>
    </row>
    <row r="176" ht="15.75" customHeight="1">
      <c r="A176" s="5" t="str">
        <f t="shared" si="1"/>
        <v>175</v>
      </c>
      <c r="B176" s="7" t="s">
        <v>372</v>
      </c>
      <c r="C176" s="7" t="s">
        <v>373</v>
      </c>
      <c r="D176" s="7">
        <v>10.0</v>
      </c>
      <c r="E176" s="7" t="str">
        <f>SUMIFS(Transaksi!J:J, Transaksi!E:E, $C176, Transaksi!F:F, "Barang Datang")+SUMIFS(Transaksi!J:J, Transaksi!E:E,$C176,Transaksi!F:F,"Retur Penjualan")</f>
        <v>0</v>
      </c>
      <c r="F176" s="7" t="str">
        <f>SUMIFS(Transaksi!K:K, Transaksi!E:E, $C176, Transaksi!F:F, "Barang Datang")
+
SUMIFS(Transaksi!K:K, Transaksi!E:E, $C176, Transaksi!F:F, "Retur penjualan")+SUMIFS(Transaksi!K:K, Transaksi!E:E, $C176, Transaksi!F:F,"Rusak Internal")</f>
        <v>0</v>
      </c>
      <c r="G176" s="7" t="str">
        <f>SUMIFS(Transaksi!I:I, Transaksi!E:E, $C176, Transaksi!F:F, "Terjual")
+
SUMIFS(Transaksi!J:J, Transaksi!E:E, $C176, Transaksi!F:F, "Retur Pembelian")+SUMIFS(Transaksi!I:I, Transaksi!E:E, $C176, Transaksi!F:F, "Dipakai Sendiri")</f>
        <v>0</v>
      </c>
      <c r="H176" s="15" t="str">
        <f t="shared" si="2"/>
        <v>10</v>
      </c>
      <c r="I176" s="15" t="str">
        <f t="shared" si="3"/>
        <v/>
      </c>
      <c r="J176" s="7"/>
      <c r="K176" s="7">
        <v>20000.0</v>
      </c>
    </row>
    <row r="177" ht="15.75" customHeight="1">
      <c r="A177" s="5" t="str">
        <f t="shared" si="1"/>
        <v>176</v>
      </c>
      <c r="B177" s="7" t="s">
        <v>374</v>
      </c>
      <c r="C177" s="7" t="s">
        <v>375</v>
      </c>
      <c r="D177" s="7">
        <v>66.0</v>
      </c>
      <c r="E177" s="7" t="str">
        <f>SUMIFS(Transaksi!J:J, Transaksi!E:E, $C177, Transaksi!F:F, "Barang Datang")+SUMIFS(Transaksi!J:J, Transaksi!E:E,$C177,Transaksi!F:F,"Retur Penjualan")</f>
        <v>0</v>
      </c>
      <c r="F177" s="7" t="str">
        <f>SUMIFS(Transaksi!K:K, Transaksi!E:E, $C177, Transaksi!F:F, "Barang Datang")
+
SUMIFS(Transaksi!K:K, Transaksi!E:E, $C177, Transaksi!F:F, "Retur penjualan")+SUMIFS(Transaksi!K:K, Transaksi!E:E, $C177, Transaksi!F:F,"Rusak Internal")</f>
        <v>0</v>
      </c>
      <c r="G177" s="7" t="str">
        <f>SUMIFS(Transaksi!I:I, Transaksi!E:E, $C177, Transaksi!F:F, "Terjual")
+
SUMIFS(Transaksi!J:J, Transaksi!E:E, $C177, Transaksi!F:F, "Retur Pembelian")+SUMIFS(Transaksi!I:I, Transaksi!E:E, $C177, Transaksi!F:F, "Dipakai Sendiri")</f>
        <v>0</v>
      </c>
      <c r="H177" s="15" t="str">
        <f t="shared" si="2"/>
        <v>66</v>
      </c>
      <c r="I177" s="15" t="str">
        <f t="shared" si="3"/>
        <v/>
      </c>
      <c r="J177" s="7"/>
      <c r="K177" s="7">
        <v>35000.0</v>
      </c>
    </row>
    <row r="178" ht="15.75" customHeight="1">
      <c r="A178" s="5" t="str">
        <f t="shared" si="1"/>
        <v>177</v>
      </c>
      <c r="B178" s="7" t="s">
        <v>376</v>
      </c>
      <c r="C178" s="7" t="s">
        <v>377</v>
      </c>
      <c r="D178" s="7">
        <v>30.0</v>
      </c>
      <c r="E178" s="7" t="str">
        <f>SUMIFS(Transaksi!J:J, Transaksi!E:E, $C178, Transaksi!F:F, "Barang Datang")+SUMIFS(Transaksi!J:J, Transaksi!E:E,$C178,Transaksi!F:F,"Retur Penjualan")</f>
        <v>0</v>
      </c>
      <c r="F178" s="7" t="str">
        <f>SUMIFS(Transaksi!K:K, Transaksi!E:E, $C178, Transaksi!F:F, "Barang Datang")
+
SUMIFS(Transaksi!K:K, Transaksi!E:E, $C178, Transaksi!F:F, "Retur penjualan")+SUMIFS(Transaksi!K:K, Transaksi!E:E, $C178, Transaksi!F:F,"Rusak Internal")</f>
        <v>0</v>
      </c>
      <c r="G178" s="7" t="str">
        <f>SUMIFS(Transaksi!I:I, Transaksi!E:E, $C178, Transaksi!F:F, "Terjual")
+
SUMIFS(Transaksi!J:J, Transaksi!E:E, $C178, Transaksi!F:F, "Retur Pembelian")+SUMIFS(Transaksi!I:I, Transaksi!E:E, $C178, Transaksi!F:F, "Dipakai Sendiri")</f>
        <v>0</v>
      </c>
      <c r="H178" s="15" t="str">
        <f t="shared" si="2"/>
        <v>30</v>
      </c>
      <c r="I178" s="15" t="str">
        <f t="shared" si="3"/>
        <v/>
      </c>
      <c r="J178" s="7"/>
      <c r="K178" s="7">
        <v>5000.0</v>
      </c>
    </row>
    <row r="179" ht="15.75" customHeight="1">
      <c r="A179" s="5" t="str">
        <f t="shared" si="1"/>
        <v>178</v>
      </c>
      <c r="B179" s="7" t="s">
        <v>378</v>
      </c>
      <c r="C179" s="7" t="s">
        <v>379</v>
      </c>
      <c r="D179" s="7">
        <v>14.0</v>
      </c>
      <c r="E179" s="7" t="str">
        <f>SUMIFS(Transaksi!J:J, Transaksi!E:E, $C179, Transaksi!F:F, "Barang Datang")+SUMIFS(Transaksi!J:J, Transaksi!E:E,$C179,Transaksi!F:F,"Retur Penjualan")</f>
        <v>0</v>
      </c>
      <c r="F179" s="7" t="str">
        <f>SUMIFS(Transaksi!K:K, Transaksi!E:E, $C179, Transaksi!F:F, "Barang Datang")
+
SUMIFS(Transaksi!K:K, Transaksi!E:E, $C179, Transaksi!F:F, "Retur penjualan")+SUMIFS(Transaksi!K:K, Transaksi!E:E, $C179, Transaksi!F:F,"Rusak Internal")</f>
        <v>0</v>
      </c>
      <c r="G179" s="7" t="str">
        <f>SUMIFS(Transaksi!I:I, Transaksi!E:E, $C179, Transaksi!F:F, "Terjual")
+
SUMIFS(Transaksi!J:J, Transaksi!E:E, $C179, Transaksi!F:F, "Retur Pembelian")+SUMIFS(Transaksi!I:I, Transaksi!E:E, $C179, Transaksi!F:F, "Dipakai Sendiri")</f>
        <v>0</v>
      </c>
      <c r="H179" s="15" t="str">
        <f t="shared" si="2"/>
        <v>14</v>
      </c>
      <c r="I179" s="15" t="str">
        <f t="shared" si="3"/>
        <v/>
      </c>
      <c r="J179" s="7"/>
      <c r="K179" s="7">
        <v>10000.0</v>
      </c>
    </row>
    <row r="180" ht="15.75" customHeight="1">
      <c r="A180" s="5" t="str">
        <f t="shared" si="1"/>
        <v>179</v>
      </c>
      <c r="B180" s="7" t="s">
        <v>380</v>
      </c>
      <c r="C180" s="7" t="s">
        <v>381</v>
      </c>
      <c r="D180" s="7">
        <v>43.0</v>
      </c>
      <c r="E180" s="7" t="str">
        <f>SUMIFS(Transaksi!J:J, Transaksi!E:E, $C180, Transaksi!F:F, "Barang Datang")+SUMIFS(Transaksi!J:J, Transaksi!E:E,$C180,Transaksi!F:F,"Retur Penjualan")</f>
        <v>0</v>
      </c>
      <c r="F180" s="7" t="str">
        <f>SUMIFS(Transaksi!K:K, Transaksi!E:E, $C180, Transaksi!F:F, "Barang Datang")
+
SUMIFS(Transaksi!K:K, Transaksi!E:E, $C180, Transaksi!F:F, "Retur penjualan")+SUMIFS(Transaksi!K:K, Transaksi!E:E, $C180, Transaksi!F:F,"Rusak Internal")</f>
        <v>0</v>
      </c>
      <c r="G180" s="7" t="str">
        <f>SUMIFS(Transaksi!I:I, Transaksi!E:E, $C180, Transaksi!F:F, "Terjual")
+
SUMIFS(Transaksi!J:J, Transaksi!E:E, $C180, Transaksi!F:F, "Retur Pembelian")+SUMIFS(Transaksi!I:I, Transaksi!E:E, $C180, Transaksi!F:F, "Dipakai Sendiri")</f>
        <v>0</v>
      </c>
      <c r="H180" s="15" t="str">
        <f t="shared" si="2"/>
        <v>43</v>
      </c>
      <c r="I180" s="15" t="str">
        <f t="shared" si="3"/>
        <v/>
      </c>
      <c r="J180" s="7"/>
      <c r="K180" s="7">
        <v>40000.0</v>
      </c>
    </row>
    <row r="181" ht="15.75" customHeight="1">
      <c r="A181" s="5" t="str">
        <f t="shared" si="1"/>
        <v>180</v>
      </c>
      <c r="B181" s="7" t="s">
        <v>382</v>
      </c>
      <c r="C181" s="7" t="s">
        <v>383</v>
      </c>
      <c r="D181" s="7">
        <v>57.0</v>
      </c>
      <c r="E181" s="7" t="str">
        <f>SUMIFS(Transaksi!J:J, Transaksi!E:E, $C181, Transaksi!F:F, "Barang Datang")+SUMIFS(Transaksi!J:J, Transaksi!E:E,$C181,Transaksi!F:F,"Retur Penjualan")</f>
        <v>0</v>
      </c>
      <c r="F181" s="7" t="str">
        <f>SUMIFS(Transaksi!K:K, Transaksi!E:E, $C181, Transaksi!F:F, "Barang Datang")
+
SUMIFS(Transaksi!K:K, Transaksi!E:E, $C181, Transaksi!F:F, "Retur penjualan")+SUMIFS(Transaksi!K:K, Transaksi!E:E, $C181, Transaksi!F:F,"Rusak Internal")</f>
        <v>0</v>
      </c>
      <c r="G181" s="7" t="str">
        <f>SUMIFS(Transaksi!I:I, Transaksi!E:E, $C181, Transaksi!F:F, "Terjual")
+
SUMIFS(Transaksi!J:J, Transaksi!E:E, $C181, Transaksi!F:F, "Retur Pembelian")+SUMIFS(Transaksi!I:I, Transaksi!E:E, $C181, Transaksi!F:F, "Dipakai Sendiri")</f>
        <v>0</v>
      </c>
      <c r="H181" s="15" t="str">
        <f t="shared" si="2"/>
        <v>57</v>
      </c>
      <c r="I181" s="15" t="str">
        <f t="shared" si="3"/>
        <v/>
      </c>
      <c r="J181" s="7"/>
      <c r="K181" s="7">
        <v>25000.0</v>
      </c>
    </row>
    <row r="182" ht="15.75" customHeight="1">
      <c r="A182" s="5" t="str">
        <f t="shared" si="1"/>
        <v>181</v>
      </c>
      <c r="B182" s="7" t="s">
        <v>384</v>
      </c>
      <c r="C182" s="7" t="s">
        <v>385</v>
      </c>
      <c r="D182" s="7">
        <v>69.0</v>
      </c>
      <c r="E182" s="7" t="str">
        <f>SUMIFS(Transaksi!J:J, Transaksi!E:E, $C182, Transaksi!F:F, "Barang Datang")+SUMIFS(Transaksi!J:J, Transaksi!E:E,$C182,Transaksi!F:F,"Retur Penjualan")</f>
        <v>0</v>
      </c>
      <c r="F182" s="7" t="str">
        <f>SUMIFS(Transaksi!K:K, Transaksi!E:E, $C182, Transaksi!F:F, "Barang Datang")
+
SUMIFS(Transaksi!K:K, Transaksi!E:E, $C182, Transaksi!F:F, "Retur penjualan")+SUMIFS(Transaksi!K:K, Transaksi!E:E, $C182, Transaksi!F:F,"Rusak Internal")</f>
        <v>0</v>
      </c>
      <c r="G182" s="7" t="str">
        <f>SUMIFS(Transaksi!I:I, Transaksi!E:E, $C182, Transaksi!F:F, "Terjual")
+
SUMIFS(Transaksi!J:J, Transaksi!E:E, $C182, Transaksi!F:F, "Retur Pembelian")+SUMIFS(Transaksi!I:I, Transaksi!E:E, $C182, Transaksi!F:F, "Dipakai Sendiri")</f>
        <v>0</v>
      </c>
      <c r="H182" s="15" t="str">
        <f t="shared" si="2"/>
        <v>69</v>
      </c>
      <c r="I182" s="15" t="str">
        <f t="shared" si="3"/>
        <v/>
      </c>
      <c r="J182" s="7"/>
      <c r="K182" s="7">
        <v>5000.0</v>
      </c>
    </row>
    <row r="183" ht="15.75" customHeight="1">
      <c r="A183" s="5" t="str">
        <f t="shared" si="1"/>
        <v>182</v>
      </c>
      <c r="B183" s="7" t="s">
        <v>386</v>
      </c>
      <c r="C183" s="7" t="s">
        <v>387</v>
      </c>
      <c r="D183" s="7">
        <v>77.0</v>
      </c>
      <c r="E183" s="7" t="str">
        <f>SUMIFS(Transaksi!J:J, Transaksi!E:E, $C183, Transaksi!F:F, "Barang Datang")+SUMIFS(Transaksi!J:J, Transaksi!E:E,$C183,Transaksi!F:F,"Retur Penjualan")</f>
        <v>0</v>
      </c>
      <c r="F183" s="7" t="str">
        <f>SUMIFS(Transaksi!K:K, Transaksi!E:E, $C183, Transaksi!F:F, "Barang Datang")
+
SUMIFS(Transaksi!K:K, Transaksi!E:E, $C183, Transaksi!F:F, "Retur penjualan")+SUMIFS(Transaksi!K:K, Transaksi!E:E, $C183, Transaksi!F:F,"Rusak Internal")</f>
        <v>0</v>
      </c>
      <c r="G183" s="7" t="str">
        <f>SUMIFS(Transaksi!I:I, Transaksi!E:E, $C183, Transaksi!F:F, "Terjual")
+
SUMIFS(Transaksi!J:J, Transaksi!E:E, $C183, Transaksi!F:F, "Retur Pembelian")+SUMIFS(Transaksi!I:I, Transaksi!E:E, $C183, Transaksi!F:F, "Dipakai Sendiri")</f>
        <v>0</v>
      </c>
      <c r="H183" s="15" t="str">
        <f t="shared" si="2"/>
        <v>77</v>
      </c>
      <c r="I183" s="15" t="str">
        <f t="shared" si="3"/>
        <v/>
      </c>
      <c r="J183" s="7"/>
      <c r="K183" s="7">
        <v>10000.0</v>
      </c>
    </row>
    <row r="184" ht="15.75" customHeight="1">
      <c r="A184" s="5" t="str">
        <f t="shared" si="1"/>
        <v>183</v>
      </c>
      <c r="B184" s="7" t="s">
        <v>388</v>
      </c>
      <c r="C184" s="7" t="s">
        <v>389</v>
      </c>
      <c r="D184" s="7">
        <v>31.0</v>
      </c>
      <c r="E184" s="7" t="str">
        <f>SUMIFS(Transaksi!J:J, Transaksi!E:E, $C184, Transaksi!F:F, "Barang Datang")+SUMIFS(Transaksi!J:J, Transaksi!E:E,$C184,Transaksi!F:F,"Retur Penjualan")</f>
        <v>0</v>
      </c>
      <c r="F184" s="7" t="str">
        <f>SUMIFS(Transaksi!K:K, Transaksi!E:E, $C184, Transaksi!F:F, "Barang Datang")
+
SUMIFS(Transaksi!K:K, Transaksi!E:E, $C184, Transaksi!F:F, "Retur penjualan")+SUMIFS(Transaksi!K:K, Transaksi!E:E, $C184, Transaksi!F:F,"Rusak Internal")</f>
        <v>0</v>
      </c>
      <c r="G184" s="7" t="str">
        <f>SUMIFS(Transaksi!I:I, Transaksi!E:E, $C184, Transaksi!F:F, "Terjual")
+
SUMIFS(Transaksi!J:J, Transaksi!E:E, $C184, Transaksi!F:F, "Retur Pembelian")+SUMIFS(Transaksi!I:I, Transaksi!E:E, $C184, Transaksi!F:F, "Dipakai Sendiri")</f>
        <v>0</v>
      </c>
      <c r="H184" s="15" t="str">
        <f t="shared" si="2"/>
        <v>31</v>
      </c>
      <c r="I184" s="15" t="str">
        <f t="shared" si="3"/>
        <v/>
      </c>
      <c r="J184" s="7"/>
      <c r="K184" s="7">
        <v>45000.0</v>
      </c>
    </row>
    <row r="185" ht="15.75" customHeight="1">
      <c r="A185" s="5" t="str">
        <f t="shared" si="1"/>
        <v>184</v>
      </c>
      <c r="B185" s="7" t="s">
        <v>390</v>
      </c>
      <c r="C185" s="7" t="s">
        <v>391</v>
      </c>
      <c r="D185" s="7">
        <v>73.0</v>
      </c>
      <c r="E185" s="7" t="str">
        <f>SUMIFS(Transaksi!J:J, Transaksi!E:E, $C185, Transaksi!F:F, "Barang Datang")+SUMIFS(Transaksi!J:J, Transaksi!E:E,$C185,Transaksi!F:F,"Retur Penjualan")</f>
        <v>0</v>
      </c>
      <c r="F185" s="7" t="str">
        <f>SUMIFS(Transaksi!K:K, Transaksi!E:E, $C185, Transaksi!F:F, "Barang Datang")
+
SUMIFS(Transaksi!K:K, Transaksi!E:E, $C185, Transaksi!F:F, "Retur penjualan")+SUMIFS(Transaksi!K:K, Transaksi!E:E, $C185, Transaksi!F:F,"Rusak Internal")</f>
        <v>0</v>
      </c>
      <c r="G185" s="7" t="str">
        <f>SUMIFS(Transaksi!I:I, Transaksi!E:E, $C185, Transaksi!F:F, "Terjual")
+
SUMIFS(Transaksi!J:J, Transaksi!E:E, $C185, Transaksi!F:F, "Retur Pembelian")+SUMIFS(Transaksi!I:I, Transaksi!E:E, $C185, Transaksi!F:F, "Dipakai Sendiri")</f>
        <v>0</v>
      </c>
      <c r="H185" s="15" t="str">
        <f t="shared" si="2"/>
        <v>73</v>
      </c>
      <c r="I185" s="15" t="str">
        <f t="shared" si="3"/>
        <v/>
      </c>
      <c r="J185" s="7"/>
      <c r="K185" s="7">
        <v>25000.0</v>
      </c>
    </row>
    <row r="186" ht="15.75" customHeight="1">
      <c r="A186" s="5" t="str">
        <f t="shared" si="1"/>
        <v>185</v>
      </c>
      <c r="B186" s="7" t="s">
        <v>392</v>
      </c>
      <c r="C186" s="7" t="s">
        <v>393</v>
      </c>
      <c r="D186" s="7">
        <v>11.0</v>
      </c>
      <c r="E186" s="7" t="str">
        <f>SUMIFS(Transaksi!J:J, Transaksi!E:E, $C186, Transaksi!F:F, "Barang Datang")+SUMIFS(Transaksi!J:J, Transaksi!E:E,$C186,Transaksi!F:F,"Retur Penjualan")</f>
        <v>0</v>
      </c>
      <c r="F186" s="7" t="str">
        <f>SUMIFS(Transaksi!K:K, Transaksi!E:E, $C186, Transaksi!F:F, "Barang Datang")
+
SUMIFS(Transaksi!K:K, Transaksi!E:E, $C186, Transaksi!F:F, "Retur penjualan")+SUMIFS(Transaksi!K:K, Transaksi!E:E, $C186, Transaksi!F:F,"Rusak Internal")</f>
        <v>0</v>
      </c>
      <c r="G186" s="7" t="str">
        <f>SUMIFS(Transaksi!I:I, Transaksi!E:E, $C186, Transaksi!F:F, "Terjual")
+
SUMIFS(Transaksi!J:J, Transaksi!E:E, $C186, Transaksi!F:F, "Retur Pembelian")+SUMIFS(Transaksi!I:I, Transaksi!E:E, $C186, Transaksi!F:F, "Dipakai Sendiri")</f>
        <v>0</v>
      </c>
      <c r="H186" s="15" t="str">
        <f t="shared" si="2"/>
        <v>11</v>
      </c>
      <c r="I186" s="15" t="str">
        <f t="shared" si="3"/>
        <v/>
      </c>
      <c r="J186" s="7"/>
      <c r="K186" s="7">
        <v>30000.0</v>
      </c>
    </row>
    <row r="187" ht="15.75" customHeight="1">
      <c r="A187" s="5" t="str">
        <f t="shared" si="1"/>
        <v>186</v>
      </c>
      <c r="B187" s="7" t="s">
        <v>394</v>
      </c>
      <c r="C187" s="7" t="s">
        <v>395</v>
      </c>
      <c r="D187" s="7">
        <v>17.0</v>
      </c>
      <c r="E187" s="7" t="str">
        <f>SUMIFS(Transaksi!J:J, Transaksi!E:E, $C187, Transaksi!F:F, "Barang Datang")+SUMIFS(Transaksi!J:J, Transaksi!E:E,$C187,Transaksi!F:F,"Retur Penjualan")</f>
        <v>0</v>
      </c>
      <c r="F187" s="7" t="str">
        <f>SUMIFS(Transaksi!K:K, Transaksi!E:E, $C187, Transaksi!F:F, "Barang Datang")
+
SUMIFS(Transaksi!K:K, Transaksi!E:E, $C187, Transaksi!F:F, "Retur penjualan")+SUMIFS(Transaksi!K:K, Transaksi!E:E, $C187, Transaksi!F:F,"Rusak Internal")</f>
        <v>0</v>
      </c>
      <c r="G187" s="7" t="str">
        <f>SUMIFS(Transaksi!I:I, Transaksi!E:E, $C187, Transaksi!F:F, "Terjual")
+
SUMIFS(Transaksi!J:J, Transaksi!E:E, $C187, Transaksi!F:F, "Retur Pembelian")+SUMIFS(Transaksi!I:I, Transaksi!E:E, $C187, Transaksi!F:F, "Dipakai Sendiri")</f>
        <v>0</v>
      </c>
      <c r="H187" s="15" t="str">
        <f t="shared" si="2"/>
        <v>17</v>
      </c>
      <c r="I187" s="15" t="str">
        <f t="shared" si="3"/>
        <v/>
      </c>
      <c r="J187" s="7"/>
      <c r="K187" s="7">
        <v>15000.0</v>
      </c>
    </row>
    <row r="188" ht="15.75" customHeight="1">
      <c r="A188" s="5" t="str">
        <f t="shared" si="1"/>
        <v>187</v>
      </c>
      <c r="B188" s="7" t="s">
        <v>396</v>
      </c>
      <c r="C188" s="7" t="s">
        <v>397</v>
      </c>
      <c r="D188" s="7">
        <v>95.0</v>
      </c>
      <c r="E188" s="7" t="str">
        <f>SUMIFS(Transaksi!J:J, Transaksi!E:E, $C188, Transaksi!F:F, "Barang Datang")+SUMIFS(Transaksi!J:J, Transaksi!E:E,$C188,Transaksi!F:F,"Retur Penjualan")</f>
        <v>0</v>
      </c>
      <c r="F188" s="7" t="str">
        <f>SUMIFS(Transaksi!K:K, Transaksi!E:E, $C188, Transaksi!F:F, "Barang Datang")
+
SUMIFS(Transaksi!K:K, Transaksi!E:E, $C188, Transaksi!F:F, "Retur penjualan")+SUMIFS(Transaksi!K:K, Transaksi!E:E, $C188, Transaksi!F:F,"Rusak Internal")</f>
        <v>0</v>
      </c>
      <c r="G188" s="7" t="str">
        <f>SUMIFS(Transaksi!I:I, Transaksi!E:E, $C188, Transaksi!F:F, "Terjual")
+
SUMIFS(Transaksi!J:J, Transaksi!E:E, $C188, Transaksi!F:F, "Retur Pembelian")+SUMIFS(Transaksi!I:I, Transaksi!E:E, $C188, Transaksi!F:F, "Dipakai Sendiri")</f>
        <v>0</v>
      </c>
      <c r="H188" s="15" t="str">
        <f t="shared" si="2"/>
        <v>95</v>
      </c>
      <c r="I188" s="15" t="str">
        <f t="shared" si="3"/>
        <v/>
      </c>
      <c r="J188" s="7"/>
      <c r="K188" s="7">
        <v>45000.0</v>
      </c>
    </row>
    <row r="189" ht="15.75" customHeight="1">
      <c r="A189" s="5" t="str">
        <f t="shared" si="1"/>
        <v>188</v>
      </c>
      <c r="B189" s="7" t="s">
        <v>398</v>
      </c>
      <c r="C189" s="7" t="s">
        <v>399</v>
      </c>
      <c r="D189" s="7">
        <v>59.0</v>
      </c>
      <c r="E189" s="7" t="str">
        <f>SUMIFS(Transaksi!J:J, Transaksi!E:E, $C189, Transaksi!F:F, "Barang Datang")+SUMIFS(Transaksi!J:J, Transaksi!E:E,$C189,Transaksi!F:F,"Retur Penjualan")</f>
        <v>0</v>
      </c>
      <c r="F189" s="7" t="str">
        <f>SUMIFS(Transaksi!K:K, Transaksi!E:E, $C189, Transaksi!F:F, "Barang Datang")
+
SUMIFS(Transaksi!K:K, Transaksi!E:E, $C189, Transaksi!F:F, "Retur penjualan")+SUMIFS(Transaksi!K:K, Transaksi!E:E, $C189, Transaksi!F:F,"Rusak Internal")</f>
        <v>0</v>
      </c>
      <c r="G189" s="7" t="str">
        <f>SUMIFS(Transaksi!I:I, Transaksi!E:E, $C189, Transaksi!F:F, "Terjual")
+
SUMIFS(Transaksi!J:J, Transaksi!E:E, $C189, Transaksi!F:F, "Retur Pembelian")+SUMIFS(Transaksi!I:I, Transaksi!E:E, $C189, Transaksi!F:F, "Dipakai Sendiri")</f>
        <v>0</v>
      </c>
      <c r="H189" s="15" t="str">
        <f t="shared" si="2"/>
        <v>59</v>
      </c>
      <c r="I189" s="15" t="str">
        <f t="shared" si="3"/>
        <v/>
      </c>
      <c r="J189" s="7"/>
      <c r="K189" s="7">
        <v>20000.0</v>
      </c>
    </row>
    <row r="190" ht="15.75" customHeight="1">
      <c r="A190" s="5" t="str">
        <f t="shared" si="1"/>
        <v>189</v>
      </c>
      <c r="B190" s="7" t="s">
        <v>400</v>
      </c>
      <c r="C190" s="7" t="s">
        <v>401</v>
      </c>
      <c r="D190" s="7">
        <v>55.0</v>
      </c>
      <c r="E190" s="7" t="str">
        <f>SUMIFS(Transaksi!J:J, Transaksi!E:E, $C190, Transaksi!F:F, "Barang Datang")+SUMIFS(Transaksi!J:J, Transaksi!E:E,$C190,Transaksi!F:F,"Retur Penjualan")</f>
        <v>0</v>
      </c>
      <c r="F190" s="7" t="str">
        <f>SUMIFS(Transaksi!K:K, Transaksi!E:E, $C190, Transaksi!F:F, "Barang Datang")
+
SUMIFS(Transaksi!K:K, Transaksi!E:E, $C190, Transaksi!F:F, "Retur penjualan")+SUMIFS(Transaksi!K:K, Transaksi!E:E, $C190, Transaksi!F:F,"Rusak Internal")</f>
        <v>0</v>
      </c>
      <c r="G190" s="7" t="str">
        <f>SUMIFS(Transaksi!I:I, Transaksi!E:E, $C190, Transaksi!F:F, "Terjual")
+
SUMIFS(Transaksi!J:J, Transaksi!E:E, $C190, Transaksi!F:F, "Retur Pembelian")+SUMIFS(Transaksi!I:I, Transaksi!E:E, $C190, Transaksi!F:F, "Dipakai Sendiri")</f>
        <v>0</v>
      </c>
      <c r="H190" s="15" t="str">
        <f t="shared" si="2"/>
        <v>55</v>
      </c>
      <c r="I190" s="15" t="str">
        <f t="shared" si="3"/>
        <v/>
      </c>
      <c r="J190" s="7"/>
      <c r="K190" s="7">
        <v>10000.0</v>
      </c>
    </row>
    <row r="191" ht="15.75" customHeight="1">
      <c r="A191" s="5" t="str">
        <f t="shared" si="1"/>
        <v>190</v>
      </c>
      <c r="B191" s="7" t="s">
        <v>18</v>
      </c>
      <c r="C191" s="7" t="s">
        <v>402</v>
      </c>
      <c r="D191" s="7">
        <v>28.0</v>
      </c>
      <c r="E191" s="7" t="str">
        <f>SUMIFS(Transaksi!J:J, Transaksi!E:E, $C191, Transaksi!F:F, "Barang Datang")+SUMIFS(Transaksi!J:J, Transaksi!E:E,$C191,Transaksi!F:F,"Retur Penjualan")</f>
        <v>0</v>
      </c>
      <c r="F191" s="7" t="str">
        <f>SUMIFS(Transaksi!K:K, Transaksi!E:E, $C191, Transaksi!F:F, "Barang Datang")
+
SUMIFS(Transaksi!K:K, Transaksi!E:E, $C191, Transaksi!F:F, "Retur penjualan")+SUMIFS(Transaksi!K:K, Transaksi!E:E, $C191, Transaksi!F:F,"Rusak Internal")</f>
        <v>0</v>
      </c>
      <c r="G191" s="7" t="str">
        <f>SUMIFS(Transaksi!I:I, Transaksi!E:E, $C191, Transaksi!F:F, "Terjual")
+
SUMIFS(Transaksi!J:J, Transaksi!E:E, $C191, Transaksi!F:F, "Retur Pembelian")+SUMIFS(Transaksi!I:I, Transaksi!E:E, $C191, Transaksi!F:F, "Dipakai Sendiri")</f>
        <v>0</v>
      </c>
      <c r="H191" s="15" t="str">
        <f t="shared" si="2"/>
        <v>28</v>
      </c>
      <c r="I191" s="15" t="str">
        <f t="shared" si="3"/>
        <v/>
      </c>
      <c r="J191" s="7"/>
      <c r="K191" s="7">
        <v>35000.0</v>
      </c>
    </row>
    <row r="192" ht="15.75" customHeight="1">
      <c r="A192" s="5" t="str">
        <f t="shared" si="1"/>
        <v>191</v>
      </c>
      <c r="B192" s="7" t="s">
        <v>403</v>
      </c>
      <c r="C192" s="7" t="s">
        <v>404</v>
      </c>
      <c r="D192" s="7">
        <v>67.0</v>
      </c>
      <c r="E192" s="7" t="str">
        <f>SUMIFS(Transaksi!J:J, Transaksi!E:E, $C192, Transaksi!F:F, "Barang Datang")+SUMIFS(Transaksi!J:J, Transaksi!E:E,$C192,Transaksi!F:F,"Retur Penjualan")</f>
        <v>0</v>
      </c>
      <c r="F192" s="7" t="str">
        <f>SUMIFS(Transaksi!K:K, Transaksi!E:E, $C192, Transaksi!F:F, "Barang Datang")
+
SUMIFS(Transaksi!K:K, Transaksi!E:E, $C192, Transaksi!F:F, "Retur penjualan")+SUMIFS(Transaksi!K:K, Transaksi!E:E, $C192, Transaksi!F:F,"Rusak Internal")</f>
        <v>0</v>
      </c>
      <c r="G192" s="7" t="str">
        <f>SUMIFS(Transaksi!I:I, Transaksi!E:E, $C192, Transaksi!F:F, "Terjual")
+
SUMIFS(Transaksi!J:J, Transaksi!E:E, $C192, Transaksi!F:F, "Retur Pembelian")+SUMIFS(Transaksi!I:I, Transaksi!E:E, $C192, Transaksi!F:F, "Dipakai Sendiri")</f>
        <v>0</v>
      </c>
      <c r="H192" s="15" t="str">
        <f t="shared" si="2"/>
        <v>67</v>
      </c>
      <c r="I192" s="15" t="str">
        <f t="shared" si="3"/>
        <v/>
      </c>
      <c r="J192" s="7"/>
      <c r="K192" s="7">
        <v>50000.0</v>
      </c>
    </row>
    <row r="193" ht="15.75" customHeight="1">
      <c r="A193" s="5" t="str">
        <f t="shared" si="1"/>
        <v>192</v>
      </c>
      <c r="B193" s="7" t="s">
        <v>405</v>
      </c>
      <c r="C193" s="7" t="s">
        <v>406</v>
      </c>
      <c r="D193" s="7">
        <v>29.0</v>
      </c>
      <c r="E193" s="7" t="str">
        <f>SUMIFS(Transaksi!J:J, Transaksi!E:E, $C193, Transaksi!F:F, "Barang Datang")+SUMIFS(Transaksi!J:J, Transaksi!E:E,$C193,Transaksi!F:F,"Retur Penjualan")</f>
        <v>0</v>
      </c>
      <c r="F193" s="7" t="str">
        <f>SUMIFS(Transaksi!K:K, Transaksi!E:E, $C193, Transaksi!F:F, "Barang Datang")
+
SUMIFS(Transaksi!K:K, Transaksi!E:E, $C193, Transaksi!F:F, "Retur penjualan")+SUMIFS(Transaksi!K:K, Transaksi!E:E, $C193, Transaksi!F:F,"Rusak Internal")</f>
        <v>0</v>
      </c>
      <c r="G193" s="7" t="str">
        <f>SUMIFS(Transaksi!I:I, Transaksi!E:E, $C193, Transaksi!F:F, "Terjual")
+
SUMIFS(Transaksi!J:J, Transaksi!E:E, $C193, Transaksi!F:F, "Retur Pembelian")+SUMIFS(Transaksi!I:I, Transaksi!E:E, $C193, Transaksi!F:F, "Dipakai Sendiri")</f>
        <v>0</v>
      </c>
      <c r="H193" s="15" t="str">
        <f t="shared" si="2"/>
        <v>29</v>
      </c>
      <c r="I193" s="15" t="str">
        <f t="shared" si="3"/>
        <v/>
      </c>
      <c r="J193" s="7"/>
      <c r="K193" s="7">
        <v>30000.0</v>
      </c>
    </row>
    <row r="194" ht="15.75" customHeight="1">
      <c r="A194" s="5" t="str">
        <f t="shared" si="1"/>
        <v>193</v>
      </c>
      <c r="B194" s="7" t="s">
        <v>407</v>
      </c>
      <c r="C194" s="7" t="s">
        <v>408</v>
      </c>
      <c r="D194" s="7">
        <v>77.0</v>
      </c>
      <c r="E194" s="7" t="str">
        <f>SUMIFS(Transaksi!J:J, Transaksi!E:E, $C194, Transaksi!F:F, "Barang Datang")+SUMIFS(Transaksi!J:J, Transaksi!E:E,$C194,Transaksi!F:F,"Retur Penjualan")</f>
        <v>0</v>
      </c>
      <c r="F194" s="7" t="str">
        <f>SUMIFS(Transaksi!K:K, Transaksi!E:E, $C194, Transaksi!F:F, "Barang Datang")
+
SUMIFS(Transaksi!K:K, Transaksi!E:E, $C194, Transaksi!F:F, "Retur penjualan")+SUMIFS(Transaksi!K:K, Transaksi!E:E, $C194, Transaksi!F:F,"Rusak Internal")</f>
        <v>0</v>
      </c>
      <c r="G194" s="7" t="str">
        <f>SUMIFS(Transaksi!I:I, Transaksi!E:E, $C194, Transaksi!F:F, "Terjual")
+
SUMIFS(Transaksi!J:J, Transaksi!E:E, $C194, Transaksi!F:F, "Retur Pembelian")+SUMIFS(Transaksi!I:I, Transaksi!E:E, $C194, Transaksi!F:F, "Dipakai Sendiri")</f>
        <v>0</v>
      </c>
      <c r="H194" s="15" t="str">
        <f t="shared" si="2"/>
        <v>77</v>
      </c>
      <c r="I194" s="15" t="str">
        <f t="shared" si="3"/>
        <v/>
      </c>
      <c r="J194" s="7"/>
      <c r="K194" s="7">
        <v>25000.0</v>
      </c>
    </row>
    <row r="195" ht="15.75" customHeight="1">
      <c r="A195" s="5" t="str">
        <f t="shared" si="1"/>
        <v>194</v>
      </c>
      <c r="B195" s="7" t="s">
        <v>409</v>
      </c>
      <c r="C195" s="7" t="s">
        <v>410</v>
      </c>
      <c r="D195" s="7">
        <v>70.0</v>
      </c>
      <c r="E195" s="7" t="str">
        <f>SUMIFS(Transaksi!J:J, Transaksi!E:E, $C195, Transaksi!F:F, "Barang Datang")+SUMIFS(Transaksi!J:J, Transaksi!E:E,$C195,Transaksi!F:F,"Retur Penjualan")</f>
        <v>0</v>
      </c>
      <c r="F195" s="7" t="str">
        <f>SUMIFS(Transaksi!K:K, Transaksi!E:E, $C195, Transaksi!F:F, "Barang Datang")
+
SUMIFS(Transaksi!K:K, Transaksi!E:E, $C195, Transaksi!F:F, "Retur penjualan")+SUMIFS(Transaksi!K:K, Transaksi!E:E, $C195, Transaksi!F:F,"Rusak Internal")</f>
        <v>0</v>
      </c>
      <c r="G195" s="7" t="str">
        <f>SUMIFS(Transaksi!I:I, Transaksi!E:E, $C195, Transaksi!F:F, "Terjual")
+
SUMIFS(Transaksi!J:J, Transaksi!E:E, $C195, Transaksi!F:F, "Retur Pembelian")+SUMIFS(Transaksi!I:I, Transaksi!E:E, $C195, Transaksi!F:F, "Dipakai Sendiri")</f>
        <v>0</v>
      </c>
      <c r="H195" s="15" t="str">
        <f t="shared" si="2"/>
        <v>70</v>
      </c>
      <c r="I195" s="15" t="str">
        <f t="shared" si="3"/>
        <v/>
      </c>
      <c r="J195" s="7"/>
      <c r="K195" s="7">
        <v>5000.0</v>
      </c>
    </row>
    <row r="196" ht="15.75" customHeight="1">
      <c r="A196" s="5" t="str">
        <f t="shared" si="1"/>
        <v>195</v>
      </c>
      <c r="B196" s="7" t="s">
        <v>411</v>
      </c>
      <c r="C196" s="7" t="s">
        <v>412</v>
      </c>
      <c r="D196" s="7">
        <v>58.0</v>
      </c>
      <c r="E196" s="7" t="str">
        <f>SUMIFS(Transaksi!J:J, Transaksi!E:E, $C196, Transaksi!F:F, "Barang Datang")+SUMIFS(Transaksi!J:J, Transaksi!E:E,$C196,Transaksi!F:F,"Retur Penjualan")</f>
        <v>0</v>
      </c>
      <c r="F196" s="7" t="str">
        <f>SUMIFS(Transaksi!K:K, Transaksi!E:E, $C196, Transaksi!F:F, "Barang Datang")
+
SUMIFS(Transaksi!K:K, Transaksi!E:E, $C196, Transaksi!F:F, "Retur penjualan")+SUMIFS(Transaksi!K:K, Transaksi!E:E, $C196, Transaksi!F:F,"Rusak Internal")</f>
        <v>0</v>
      </c>
      <c r="G196" s="7" t="str">
        <f>SUMIFS(Transaksi!I:I, Transaksi!E:E, $C196, Transaksi!F:F, "Terjual")
+
SUMIFS(Transaksi!J:J, Transaksi!E:E, $C196, Transaksi!F:F, "Retur Pembelian")+SUMIFS(Transaksi!I:I, Transaksi!E:E, $C196, Transaksi!F:F, "Dipakai Sendiri")</f>
        <v>0</v>
      </c>
      <c r="H196" s="15" t="str">
        <f t="shared" si="2"/>
        <v>58</v>
      </c>
      <c r="I196" s="15" t="str">
        <f t="shared" si="3"/>
        <v/>
      </c>
      <c r="J196" s="7"/>
      <c r="K196" s="7">
        <v>35000.0</v>
      </c>
    </row>
    <row r="197" ht="15.75" customHeight="1">
      <c r="A197" s="5" t="str">
        <f t="shared" si="1"/>
        <v>196</v>
      </c>
      <c r="B197" s="7" t="s">
        <v>413</v>
      </c>
      <c r="C197" s="7" t="s">
        <v>414</v>
      </c>
      <c r="D197" s="7">
        <v>28.0</v>
      </c>
      <c r="E197" s="7" t="str">
        <f>SUMIFS(Transaksi!J:J, Transaksi!E:E, $C197, Transaksi!F:F, "Barang Datang")+SUMIFS(Transaksi!J:J, Transaksi!E:E,$C197,Transaksi!F:F,"Retur Penjualan")</f>
        <v>0</v>
      </c>
      <c r="F197" s="7" t="str">
        <f>SUMIFS(Transaksi!K:K, Transaksi!E:E, $C197, Transaksi!F:F, "Barang Datang")
+
SUMIFS(Transaksi!K:K, Transaksi!E:E, $C197, Transaksi!F:F, "Retur penjualan")+SUMIFS(Transaksi!K:K, Transaksi!E:E, $C197, Transaksi!F:F,"Rusak Internal")</f>
        <v>0</v>
      </c>
      <c r="G197" s="7" t="str">
        <f>SUMIFS(Transaksi!I:I, Transaksi!E:E, $C197, Transaksi!F:F, "Terjual")
+
SUMIFS(Transaksi!J:J, Transaksi!E:E, $C197, Transaksi!F:F, "Retur Pembelian")+SUMIFS(Transaksi!I:I, Transaksi!E:E, $C197, Transaksi!F:F, "Dipakai Sendiri")</f>
        <v>0</v>
      </c>
      <c r="H197" s="15" t="str">
        <f t="shared" si="2"/>
        <v>28</v>
      </c>
      <c r="I197" s="15" t="str">
        <f t="shared" si="3"/>
        <v/>
      </c>
      <c r="J197" s="7"/>
      <c r="K197" s="7">
        <v>20000.0</v>
      </c>
    </row>
    <row r="198" ht="15.75" customHeight="1">
      <c r="A198" s="5" t="str">
        <f t="shared" si="1"/>
        <v>197</v>
      </c>
      <c r="B198" s="7" t="s">
        <v>415</v>
      </c>
      <c r="C198" s="7" t="s">
        <v>416</v>
      </c>
      <c r="D198" s="7">
        <v>48.0</v>
      </c>
      <c r="E198" s="7" t="str">
        <f>SUMIFS(Transaksi!J:J, Transaksi!E:E, $C198, Transaksi!F:F, "Barang Datang")+SUMIFS(Transaksi!J:J, Transaksi!E:E,$C198,Transaksi!F:F,"Retur Penjualan")</f>
        <v>0</v>
      </c>
      <c r="F198" s="7" t="str">
        <f>SUMIFS(Transaksi!K:K, Transaksi!E:E, $C198, Transaksi!F:F, "Barang Datang")
+
SUMIFS(Transaksi!K:K, Transaksi!E:E, $C198, Transaksi!F:F, "Retur penjualan")+SUMIFS(Transaksi!K:K, Transaksi!E:E, $C198, Transaksi!F:F,"Rusak Internal")</f>
        <v>0</v>
      </c>
      <c r="G198" s="7" t="str">
        <f>SUMIFS(Transaksi!I:I, Transaksi!E:E, $C198, Transaksi!F:F, "Terjual")
+
SUMIFS(Transaksi!J:J, Transaksi!E:E, $C198, Transaksi!F:F, "Retur Pembelian")+SUMIFS(Transaksi!I:I, Transaksi!E:E, $C198, Transaksi!F:F, "Dipakai Sendiri")</f>
        <v>0</v>
      </c>
      <c r="H198" s="15" t="str">
        <f t="shared" si="2"/>
        <v>48</v>
      </c>
      <c r="I198" s="15" t="str">
        <f t="shared" si="3"/>
        <v/>
      </c>
      <c r="J198" s="7"/>
      <c r="K198" s="7">
        <v>45000.0</v>
      </c>
    </row>
    <row r="199" ht="15.75" customHeight="1">
      <c r="A199" s="5" t="str">
        <f t="shared" si="1"/>
        <v>198</v>
      </c>
      <c r="B199" s="7" t="s">
        <v>417</v>
      </c>
      <c r="C199" s="7" t="s">
        <v>418</v>
      </c>
      <c r="D199" s="7">
        <v>18.0</v>
      </c>
      <c r="E199" s="7" t="str">
        <f>SUMIFS(Transaksi!J:J, Transaksi!E:E, $C199, Transaksi!F:F, "Barang Datang")+SUMIFS(Transaksi!J:J, Transaksi!E:E,$C199,Transaksi!F:F,"Retur Penjualan")</f>
        <v>0</v>
      </c>
      <c r="F199" s="7" t="str">
        <f>SUMIFS(Transaksi!K:K, Transaksi!E:E, $C199, Transaksi!F:F, "Barang Datang")
+
SUMIFS(Transaksi!K:K, Transaksi!E:E, $C199, Transaksi!F:F, "Retur penjualan")+SUMIFS(Transaksi!K:K, Transaksi!E:E, $C199, Transaksi!F:F,"Rusak Internal")</f>
        <v>0</v>
      </c>
      <c r="G199" s="7" t="str">
        <f>SUMIFS(Transaksi!I:I, Transaksi!E:E, $C199, Transaksi!F:F, "Terjual")
+
SUMIFS(Transaksi!J:J, Transaksi!E:E, $C199, Transaksi!F:F, "Retur Pembelian")+SUMIFS(Transaksi!I:I, Transaksi!E:E, $C199, Transaksi!F:F, "Dipakai Sendiri")</f>
        <v>0</v>
      </c>
      <c r="H199" s="15" t="str">
        <f t="shared" si="2"/>
        <v>18</v>
      </c>
      <c r="I199" s="15" t="str">
        <f t="shared" si="3"/>
        <v/>
      </c>
      <c r="J199" s="7"/>
      <c r="K199" s="7">
        <v>45000.0</v>
      </c>
    </row>
    <row r="200" ht="15.75" customHeight="1">
      <c r="A200" s="5" t="str">
        <f t="shared" si="1"/>
        <v>199</v>
      </c>
      <c r="B200" s="7" t="s">
        <v>419</v>
      </c>
      <c r="C200" s="7" t="s">
        <v>420</v>
      </c>
      <c r="D200" s="7">
        <v>18.0</v>
      </c>
      <c r="E200" s="7" t="str">
        <f>SUMIFS(Transaksi!J:J, Transaksi!E:E, $C200, Transaksi!F:F, "Barang Datang")+SUMIFS(Transaksi!J:J, Transaksi!E:E,$C200,Transaksi!F:F,"Retur Penjualan")</f>
        <v>0</v>
      </c>
      <c r="F200" s="7" t="str">
        <f>SUMIFS(Transaksi!K:K, Transaksi!E:E, $C200, Transaksi!F:F, "Barang Datang")
+
SUMIFS(Transaksi!K:K, Transaksi!E:E, $C200, Transaksi!F:F, "Retur penjualan")+SUMIFS(Transaksi!K:K, Transaksi!E:E, $C200, Transaksi!F:F,"Rusak Internal")</f>
        <v>0</v>
      </c>
      <c r="G200" s="7" t="str">
        <f>SUMIFS(Transaksi!I:I, Transaksi!E:E, $C200, Transaksi!F:F, "Terjual")
+
SUMIFS(Transaksi!J:J, Transaksi!E:E, $C200, Transaksi!F:F, "Retur Pembelian")+SUMIFS(Transaksi!I:I, Transaksi!E:E, $C200, Transaksi!F:F, "Dipakai Sendiri")</f>
        <v>0</v>
      </c>
      <c r="H200" s="15" t="str">
        <f t="shared" si="2"/>
        <v>18</v>
      </c>
      <c r="I200" s="15" t="str">
        <f t="shared" si="3"/>
        <v/>
      </c>
      <c r="J200" s="7"/>
      <c r="K200" s="7">
        <v>25000.0</v>
      </c>
    </row>
    <row r="201" ht="15.75" customHeight="1">
      <c r="A201" s="5" t="str">
        <f t="shared" si="1"/>
        <v>200</v>
      </c>
      <c r="B201" s="7" t="s">
        <v>421</v>
      </c>
      <c r="C201" s="7" t="s">
        <v>422</v>
      </c>
      <c r="D201" s="7">
        <v>10.0</v>
      </c>
      <c r="E201" s="7" t="str">
        <f>SUMIFS(Transaksi!J:J, Transaksi!E:E, $C201, Transaksi!F:F, "Barang Datang")+SUMIFS(Transaksi!J:J, Transaksi!E:E,$C201,Transaksi!F:F,"Retur Penjualan")</f>
        <v>0</v>
      </c>
      <c r="F201" s="7" t="str">
        <f>SUMIFS(Transaksi!K:K, Transaksi!E:E, $C201, Transaksi!F:F, "Barang Datang")
+
SUMIFS(Transaksi!K:K, Transaksi!E:E, $C201, Transaksi!F:F, "Retur penjualan")+SUMIFS(Transaksi!K:K, Transaksi!E:E, $C201, Transaksi!F:F,"Rusak Internal")</f>
        <v>0</v>
      </c>
      <c r="G201" s="7" t="str">
        <f>SUMIFS(Transaksi!I:I, Transaksi!E:E, $C201, Transaksi!F:F, "Terjual")
+
SUMIFS(Transaksi!J:J, Transaksi!E:E, $C201, Transaksi!F:F, "Retur Pembelian")+SUMIFS(Transaksi!I:I, Transaksi!E:E, $C201, Transaksi!F:F, "Dipakai Sendiri")</f>
        <v>0</v>
      </c>
      <c r="H201" s="15" t="str">
        <f t="shared" si="2"/>
        <v>10</v>
      </c>
      <c r="I201" s="15" t="str">
        <f t="shared" si="3"/>
        <v/>
      </c>
      <c r="J201" s="7"/>
      <c r="K201" s="7">
        <v>40000.0</v>
      </c>
    </row>
    <row r="202" ht="15.75" customHeight="1">
      <c r="A202" s="5" t="str">
        <f t="shared" si="1"/>
        <v>201</v>
      </c>
      <c r="B202" s="7" t="s">
        <v>423</v>
      </c>
      <c r="C202" s="7" t="s">
        <v>424</v>
      </c>
      <c r="D202" s="7">
        <v>46.0</v>
      </c>
      <c r="E202" s="7" t="str">
        <f>SUMIFS(Transaksi!J:J, Transaksi!E:E, $C202, Transaksi!F:F, "Barang Datang")+SUMIFS(Transaksi!J:J, Transaksi!E:E,$C202,Transaksi!F:F,"Retur Penjualan")</f>
        <v>0</v>
      </c>
      <c r="F202" s="7" t="str">
        <f>SUMIFS(Transaksi!K:K, Transaksi!E:E, $C202, Transaksi!F:F, "Barang Datang")
+
SUMIFS(Transaksi!K:K, Transaksi!E:E, $C202, Transaksi!F:F, "Retur penjualan")+SUMIFS(Transaksi!K:K, Transaksi!E:E, $C202, Transaksi!F:F,"Rusak Internal")</f>
        <v>0</v>
      </c>
      <c r="G202" s="7" t="str">
        <f>SUMIFS(Transaksi!I:I, Transaksi!E:E, $C202, Transaksi!F:F, "Terjual")
+
SUMIFS(Transaksi!J:J, Transaksi!E:E, $C202, Transaksi!F:F, "Retur Pembelian")+SUMIFS(Transaksi!I:I, Transaksi!E:E, $C202, Transaksi!F:F, "Dipakai Sendiri")</f>
        <v>0</v>
      </c>
      <c r="H202" s="15" t="str">
        <f t="shared" si="2"/>
        <v>46</v>
      </c>
      <c r="I202" s="15" t="str">
        <f t="shared" si="3"/>
        <v/>
      </c>
      <c r="J202" s="7"/>
      <c r="K202" s="7">
        <v>10000.0</v>
      </c>
    </row>
    <row r="203" ht="15.75" customHeight="1">
      <c r="A203" s="5" t="str">
        <f t="shared" si="1"/>
        <v>202</v>
      </c>
      <c r="B203" s="7" t="s">
        <v>425</v>
      </c>
      <c r="C203" s="7" t="s">
        <v>426</v>
      </c>
      <c r="D203" s="7">
        <v>62.0</v>
      </c>
      <c r="E203" s="7" t="str">
        <f>SUMIFS(Transaksi!J:J, Transaksi!E:E, $C203, Transaksi!F:F, "Barang Datang")+SUMIFS(Transaksi!J:J, Transaksi!E:E,$C203,Transaksi!F:F,"Retur Penjualan")</f>
        <v>0</v>
      </c>
      <c r="F203" s="7" t="str">
        <f>SUMIFS(Transaksi!K:K, Transaksi!E:E, $C203, Transaksi!F:F, "Barang Datang")
+
SUMIFS(Transaksi!K:K, Transaksi!E:E, $C203, Transaksi!F:F, "Retur penjualan")+SUMIFS(Transaksi!K:K, Transaksi!E:E, $C203, Transaksi!F:F,"Rusak Internal")</f>
        <v>0</v>
      </c>
      <c r="G203" s="7" t="str">
        <f>SUMIFS(Transaksi!I:I, Transaksi!E:E, $C203, Transaksi!F:F, "Terjual")
+
SUMIFS(Transaksi!J:J, Transaksi!E:E, $C203, Transaksi!F:F, "Retur Pembelian")+SUMIFS(Transaksi!I:I, Transaksi!E:E, $C203, Transaksi!F:F, "Dipakai Sendiri")</f>
        <v>0</v>
      </c>
      <c r="H203" s="15" t="str">
        <f t="shared" si="2"/>
        <v>62</v>
      </c>
      <c r="I203" s="15" t="str">
        <f t="shared" si="3"/>
        <v/>
      </c>
      <c r="J203" s="7"/>
      <c r="K203" s="7">
        <v>50000.0</v>
      </c>
    </row>
    <row r="204" ht="15.75" customHeight="1">
      <c r="A204" s="5" t="str">
        <f t="shared" si="1"/>
        <v>203</v>
      </c>
      <c r="B204" s="7" t="s">
        <v>15</v>
      </c>
      <c r="C204" s="7" t="s">
        <v>427</v>
      </c>
      <c r="D204" s="7">
        <v>61.0</v>
      </c>
      <c r="E204" s="7" t="str">
        <f>SUMIFS(Transaksi!J:J, Transaksi!E:E, $C204, Transaksi!F:F, "Barang Datang")+SUMIFS(Transaksi!J:J, Transaksi!E:E,$C204,Transaksi!F:F,"Retur Penjualan")</f>
        <v>0</v>
      </c>
      <c r="F204" s="7" t="str">
        <f>SUMIFS(Transaksi!K:K, Transaksi!E:E, $C204, Transaksi!F:F, "Barang Datang")
+
SUMIFS(Transaksi!K:K, Transaksi!E:E, $C204, Transaksi!F:F, "Retur penjualan")+SUMIFS(Transaksi!K:K, Transaksi!E:E, $C204, Transaksi!F:F,"Rusak Internal")</f>
        <v>0</v>
      </c>
      <c r="G204" s="7" t="str">
        <f>SUMIFS(Transaksi!I:I, Transaksi!E:E, $C204, Transaksi!F:F, "Terjual")
+
SUMIFS(Transaksi!J:J, Transaksi!E:E, $C204, Transaksi!F:F, "Retur Pembelian")+SUMIFS(Transaksi!I:I, Transaksi!E:E, $C204, Transaksi!F:F, "Dipakai Sendiri")</f>
        <v>0</v>
      </c>
      <c r="H204" s="15" t="str">
        <f t="shared" si="2"/>
        <v>61</v>
      </c>
      <c r="I204" s="15" t="str">
        <f t="shared" si="3"/>
        <v/>
      </c>
      <c r="J204" s="7"/>
      <c r="K204" s="7">
        <v>50000.0</v>
      </c>
    </row>
    <row r="205" ht="15.75" customHeight="1">
      <c r="A205" s="5" t="str">
        <f t="shared" si="1"/>
        <v>204</v>
      </c>
      <c r="B205" s="7" t="s">
        <v>428</v>
      </c>
      <c r="C205" s="7" t="s">
        <v>429</v>
      </c>
      <c r="D205" s="7">
        <v>31.0</v>
      </c>
      <c r="E205" s="7" t="str">
        <f>SUMIFS(Transaksi!J:J, Transaksi!E:E, $C205, Transaksi!F:F, "Barang Datang")+SUMIFS(Transaksi!J:J, Transaksi!E:E,$C205,Transaksi!F:F,"Retur Penjualan")</f>
        <v>0</v>
      </c>
      <c r="F205" s="7" t="str">
        <f>SUMIFS(Transaksi!K:K, Transaksi!E:E, $C205, Transaksi!F:F, "Barang Datang")
+
SUMIFS(Transaksi!K:K, Transaksi!E:E, $C205, Transaksi!F:F, "Retur penjualan")+SUMIFS(Transaksi!K:K, Transaksi!E:E, $C205, Transaksi!F:F,"Rusak Internal")</f>
        <v>0</v>
      </c>
      <c r="G205" s="7" t="str">
        <f>SUMIFS(Transaksi!I:I, Transaksi!E:E, $C205, Transaksi!F:F, "Terjual")
+
SUMIFS(Transaksi!J:J, Transaksi!E:E, $C205, Transaksi!F:F, "Retur Pembelian")+SUMIFS(Transaksi!I:I, Transaksi!E:E, $C205, Transaksi!F:F, "Dipakai Sendiri")</f>
        <v>0</v>
      </c>
      <c r="H205" s="15" t="str">
        <f t="shared" si="2"/>
        <v>31</v>
      </c>
      <c r="I205" s="15" t="str">
        <f t="shared" si="3"/>
        <v/>
      </c>
      <c r="J205" s="7"/>
      <c r="K205" s="7">
        <v>25000.0</v>
      </c>
    </row>
    <row r="206" ht="15.75" customHeight="1">
      <c r="A206" s="5" t="str">
        <f t="shared" si="1"/>
        <v>205</v>
      </c>
      <c r="B206" s="7" t="s">
        <v>11</v>
      </c>
      <c r="C206" s="7" t="s">
        <v>430</v>
      </c>
      <c r="D206" s="7">
        <v>69.0</v>
      </c>
      <c r="E206" s="7" t="str">
        <f>SUMIFS(Transaksi!J:J, Transaksi!E:E, $C206, Transaksi!F:F, "Barang Datang")+SUMIFS(Transaksi!J:J, Transaksi!E:E,$C206,Transaksi!F:F,"Retur Penjualan")</f>
        <v>0</v>
      </c>
      <c r="F206" s="7" t="str">
        <f>SUMIFS(Transaksi!K:K, Transaksi!E:E, $C206, Transaksi!F:F, "Barang Datang")
+
SUMIFS(Transaksi!K:K, Transaksi!E:E, $C206, Transaksi!F:F, "Retur penjualan")+SUMIFS(Transaksi!K:K, Transaksi!E:E, $C206, Transaksi!F:F,"Rusak Internal")</f>
        <v>0</v>
      </c>
      <c r="G206" s="7" t="str">
        <f>SUMIFS(Transaksi!I:I, Transaksi!E:E, $C206, Transaksi!F:F, "Terjual")
+
SUMIFS(Transaksi!J:J, Transaksi!E:E, $C206, Transaksi!F:F, "Retur Pembelian")+SUMIFS(Transaksi!I:I, Transaksi!E:E, $C206, Transaksi!F:F, "Dipakai Sendiri")</f>
        <v>0</v>
      </c>
      <c r="H206" s="15" t="str">
        <f t="shared" si="2"/>
        <v>69</v>
      </c>
      <c r="I206" s="15" t="str">
        <f t="shared" si="3"/>
        <v/>
      </c>
      <c r="J206" s="7"/>
      <c r="K206" s="7">
        <v>50000.0</v>
      </c>
    </row>
    <row r="207" ht="15.75" customHeight="1">
      <c r="A207" s="5" t="str">
        <f t="shared" si="1"/>
        <v>206</v>
      </c>
      <c r="B207" s="7" t="s">
        <v>431</v>
      </c>
      <c r="C207" s="7" t="s">
        <v>432</v>
      </c>
      <c r="D207" s="7">
        <v>31.0</v>
      </c>
      <c r="E207" s="7" t="str">
        <f>SUMIFS(Transaksi!J:J, Transaksi!E:E, $C207, Transaksi!F:F, "Barang Datang")+SUMIFS(Transaksi!J:J, Transaksi!E:E,$C207,Transaksi!F:F,"Retur Penjualan")</f>
        <v>0</v>
      </c>
      <c r="F207" s="7" t="str">
        <f>SUMIFS(Transaksi!K:K, Transaksi!E:E, $C207, Transaksi!F:F, "Barang Datang")
+
SUMIFS(Transaksi!K:K, Transaksi!E:E, $C207, Transaksi!F:F, "Retur penjualan")+SUMIFS(Transaksi!K:K, Transaksi!E:E, $C207, Transaksi!F:F,"Rusak Internal")</f>
        <v>0</v>
      </c>
      <c r="G207" s="7" t="str">
        <f>SUMIFS(Transaksi!I:I, Transaksi!E:E, $C207, Transaksi!F:F, "Terjual")
+
SUMIFS(Transaksi!J:J, Transaksi!E:E, $C207, Transaksi!F:F, "Retur Pembelian")+SUMIFS(Transaksi!I:I, Transaksi!E:E, $C207, Transaksi!F:F, "Dipakai Sendiri")</f>
        <v>0</v>
      </c>
      <c r="H207" s="15" t="str">
        <f t="shared" si="2"/>
        <v>31</v>
      </c>
      <c r="I207" s="15" t="str">
        <f t="shared" si="3"/>
        <v/>
      </c>
      <c r="J207" s="7"/>
      <c r="K207" s="7">
        <v>25000.0</v>
      </c>
    </row>
    <row r="208" ht="15.75" customHeight="1">
      <c r="A208" s="5" t="str">
        <f t="shared" si="1"/>
        <v>207</v>
      </c>
      <c r="B208" s="7" t="s">
        <v>433</v>
      </c>
      <c r="C208" s="7" t="s">
        <v>434</v>
      </c>
      <c r="D208" s="7">
        <v>69.0</v>
      </c>
      <c r="E208" s="7" t="str">
        <f>SUMIFS(Transaksi!J:J, Transaksi!E:E, $C208, Transaksi!F:F, "Barang Datang")+SUMIFS(Transaksi!J:J, Transaksi!E:E,$C208,Transaksi!F:F,"Retur Penjualan")</f>
        <v>0</v>
      </c>
      <c r="F208" s="7" t="str">
        <f>SUMIFS(Transaksi!K:K, Transaksi!E:E, $C208, Transaksi!F:F, "Barang Datang")
+
SUMIFS(Transaksi!K:K, Transaksi!E:E, $C208, Transaksi!F:F, "Retur penjualan")+SUMIFS(Transaksi!K:K, Transaksi!E:E, $C208, Transaksi!F:F,"Rusak Internal")</f>
        <v>0</v>
      </c>
      <c r="G208" s="7" t="str">
        <f>SUMIFS(Transaksi!I:I, Transaksi!E:E, $C208, Transaksi!F:F, "Terjual")
+
SUMIFS(Transaksi!J:J, Transaksi!E:E, $C208, Transaksi!F:F, "Retur Pembelian")+SUMIFS(Transaksi!I:I, Transaksi!E:E, $C208, Transaksi!F:F, "Dipakai Sendiri")</f>
        <v>0</v>
      </c>
      <c r="H208" s="15" t="str">
        <f t="shared" si="2"/>
        <v>69</v>
      </c>
      <c r="I208" s="15" t="str">
        <f t="shared" si="3"/>
        <v/>
      </c>
      <c r="J208" s="7"/>
      <c r="K208" s="7">
        <v>45000.0</v>
      </c>
    </row>
    <row r="209" ht="15.75" customHeight="1">
      <c r="A209" s="5" t="str">
        <f t="shared" si="1"/>
        <v>208</v>
      </c>
      <c r="B209" s="7" t="s">
        <v>435</v>
      </c>
      <c r="C209" s="7" t="s">
        <v>436</v>
      </c>
      <c r="D209" s="7">
        <v>12.0</v>
      </c>
      <c r="E209" s="7" t="str">
        <f>SUMIFS(Transaksi!J:J, Transaksi!E:E, $C209, Transaksi!F:F, "Barang Datang")+SUMIFS(Transaksi!J:J, Transaksi!E:E,$C209,Transaksi!F:F,"Retur Penjualan")</f>
        <v>0</v>
      </c>
      <c r="F209" s="7" t="str">
        <f>SUMIFS(Transaksi!K:K, Transaksi!E:E, $C209, Transaksi!F:F, "Barang Datang")
+
SUMIFS(Transaksi!K:K, Transaksi!E:E, $C209, Transaksi!F:F, "Retur penjualan")+SUMIFS(Transaksi!K:K, Transaksi!E:E, $C209, Transaksi!F:F,"Rusak Internal")</f>
        <v>0</v>
      </c>
      <c r="G209" s="7" t="str">
        <f>SUMIFS(Transaksi!I:I, Transaksi!E:E, $C209, Transaksi!F:F, "Terjual")
+
SUMIFS(Transaksi!J:J, Transaksi!E:E, $C209, Transaksi!F:F, "Retur Pembelian")+SUMIFS(Transaksi!I:I, Transaksi!E:E, $C209, Transaksi!F:F, "Dipakai Sendiri")</f>
        <v>0</v>
      </c>
      <c r="H209" s="15" t="str">
        <f t="shared" si="2"/>
        <v>12</v>
      </c>
      <c r="I209" s="15" t="str">
        <f t="shared" si="3"/>
        <v/>
      </c>
      <c r="J209" s="7"/>
      <c r="K209" s="7">
        <v>50000.0</v>
      </c>
    </row>
    <row r="210" ht="15.75" customHeight="1">
      <c r="A210" s="5" t="str">
        <f t="shared" si="1"/>
        <v>209</v>
      </c>
      <c r="B210" s="7" t="s">
        <v>437</v>
      </c>
      <c r="C210" s="7" t="s">
        <v>438</v>
      </c>
      <c r="D210" s="7">
        <v>65.0</v>
      </c>
      <c r="E210" s="7" t="str">
        <f>SUMIFS(Transaksi!J:J, Transaksi!E:E, $C210, Transaksi!F:F, "Barang Datang")+SUMIFS(Transaksi!J:J, Transaksi!E:E,$C210,Transaksi!F:F,"Retur Penjualan")</f>
        <v>0</v>
      </c>
      <c r="F210" s="7" t="str">
        <f>SUMIFS(Transaksi!K:K, Transaksi!E:E, $C210, Transaksi!F:F, "Barang Datang")
+
SUMIFS(Transaksi!K:K, Transaksi!E:E, $C210, Transaksi!F:F, "Retur penjualan")+SUMIFS(Transaksi!K:K, Transaksi!E:E, $C210, Transaksi!F:F,"Rusak Internal")</f>
        <v>0</v>
      </c>
      <c r="G210" s="7" t="str">
        <f>SUMIFS(Transaksi!I:I, Transaksi!E:E, $C210, Transaksi!F:F, "Terjual")
+
SUMIFS(Transaksi!J:J, Transaksi!E:E, $C210, Transaksi!F:F, "Retur Pembelian")+SUMIFS(Transaksi!I:I, Transaksi!E:E, $C210, Transaksi!F:F, "Dipakai Sendiri")</f>
        <v>0</v>
      </c>
      <c r="H210" s="15" t="str">
        <f t="shared" si="2"/>
        <v>65</v>
      </c>
      <c r="I210" s="15" t="str">
        <f t="shared" si="3"/>
        <v/>
      </c>
      <c r="J210" s="7"/>
      <c r="K210" s="7">
        <v>35000.0</v>
      </c>
    </row>
    <row r="211" ht="15.75" customHeight="1">
      <c r="A211" s="5" t="str">
        <f t="shared" si="1"/>
        <v>210</v>
      </c>
      <c r="B211" s="7" t="s">
        <v>439</v>
      </c>
      <c r="C211" s="7" t="s">
        <v>440</v>
      </c>
      <c r="D211" s="7">
        <v>52.0</v>
      </c>
      <c r="E211" s="7" t="str">
        <f>SUMIFS(Transaksi!J:J, Transaksi!E:E, $C211, Transaksi!F:F, "Barang Datang")+SUMIFS(Transaksi!J:J, Transaksi!E:E,$C211,Transaksi!F:F,"Retur Penjualan")</f>
        <v>0</v>
      </c>
      <c r="F211" s="7" t="str">
        <f>SUMIFS(Transaksi!K:K, Transaksi!E:E, $C211, Transaksi!F:F, "Barang Datang")
+
SUMIFS(Transaksi!K:K, Transaksi!E:E, $C211, Transaksi!F:F, "Retur penjualan")+SUMIFS(Transaksi!K:K, Transaksi!E:E, $C211, Transaksi!F:F,"Rusak Internal")</f>
        <v>0</v>
      </c>
      <c r="G211" s="7" t="str">
        <f>SUMIFS(Transaksi!I:I, Transaksi!E:E, $C211, Transaksi!F:F, "Terjual")
+
SUMIFS(Transaksi!J:J, Transaksi!E:E, $C211, Transaksi!F:F, "Retur Pembelian")+SUMIFS(Transaksi!I:I, Transaksi!E:E, $C211, Transaksi!F:F, "Dipakai Sendiri")</f>
        <v>0</v>
      </c>
      <c r="H211" s="15" t="str">
        <f t="shared" si="2"/>
        <v>52</v>
      </c>
      <c r="I211" s="15" t="str">
        <f t="shared" si="3"/>
        <v/>
      </c>
      <c r="J211" s="7"/>
      <c r="K211" s="7">
        <v>25000.0</v>
      </c>
    </row>
    <row r="212" ht="15.75" customHeight="1">
      <c r="A212" s="5" t="str">
        <f t="shared" si="1"/>
        <v>211</v>
      </c>
      <c r="B212" s="7" t="s">
        <v>441</v>
      </c>
      <c r="C212" s="7" t="s">
        <v>442</v>
      </c>
      <c r="D212" s="7">
        <v>26.0</v>
      </c>
      <c r="E212" s="7" t="str">
        <f>SUMIFS(Transaksi!J:J, Transaksi!E:E, $C212, Transaksi!F:F, "Barang Datang")+SUMIFS(Transaksi!J:J, Transaksi!E:E,$C212,Transaksi!F:F,"Retur Penjualan")</f>
        <v>0</v>
      </c>
      <c r="F212" s="7" t="str">
        <f>SUMIFS(Transaksi!K:K, Transaksi!E:E, $C212, Transaksi!F:F, "Barang Datang")
+
SUMIFS(Transaksi!K:K, Transaksi!E:E, $C212, Transaksi!F:F, "Retur penjualan")+SUMIFS(Transaksi!K:K, Transaksi!E:E, $C212, Transaksi!F:F,"Rusak Internal")</f>
        <v>0</v>
      </c>
      <c r="G212" s="7" t="str">
        <f>SUMIFS(Transaksi!I:I, Transaksi!E:E, $C212, Transaksi!F:F, "Terjual")
+
SUMIFS(Transaksi!J:J, Transaksi!E:E, $C212, Transaksi!F:F, "Retur Pembelian")+SUMIFS(Transaksi!I:I, Transaksi!E:E, $C212, Transaksi!F:F, "Dipakai Sendiri")</f>
        <v>0</v>
      </c>
      <c r="H212" s="15" t="str">
        <f t="shared" si="2"/>
        <v>26</v>
      </c>
      <c r="I212" s="15" t="str">
        <f t="shared" si="3"/>
        <v/>
      </c>
      <c r="J212" s="7"/>
      <c r="K212" s="7">
        <v>35000.0</v>
      </c>
    </row>
    <row r="213" ht="15.75" customHeight="1">
      <c r="A213" s="5" t="str">
        <f t="shared" si="1"/>
        <v>212</v>
      </c>
      <c r="B213" s="7" t="s">
        <v>443</v>
      </c>
      <c r="C213" s="7" t="s">
        <v>444</v>
      </c>
      <c r="D213" s="7">
        <v>87.0</v>
      </c>
      <c r="E213" s="7" t="str">
        <f>SUMIFS(Transaksi!J:J, Transaksi!E:E, $C213, Transaksi!F:F, "Barang Datang")+SUMIFS(Transaksi!J:J, Transaksi!E:E,$C213,Transaksi!F:F,"Retur Penjualan")</f>
        <v>0</v>
      </c>
      <c r="F213" s="7" t="str">
        <f>SUMIFS(Transaksi!K:K, Transaksi!E:E, $C213, Transaksi!F:F, "Barang Datang")
+
SUMIFS(Transaksi!K:K, Transaksi!E:E, $C213, Transaksi!F:F, "Retur penjualan")+SUMIFS(Transaksi!K:K, Transaksi!E:E, $C213, Transaksi!F:F,"Rusak Internal")</f>
        <v>0</v>
      </c>
      <c r="G213" s="7" t="str">
        <f>SUMIFS(Transaksi!I:I, Transaksi!E:E, $C213, Transaksi!F:F, "Terjual")
+
SUMIFS(Transaksi!J:J, Transaksi!E:E, $C213, Transaksi!F:F, "Retur Pembelian")+SUMIFS(Transaksi!I:I, Transaksi!E:E, $C213, Transaksi!F:F, "Dipakai Sendiri")</f>
        <v>0</v>
      </c>
      <c r="H213" s="15" t="str">
        <f t="shared" si="2"/>
        <v>87</v>
      </c>
      <c r="I213" s="15" t="str">
        <f t="shared" si="3"/>
        <v/>
      </c>
      <c r="J213" s="7"/>
      <c r="K213" s="7">
        <v>20000.0</v>
      </c>
    </row>
    <row r="214" ht="15.75" customHeight="1">
      <c r="A214" s="5" t="str">
        <f t="shared" si="1"/>
        <v>213</v>
      </c>
      <c r="B214" s="7" t="s">
        <v>445</v>
      </c>
      <c r="C214" s="7" t="s">
        <v>446</v>
      </c>
      <c r="D214" s="7">
        <v>88.0</v>
      </c>
      <c r="E214" s="7" t="str">
        <f>SUMIFS(Transaksi!J:J, Transaksi!E:E, $C214, Transaksi!F:F, "Barang Datang")+SUMIFS(Transaksi!J:J, Transaksi!E:E,$C214,Transaksi!F:F,"Retur Penjualan")</f>
        <v>0</v>
      </c>
      <c r="F214" s="7" t="str">
        <f>SUMIFS(Transaksi!K:K, Transaksi!E:E, $C214, Transaksi!F:F, "Barang Datang")
+
SUMIFS(Transaksi!K:K, Transaksi!E:E, $C214, Transaksi!F:F, "Retur penjualan")+SUMIFS(Transaksi!K:K, Transaksi!E:E, $C214, Transaksi!F:F,"Rusak Internal")</f>
        <v>0</v>
      </c>
      <c r="G214" s="7" t="str">
        <f>SUMIFS(Transaksi!I:I, Transaksi!E:E, $C214, Transaksi!F:F, "Terjual")
+
SUMIFS(Transaksi!J:J, Transaksi!E:E, $C214, Transaksi!F:F, "Retur Pembelian")+SUMIFS(Transaksi!I:I, Transaksi!E:E, $C214, Transaksi!F:F, "Dipakai Sendiri")</f>
        <v>0</v>
      </c>
      <c r="H214" s="15" t="str">
        <f t="shared" si="2"/>
        <v>88</v>
      </c>
      <c r="I214" s="15" t="str">
        <f t="shared" si="3"/>
        <v/>
      </c>
      <c r="J214" s="7"/>
      <c r="K214" s="7">
        <v>5000.0</v>
      </c>
    </row>
    <row r="215" ht="15.75" customHeight="1">
      <c r="A215" s="5" t="str">
        <f t="shared" si="1"/>
        <v>214</v>
      </c>
      <c r="B215" s="7" t="s">
        <v>447</v>
      </c>
      <c r="C215" s="7" t="s">
        <v>448</v>
      </c>
      <c r="D215" s="7">
        <v>52.0</v>
      </c>
      <c r="E215" s="7" t="str">
        <f>SUMIFS(Transaksi!J:J, Transaksi!E:E, $C215, Transaksi!F:F, "Barang Datang")+SUMIFS(Transaksi!J:J, Transaksi!E:E,$C215,Transaksi!F:F,"Retur Penjualan")</f>
        <v>0</v>
      </c>
      <c r="F215" s="7" t="str">
        <f>SUMIFS(Transaksi!K:K, Transaksi!E:E, $C215, Transaksi!F:F, "Barang Datang")
+
SUMIFS(Transaksi!K:K, Transaksi!E:E, $C215, Transaksi!F:F, "Retur penjualan")+SUMIFS(Transaksi!K:K, Transaksi!E:E, $C215, Transaksi!F:F,"Rusak Internal")</f>
        <v>0</v>
      </c>
      <c r="G215" s="7" t="str">
        <f>SUMIFS(Transaksi!I:I, Transaksi!E:E, $C215, Transaksi!F:F, "Terjual")
+
SUMIFS(Transaksi!J:J, Transaksi!E:E, $C215, Transaksi!F:F, "Retur Pembelian")+SUMIFS(Transaksi!I:I, Transaksi!E:E, $C215, Transaksi!F:F, "Dipakai Sendiri")</f>
        <v>0</v>
      </c>
      <c r="H215" s="15" t="str">
        <f t="shared" si="2"/>
        <v>52</v>
      </c>
      <c r="I215" s="15" t="str">
        <f t="shared" si="3"/>
        <v/>
      </c>
      <c r="J215" s="7"/>
      <c r="K215" s="7">
        <v>15000.0</v>
      </c>
    </row>
    <row r="216" ht="15.75" customHeight="1">
      <c r="A216" s="5" t="str">
        <f t="shared" si="1"/>
        <v>215</v>
      </c>
      <c r="B216" s="7" t="s">
        <v>449</v>
      </c>
      <c r="C216" s="7" t="s">
        <v>450</v>
      </c>
      <c r="D216" s="7">
        <v>70.0</v>
      </c>
      <c r="E216" s="7" t="str">
        <f>SUMIFS(Transaksi!J:J, Transaksi!E:E, $C216, Transaksi!F:F, "Barang Datang")+SUMIFS(Transaksi!J:J, Transaksi!E:E,$C216,Transaksi!F:F,"Retur Penjualan")</f>
        <v>0</v>
      </c>
      <c r="F216" s="7" t="str">
        <f>SUMIFS(Transaksi!K:K, Transaksi!E:E, $C216, Transaksi!F:F, "Barang Datang")
+
SUMIFS(Transaksi!K:K, Transaksi!E:E, $C216, Transaksi!F:F, "Retur penjualan")+SUMIFS(Transaksi!K:K, Transaksi!E:E, $C216, Transaksi!F:F,"Rusak Internal")</f>
        <v>0</v>
      </c>
      <c r="G216" s="7" t="str">
        <f>SUMIFS(Transaksi!I:I, Transaksi!E:E, $C216, Transaksi!F:F, "Terjual")
+
SUMIFS(Transaksi!J:J, Transaksi!E:E, $C216, Transaksi!F:F, "Retur Pembelian")+SUMIFS(Transaksi!I:I, Transaksi!E:E, $C216, Transaksi!F:F, "Dipakai Sendiri")</f>
        <v>0</v>
      </c>
      <c r="H216" s="15" t="str">
        <f t="shared" si="2"/>
        <v>70</v>
      </c>
      <c r="I216" s="15" t="str">
        <f t="shared" si="3"/>
        <v/>
      </c>
      <c r="J216" s="7"/>
      <c r="K216" s="7">
        <v>30000.0</v>
      </c>
    </row>
    <row r="217" ht="15.75" customHeight="1">
      <c r="A217" s="5" t="str">
        <f t="shared" si="1"/>
        <v>216</v>
      </c>
      <c r="B217" s="7" t="s">
        <v>451</v>
      </c>
      <c r="C217" s="7" t="s">
        <v>452</v>
      </c>
      <c r="D217" s="7">
        <v>91.0</v>
      </c>
      <c r="E217" s="7" t="str">
        <f>SUMIFS(Transaksi!J:J, Transaksi!E:E, $C217, Transaksi!F:F, "Barang Datang")+SUMIFS(Transaksi!J:J, Transaksi!E:E,$C217,Transaksi!F:F,"Retur Penjualan")</f>
        <v>0</v>
      </c>
      <c r="F217" s="7" t="str">
        <f>SUMIFS(Transaksi!K:K, Transaksi!E:E, $C217, Transaksi!F:F, "Barang Datang")
+
SUMIFS(Transaksi!K:K, Transaksi!E:E, $C217, Transaksi!F:F, "Retur penjualan")+SUMIFS(Transaksi!K:K, Transaksi!E:E, $C217, Transaksi!F:F,"Rusak Internal")</f>
        <v>0</v>
      </c>
      <c r="G217" s="7" t="str">
        <f>SUMIFS(Transaksi!I:I, Transaksi!E:E, $C217, Transaksi!F:F, "Terjual")
+
SUMIFS(Transaksi!J:J, Transaksi!E:E, $C217, Transaksi!F:F, "Retur Pembelian")+SUMIFS(Transaksi!I:I, Transaksi!E:E, $C217, Transaksi!F:F, "Dipakai Sendiri")</f>
        <v>0</v>
      </c>
      <c r="H217" s="15" t="str">
        <f t="shared" si="2"/>
        <v>91</v>
      </c>
      <c r="I217" s="15" t="str">
        <f t="shared" si="3"/>
        <v/>
      </c>
      <c r="J217" s="7"/>
      <c r="K217" s="7">
        <v>45000.0</v>
      </c>
    </row>
    <row r="218" ht="15.75" customHeight="1">
      <c r="A218" s="5" t="str">
        <f t="shared" si="1"/>
        <v>217</v>
      </c>
      <c r="B218" s="7" t="s">
        <v>453</v>
      </c>
      <c r="C218" s="7" t="s">
        <v>454</v>
      </c>
      <c r="D218" s="7">
        <v>87.0</v>
      </c>
      <c r="E218" s="7" t="str">
        <f>SUMIFS(Transaksi!J:J, Transaksi!E:E, $C218, Transaksi!F:F, "Barang Datang")+SUMIFS(Transaksi!J:J, Transaksi!E:E,$C218,Transaksi!F:F,"Retur Penjualan")</f>
        <v>0</v>
      </c>
      <c r="F218" s="7" t="str">
        <f>SUMIFS(Transaksi!K:K, Transaksi!E:E, $C218, Transaksi!F:F, "Barang Datang")
+
SUMIFS(Transaksi!K:K, Transaksi!E:E, $C218, Transaksi!F:F, "Retur penjualan")+SUMIFS(Transaksi!K:K, Transaksi!E:E, $C218, Transaksi!F:F,"Rusak Internal")</f>
        <v>0</v>
      </c>
      <c r="G218" s="7" t="str">
        <f>SUMIFS(Transaksi!I:I, Transaksi!E:E, $C218, Transaksi!F:F, "Terjual")
+
SUMIFS(Transaksi!J:J, Transaksi!E:E, $C218, Transaksi!F:F, "Retur Pembelian")+SUMIFS(Transaksi!I:I, Transaksi!E:E, $C218, Transaksi!F:F, "Dipakai Sendiri")</f>
        <v>0</v>
      </c>
      <c r="H218" s="15" t="str">
        <f t="shared" si="2"/>
        <v>87</v>
      </c>
      <c r="I218" s="15" t="str">
        <f t="shared" si="3"/>
        <v/>
      </c>
      <c r="J218" s="7"/>
      <c r="K218" s="7">
        <v>40000.0</v>
      </c>
    </row>
    <row r="219" ht="15.75" customHeight="1">
      <c r="A219" s="5" t="str">
        <f t="shared" si="1"/>
        <v>218</v>
      </c>
      <c r="B219" s="7" t="s">
        <v>455</v>
      </c>
      <c r="C219" s="7" t="s">
        <v>456</v>
      </c>
      <c r="D219" s="7">
        <v>95.0</v>
      </c>
      <c r="E219" s="7" t="str">
        <f>SUMIFS(Transaksi!J:J, Transaksi!E:E, $C219, Transaksi!F:F, "Barang Datang")+SUMIFS(Transaksi!J:J, Transaksi!E:E,$C219,Transaksi!F:F,"Retur Penjualan")</f>
        <v>0</v>
      </c>
      <c r="F219" s="7" t="str">
        <f>SUMIFS(Transaksi!K:K, Transaksi!E:E, $C219, Transaksi!F:F, "Barang Datang")
+
SUMIFS(Transaksi!K:K, Transaksi!E:E, $C219, Transaksi!F:F, "Retur penjualan")+SUMIFS(Transaksi!K:K, Transaksi!E:E, $C219, Transaksi!F:F,"Rusak Internal")</f>
        <v>0</v>
      </c>
      <c r="G219" s="7" t="str">
        <f>SUMIFS(Transaksi!I:I, Transaksi!E:E, $C219, Transaksi!F:F, "Terjual")
+
SUMIFS(Transaksi!J:J, Transaksi!E:E, $C219, Transaksi!F:F, "Retur Pembelian")+SUMIFS(Transaksi!I:I, Transaksi!E:E, $C219, Transaksi!F:F, "Dipakai Sendiri")</f>
        <v>0</v>
      </c>
      <c r="H219" s="15" t="str">
        <f t="shared" si="2"/>
        <v>95</v>
      </c>
      <c r="I219" s="15" t="str">
        <f t="shared" si="3"/>
        <v/>
      </c>
      <c r="J219" s="7"/>
      <c r="K219" s="7">
        <v>35000.0</v>
      </c>
    </row>
    <row r="220" ht="15.75" customHeight="1">
      <c r="A220" s="5" t="str">
        <f t="shared" si="1"/>
        <v>219</v>
      </c>
      <c r="B220" s="7" t="s">
        <v>457</v>
      </c>
      <c r="C220" s="7" t="s">
        <v>458</v>
      </c>
      <c r="D220" s="7">
        <v>28.0</v>
      </c>
      <c r="E220" s="7" t="str">
        <f>SUMIFS(Transaksi!J:J, Transaksi!E:E, $C220, Transaksi!F:F, "Barang Datang")+SUMIFS(Transaksi!J:J, Transaksi!E:E,$C220,Transaksi!F:F,"Retur Penjualan")</f>
        <v>0</v>
      </c>
      <c r="F220" s="7" t="str">
        <f>SUMIFS(Transaksi!K:K, Transaksi!E:E, $C220, Transaksi!F:F, "Barang Datang")
+
SUMIFS(Transaksi!K:K, Transaksi!E:E, $C220, Transaksi!F:F, "Retur penjualan")+SUMIFS(Transaksi!K:K, Transaksi!E:E, $C220, Transaksi!F:F,"Rusak Internal")</f>
        <v>0</v>
      </c>
      <c r="G220" s="7" t="str">
        <f>SUMIFS(Transaksi!I:I, Transaksi!E:E, $C220, Transaksi!F:F, "Terjual")
+
SUMIFS(Transaksi!J:J, Transaksi!E:E, $C220, Transaksi!F:F, "Retur Pembelian")+SUMIFS(Transaksi!I:I, Transaksi!E:E, $C220, Transaksi!F:F, "Dipakai Sendiri")</f>
        <v>0</v>
      </c>
      <c r="H220" s="15" t="str">
        <f t="shared" si="2"/>
        <v>28</v>
      </c>
      <c r="I220" s="15" t="str">
        <f t="shared" si="3"/>
        <v/>
      </c>
      <c r="J220" s="7"/>
      <c r="K220" s="7">
        <v>40000.0</v>
      </c>
    </row>
    <row r="221" ht="15.75" customHeight="1">
      <c r="A221" s="5" t="str">
        <f t="shared" si="1"/>
        <v>220</v>
      </c>
      <c r="B221" s="7" t="s">
        <v>459</v>
      </c>
      <c r="C221" s="7" t="s">
        <v>460</v>
      </c>
      <c r="D221" s="7">
        <v>27.0</v>
      </c>
      <c r="E221" s="7" t="str">
        <f>SUMIFS(Transaksi!J:J, Transaksi!E:E, $C221, Transaksi!F:F, "Barang Datang")+SUMIFS(Transaksi!J:J, Transaksi!E:E,$C221,Transaksi!F:F,"Retur Penjualan")</f>
        <v>0</v>
      </c>
      <c r="F221" s="7" t="str">
        <f>SUMIFS(Transaksi!K:K, Transaksi!E:E, $C221, Transaksi!F:F, "Barang Datang")
+
SUMIFS(Transaksi!K:K, Transaksi!E:E, $C221, Transaksi!F:F, "Retur penjualan")+SUMIFS(Transaksi!K:K, Transaksi!E:E, $C221, Transaksi!F:F,"Rusak Internal")</f>
        <v>0</v>
      </c>
      <c r="G221" s="7" t="str">
        <f>SUMIFS(Transaksi!I:I, Transaksi!E:E, $C221, Transaksi!F:F, "Terjual")
+
SUMIFS(Transaksi!J:J, Transaksi!E:E, $C221, Transaksi!F:F, "Retur Pembelian")+SUMIFS(Transaksi!I:I, Transaksi!E:E, $C221, Transaksi!F:F, "Dipakai Sendiri")</f>
        <v>0</v>
      </c>
      <c r="H221" s="15" t="str">
        <f t="shared" si="2"/>
        <v>27</v>
      </c>
      <c r="I221" s="15" t="str">
        <f t="shared" si="3"/>
        <v/>
      </c>
      <c r="J221" s="7"/>
      <c r="K221" s="7">
        <v>10000.0</v>
      </c>
    </row>
    <row r="222" ht="15.75" customHeight="1">
      <c r="A222" s="5" t="str">
        <f t="shared" si="1"/>
        <v>221</v>
      </c>
      <c r="B222" s="7" t="s">
        <v>461</v>
      </c>
      <c r="C222" s="7" t="s">
        <v>462</v>
      </c>
      <c r="D222" s="7">
        <v>34.0</v>
      </c>
      <c r="E222" s="7" t="str">
        <f>SUMIFS(Transaksi!J:J, Transaksi!E:E, $C222, Transaksi!F:F, "Barang Datang")+SUMIFS(Transaksi!J:J, Transaksi!E:E,$C222,Transaksi!F:F,"Retur Penjualan")</f>
        <v>0</v>
      </c>
      <c r="F222" s="7" t="str">
        <f>SUMIFS(Transaksi!K:K, Transaksi!E:E, $C222, Transaksi!F:F, "Barang Datang")
+
SUMIFS(Transaksi!K:K, Transaksi!E:E, $C222, Transaksi!F:F, "Retur penjualan")+SUMIFS(Transaksi!K:K, Transaksi!E:E, $C222, Transaksi!F:F,"Rusak Internal")</f>
        <v>0</v>
      </c>
      <c r="G222" s="7" t="str">
        <f>SUMIFS(Transaksi!I:I, Transaksi!E:E, $C222, Transaksi!F:F, "Terjual")
+
SUMIFS(Transaksi!J:J, Transaksi!E:E, $C222, Transaksi!F:F, "Retur Pembelian")+SUMIFS(Transaksi!I:I, Transaksi!E:E, $C222, Transaksi!F:F, "Dipakai Sendiri")</f>
        <v>0</v>
      </c>
      <c r="H222" s="15" t="str">
        <f t="shared" si="2"/>
        <v>34</v>
      </c>
      <c r="I222" s="15" t="str">
        <f t="shared" si="3"/>
        <v/>
      </c>
      <c r="J222" s="7"/>
      <c r="K222" s="7">
        <v>10000.0</v>
      </c>
    </row>
    <row r="223" ht="15.75" customHeight="1">
      <c r="A223" s="5" t="str">
        <f t="shared" si="1"/>
        <v>222</v>
      </c>
      <c r="B223" s="7" t="s">
        <v>463</v>
      </c>
      <c r="C223" s="7" t="s">
        <v>464</v>
      </c>
      <c r="D223" s="7">
        <v>94.0</v>
      </c>
      <c r="E223" s="7" t="str">
        <f>SUMIFS(Transaksi!J:J, Transaksi!E:E, $C223, Transaksi!F:F, "Barang Datang")+SUMIFS(Transaksi!J:J, Transaksi!E:E,$C223,Transaksi!F:F,"Retur Penjualan")</f>
        <v>0</v>
      </c>
      <c r="F223" s="7" t="str">
        <f>SUMIFS(Transaksi!K:K, Transaksi!E:E, $C223, Transaksi!F:F, "Barang Datang")
+
SUMIFS(Transaksi!K:K, Transaksi!E:E, $C223, Transaksi!F:F, "Retur penjualan")+SUMIFS(Transaksi!K:K, Transaksi!E:E, $C223, Transaksi!F:F,"Rusak Internal")</f>
        <v>0</v>
      </c>
      <c r="G223" s="7" t="str">
        <f>SUMIFS(Transaksi!I:I, Transaksi!E:E, $C223, Transaksi!F:F, "Terjual")
+
SUMIFS(Transaksi!J:J, Transaksi!E:E, $C223, Transaksi!F:F, "Retur Pembelian")+SUMIFS(Transaksi!I:I, Transaksi!E:E, $C223, Transaksi!F:F, "Dipakai Sendiri")</f>
        <v>0</v>
      </c>
      <c r="H223" s="15" t="str">
        <f t="shared" si="2"/>
        <v>94</v>
      </c>
      <c r="I223" s="15" t="str">
        <f t="shared" si="3"/>
        <v/>
      </c>
      <c r="J223" s="7"/>
      <c r="K223" s="7">
        <v>45000.0</v>
      </c>
    </row>
    <row r="224" ht="15.75" customHeight="1">
      <c r="A224" s="5" t="str">
        <f t="shared" si="1"/>
        <v>223</v>
      </c>
      <c r="B224" s="7" t="s">
        <v>19</v>
      </c>
      <c r="C224" s="7" t="s">
        <v>465</v>
      </c>
      <c r="D224" s="7">
        <v>89.0</v>
      </c>
      <c r="E224" s="7" t="str">
        <f>SUMIFS(Transaksi!J:J, Transaksi!E:E, $C224, Transaksi!F:F, "Barang Datang")+SUMIFS(Transaksi!J:J, Transaksi!E:E,$C224,Transaksi!F:F,"Retur Penjualan")</f>
        <v>0</v>
      </c>
      <c r="F224" s="7" t="str">
        <f>SUMIFS(Transaksi!K:K, Transaksi!E:E, $C224, Transaksi!F:F, "Barang Datang")
+
SUMIFS(Transaksi!K:K, Transaksi!E:E, $C224, Transaksi!F:F, "Retur penjualan")+SUMIFS(Transaksi!K:K, Transaksi!E:E, $C224, Transaksi!F:F,"Rusak Internal")</f>
        <v>0</v>
      </c>
      <c r="G224" s="7" t="str">
        <f>SUMIFS(Transaksi!I:I, Transaksi!E:E, $C224, Transaksi!F:F, "Terjual")
+
SUMIFS(Transaksi!J:J, Transaksi!E:E, $C224, Transaksi!F:F, "Retur Pembelian")+SUMIFS(Transaksi!I:I, Transaksi!E:E, $C224, Transaksi!F:F, "Dipakai Sendiri")</f>
        <v>0</v>
      </c>
      <c r="H224" s="15" t="str">
        <f t="shared" si="2"/>
        <v>89</v>
      </c>
      <c r="I224" s="15" t="str">
        <f t="shared" si="3"/>
        <v/>
      </c>
      <c r="J224" s="7"/>
      <c r="K224" s="7">
        <v>10000.0</v>
      </c>
    </row>
    <row r="225" ht="15.75" customHeight="1">
      <c r="A225" s="5" t="str">
        <f t="shared" si="1"/>
        <v>224</v>
      </c>
      <c r="B225" s="7" t="s">
        <v>466</v>
      </c>
      <c r="C225" s="7" t="s">
        <v>467</v>
      </c>
      <c r="D225" s="7">
        <v>65.0</v>
      </c>
      <c r="E225" s="7" t="str">
        <f>SUMIFS(Transaksi!J:J, Transaksi!E:E, $C225, Transaksi!F:F, "Barang Datang")+SUMIFS(Transaksi!J:J, Transaksi!E:E,$C225,Transaksi!F:F,"Retur Penjualan")</f>
        <v>0</v>
      </c>
      <c r="F225" s="7" t="str">
        <f>SUMIFS(Transaksi!K:K, Transaksi!E:E, $C225, Transaksi!F:F, "Barang Datang")
+
SUMIFS(Transaksi!K:K, Transaksi!E:E, $C225, Transaksi!F:F, "Retur penjualan")+SUMIFS(Transaksi!K:K, Transaksi!E:E, $C225, Transaksi!F:F,"Rusak Internal")</f>
        <v>0</v>
      </c>
      <c r="G225" s="7" t="str">
        <f>SUMIFS(Transaksi!I:I, Transaksi!E:E, $C225, Transaksi!F:F, "Terjual")
+
SUMIFS(Transaksi!J:J, Transaksi!E:E, $C225, Transaksi!F:F, "Retur Pembelian")+SUMIFS(Transaksi!I:I, Transaksi!E:E, $C225, Transaksi!F:F, "Dipakai Sendiri")</f>
        <v>0</v>
      </c>
      <c r="H225" s="15" t="str">
        <f t="shared" si="2"/>
        <v>65</v>
      </c>
      <c r="I225" s="15" t="str">
        <f t="shared" si="3"/>
        <v/>
      </c>
      <c r="J225" s="7"/>
      <c r="K225" s="7">
        <v>50000.0</v>
      </c>
    </row>
    <row r="226" ht="15.75" customHeight="1">
      <c r="A226" s="5" t="str">
        <f t="shared" si="1"/>
        <v>225</v>
      </c>
      <c r="B226" s="7" t="s">
        <v>468</v>
      </c>
      <c r="C226" s="7" t="s">
        <v>469</v>
      </c>
      <c r="D226" s="7">
        <v>94.0</v>
      </c>
      <c r="E226" s="7" t="str">
        <f>SUMIFS(Transaksi!J:J, Transaksi!E:E, $C226, Transaksi!F:F, "Barang Datang")+SUMIFS(Transaksi!J:J, Transaksi!E:E,$C226,Transaksi!F:F,"Retur Penjualan")</f>
        <v>0</v>
      </c>
      <c r="F226" s="7" t="str">
        <f>SUMIFS(Transaksi!K:K, Transaksi!E:E, $C226, Transaksi!F:F, "Barang Datang")
+
SUMIFS(Transaksi!K:K, Transaksi!E:E, $C226, Transaksi!F:F, "Retur penjualan")+SUMIFS(Transaksi!K:K, Transaksi!E:E, $C226, Transaksi!F:F,"Rusak Internal")</f>
        <v>0</v>
      </c>
      <c r="G226" s="7" t="str">
        <f>SUMIFS(Transaksi!I:I, Transaksi!E:E, $C226, Transaksi!F:F, "Terjual")
+
SUMIFS(Transaksi!J:J, Transaksi!E:E, $C226, Transaksi!F:F, "Retur Pembelian")+SUMIFS(Transaksi!I:I, Transaksi!E:E, $C226, Transaksi!F:F, "Dipakai Sendiri")</f>
        <v>0</v>
      </c>
      <c r="H226" s="15" t="str">
        <f t="shared" si="2"/>
        <v>94</v>
      </c>
      <c r="I226" s="15" t="str">
        <f t="shared" si="3"/>
        <v/>
      </c>
      <c r="J226" s="7"/>
      <c r="K226" s="7">
        <v>40000.0</v>
      </c>
    </row>
    <row r="227" ht="15.75" customHeight="1">
      <c r="A227" s="5" t="str">
        <f t="shared" si="1"/>
        <v>226</v>
      </c>
      <c r="B227" s="7" t="s">
        <v>470</v>
      </c>
      <c r="C227" s="7" t="s">
        <v>471</v>
      </c>
      <c r="D227" s="7">
        <v>25.0</v>
      </c>
      <c r="E227" s="7" t="str">
        <f>SUMIFS(Transaksi!J:J, Transaksi!E:E, $C227, Transaksi!F:F, "Barang Datang")+SUMIFS(Transaksi!J:J, Transaksi!E:E,$C227,Transaksi!F:F,"Retur Penjualan")</f>
        <v>0</v>
      </c>
      <c r="F227" s="7" t="str">
        <f>SUMIFS(Transaksi!K:K, Transaksi!E:E, $C227, Transaksi!F:F, "Barang Datang")
+
SUMIFS(Transaksi!K:K, Transaksi!E:E, $C227, Transaksi!F:F, "Retur penjualan")+SUMIFS(Transaksi!K:K, Transaksi!E:E, $C227, Transaksi!F:F,"Rusak Internal")</f>
        <v>0</v>
      </c>
      <c r="G227" s="7" t="str">
        <f>SUMIFS(Transaksi!I:I, Transaksi!E:E, $C227, Transaksi!F:F, "Terjual")
+
SUMIFS(Transaksi!J:J, Transaksi!E:E, $C227, Transaksi!F:F, "Retur Pembelian")+SUMIFS(Transaksi!I:I, Transaksi!E:E, $C227, Transaksi!F:F, "Dipakai Sendiri")</f>
        <v>0</v>
      </c>
      <c r="H227" s="15" t="str">
        <f t="shared" si="2"/>
        <v>25</v>
      </c>
      <c r="I227" s="15" t="str">
        <f t="shared" si="3"/>
        <v/>
      </c>
      <c r="J227" s="7"/>
      <c r="K227" s="7">
        <v>25000.0</v>
      </c>
    </row>
    <row r="228" ht="15.75" customHeight="1">
      <c r="A228" s="5" t="str">
        <f t="shared" si="1"/>
        <v>227</v>
      </c>
      <c r="B228" s="7" t="s">
        <v>472</v>
      </c>
      <c r="C228" s="7" t="s">
        <v>473</v>
      </c>
      <c r="D228" s="7">
        <v>95.0</v>
      </c>
      <c r="E228" s="7" t="str">
        <f>SUMIFS(Transaksi!J:J, Transaksi!E:E, $C228, Transaksi!F:F, "Barang Datang")+SUMIFS(Transaksi!J:J, Transaksi!E:E,$C228,Transaksi!F:F,"Retur Penjualan")</f>
        <v>0</v>
      </c>
      <c r="F228" s="7" t="str">
        <f>SUMIFS(Transaksi!K:K, Transaksi!E:E, $C228, Transaksi!F:F, "Barang Datang")
+
SUMIFS(Transaksi!K:K, Transaksi!E:E, $C228, Transaksi!F:F, "Retur penjualan")+SUMIFS(Transaksi!K:K, Transaksi!E:E, $C228, Transaksi!F:F,"Rusak Internal")</f>
        <v>0</v>
      </c>
      <c r="G228" s="7" t="str">
        <f>SUMIFS(Transaksi!I:I, Transaksi!E:E, $C228, Transaksi!F:F, "Terjual")
+
SUMIFS(Transaksi!J:J, Transaksi!E:E, $C228, Transaksi!F:F, "Retur Pembelian")+SUMIFS(Transaksi!I:I, Transaksi!E:E, $C228, Transaksi!F:F, "Dipakai Sendiri")</f>
        <v>0</v>
      </c>
      <c r="H228" s="15" t="str">
        <f t="shared" si="2"/>
        <v>95</v>
      </c>
      <c r="I228" s="15" t="str">
        <f t="shared" si="3"/>
        <v/>
      </c>
      <c r="J228" s="7"/>
      <c r="K228" s="7">
        <v>20000.0</v>
      </c>
    </row>
    <row r="229" ht="15.75" customHeight="1">
      <c r="A229" s="5" t="str">
        <f t="shared" si="1"/>
        <v>228</v>
      </c>
      <c r="B229" s="7" t="s">
        <v>474</v>
      </c>
      <c r="C229" s="7" t="s">
        <v>475</v>
      </c>
      <c r="D229" s="7">
        <v>50.0</v>
      </c>
      <c r="E229" s="7" t="str">
        <f>SUMIFS(Transaksi!J:J, Transaksi!E:E, $C229, Transaksi!F:F, "Barang Datang")+SUMIFS(Transaksi!J:J, Transaksi!E:E,$C229,Transaksi!F:F,"Retur Penjualan")</f>
        <v>0</v>
      </c>
      <c r="F229" s="7" t="str">
        <f>SUMIFS(Transaksi!K:K, Transaksi!E:E, $C229, Transaksi!F:F, "Barang Datang")
+
SUMIFS(Transaksi!K:K, Transaksi!E:E, $C229, Transaksi!F:F, "Retur penjualan")+SUMIFS(Transaksi!K:K, Transaksi!E:E, $C229, Transaksi!F:F,"Rusak Internal")</f>
        <v>0</v>
      </c>
      <c r="G229" s="7" t="str">
        <f>SUMIFS(Transaksi!I:I, Transaksi!E:E, $C229, Transaksi!F:F, "Terjual")
+
SUMIFS(Transaksi!J:J, Transaksi!E:E, $C229, Transaksi!F:F, "Retur Pembelian")+SUMIFS(Transaksi!I:I, Transaksi!E:E, $C229, Transaksi!F:F, "Dipakai Sendiri")</f>
        <v>0</v>
      </c>
      <c r="H229" s="15" t="str">
        <f t="shared" si="2"/>
        <v>50</v>
      </c>
      <c r="I229" s="15" t="str">
        <f t="shared" si="3"/>
        <v/>
      </c>
      <c r="J229" s="7"/>
      <c r="K229" s="7">
        <v>20000.0</v>
      </c>
    </row>
    <row r="230" ht="15.75" customHeight="1">
      <c r="A230" s="5" t="str">
        <f t="shared" si="1"/>
        <v>229</v>
      </c>
      <c r="B230" s="7" t="s">
        <v>476</v>
      </c>
      <c r="C230" s="7" t="s">
        <v>477</v>
      </c>
      <c r="D230" s="7">
        <v>80.0</v>
      </c>
      <c r="E230" s="7" t="str">
        <f>SUMIFS(Transaksi!J:J, Transaksi!E:E, $C230, Transaksi!F:F, "Barang Datang")+SUMIFS(Transaksi!J:J, Transaksi!E:E,$C230,Transaksi!F:F,"Retur Penjualan")</f>
        <v>0</v>
      </c>
      <c r="F230" s="7" t="str">
        <f>SUMIFS(Transaksi!K:K, Transaksi!E:E, $C230, Transaksi!F:F, "Barang Datang")
+
SUMIFS(Transaksi!K:K, Transaksi!E:E, $C230, Transaksi!F:F, "Retur penjualan")+SUMIFS(Transaksi!K:K, Transaksi!E:E, $C230, Transaksi!F:F,"Rusak Internal")</f>
        <v>0</v>
      </c>
      <c r="G230" s="7" t="str">
        <f>SUMIFS(Transaksi!I:I, Transaksi!E:E, $C230, Transaksi!F:F, "Terjual")
+
SUMIFS(Transaksi!J:J, Transaksi!E:E, $C230, Transaksi!F:F, "Retur Pembelian")+SUMIFS(Transaksi!I:I, Transaksi!E:E, $C230, Transaksi!F:F, "Dipakai Sendiri")</f>
        <v>0</v>
      </c>
      <c r="H230" s="15" t="str">
        <f t="shared" si="2"/>
        <v>80</v>
      </c>
      <c r="I230" s="15" t="str">
        <f t="shared" si="3"/>
        <v/>
      </c>
      <c r="J230" s="7"/>
      <c r="K230" s="7">
        <v>30000.0</v>
      </c>
    </row>
    <row r="231" ht="15.75" customHeight="1">
      <c r="A231" s="5" t="str">
        <f t="shared" si="1"/>
        <v>230</v>
      </c>
      <c r="B231" s="7" t="s">
        <v>478</v>
      </c>
      <c r="C231" s="7" t="s">
        <v>479</v>
      </c>
      <c r="D231" s="7">
        <v>45.0</v>
      </c>
      <c r="E231" s="7" t="str">
        <f>SUMIFS(Transaksi!J:J, Transaksi!E:E, $C231, Transaksi!F:F, "Barang Datang")+SUMIFS(Transaksi!J:J, Transaksi!E:E,$C231,Transaksi!F:F,"Retur Penjualan")</f>
        <v>0</v>
      </c>
      <c r="F231" s="7" t="str">
        <f>SUMIFS(Transaksi!K:K, Transaksi!E:E, $C231, Transaksi!F:F, "Barang Datang")
+
SUMIFS(Transaksi!K:K, Transaksi!E:E, $C231, Transaksi!F:F, "Retur penjualan")+SUMIFS(Transaksi!K:K, Transaksi!E:E, $C231, Transaksi!F:F,"Rusak Internal")</f>
        <v>0</v>
      </c>
      <c r="G231" s="7" t="str">
        <f>SUMIFS(Transaksi!I:I, Transaksi!E:E, $C231, Transaksi!F:F, "Terjual")
+
SUMIFS(Transaksi!J:J, Transaksi!E:E, $C231, Transaksi!F:F, "Retur Pembelian")+SUMIFS(Transaksi!I:I, Transaksi!E:E, $C231, Transaksi!F:F, "Dipakai Sendiri")</f>
        <v>0</v>
      </c>
      <c r="H231" s="15" t="str">
        <f t="shared" si="2"/>
        <v>45</v>
      </c>
      <c r="I231" s="15" t="str">
        <f t="shared" si="3"/>
        <v/>
      </c>
      <c r="J231" s="7"/>
      <c r="K231" s="7">
        <v>35000.0</v>
      </c>
    </row>
    <row r="232" ht="15.75" customHeight="1">
      <c r="A232" s="5" t="str">
        <f t="shared" si="1"/>
        <v>231</v>
      </c>
      <c r="B232" s="7" t="s">
        <v>480</v>
      </c>
      <c r="C232" s="7" t="s">
        <v>481</v>
      </c>
      <c r="D232" s="7">
        <v>32.0</v>
      </c>
      <c r="E232" s="7" t="str">
        <f>SUMIFS(Transaksi!J:J, Transaksi!E:E, $C232, Transaksi!F:F, "Barang Datang")+SUMIFS(Transaksi!J:J, Transaksi!E:E,$C232,Transaksi!F:F,"Retur Penjualan")</f>
        <v>0</v>
      </c>
      <c r="F232" s="7" t="str">
        <f>SUMIFS(Transaksi!K:K, Transaksi!E:E, $C232, Transaksi!F:F, "Barang Datang")
+
SUMIFS(Transaksi!K:K, Transaksi!E:E, $C232, Transaksi!F:F, "Retur penjualan")+SUMIFS(Transaksi!K:K, Transaksi!E:E, $C232, Transaksi!F:F,"Rusak Internal")</f>
        <v>0</v>
      </c>
      <c r="G232" s="7" t="str">
        <f>SUMIFS(Transaksi!I:I, Transaksi!E:E, $C232, Transaksi!F:F, "Terjual")
+
SUMIFS(Transaksi!J:J, Transaksi!E:E, $C232, Transaksi!F:F, "Retur Pembelian")+SUMIFS(Transaksi!I:I, Transaksi!E:E, $C232, Transaksi!F:F, "Dipakai Sendiri")</f>
        <v>0</v>
      </c>
      <c r="H232" s="15" t="str">
        <f t="shared" si="2"/>
        <v>32</v>
      </c>
      <c r="I232" s="15" t="str">
        <f t="shared" si="3"/>
        <v/>
      </c>
      <c r="J232" s="7"/>
      <c r="K232" s="7">
        <v>30000.0</v>
      </c>
    </row>
    <row r="233" ht="15.75" customHeight="1">
      <c r="A233" s="5" t="str">
        <f t="shared" si="1"/>
        <v>232</v>
      </c>
      <c r="B233" s="7" t="s">
        <v>482</v>
      </c>
      <c r="C233" s="7" t="s">
        <v>483</v>
      </c>
      <c r="D233" s="7">
        <v>87.0</v>
      </c>
      <c r="E233" s="7" t="str">
        <f>SUMIFS(Transaksi!J:J, Transaksi!E:E, $C233, Transaksi!F:F, "Barang Datang")+SUMIFS(Transaksi!J:J, Transaksi!E:E,$C233,Transaksi!F:F,"Retur Penjualan")</f>
        <v>0</v>
      </c>
      <c r="F233" s="7" t="str">
        <f>SUMIFS(Transaksi!K:K, Transaksi!E:E, $C233, Transaksi!F:F, "Barang Datang")
+
SUMIFS(Transaksi!K:K, Transaksi!E:E, $C233, Transaksi!F:F, "Retur penjualan")+SUMIFS(Transaksi!K:K, Transaksi!E:E, $C233, Transaksi!F:F,"Rusak Internal")</f>
        <v>0</v>
      </c>
      <c r="G233" s="7" t="str">
        <f>SUMIFS(Transaksi!I:I, Transaksi!E:E, $C233, Transaksi!F:F, "Terjual")
+
SUMIFS(Transaksi!J:J, Transaksi!E:E, $C233, Transaksi!F:F, "Retur Pembelian")+SUMIFS(Transaksi!I:I, Transaksi!E:E, $C233, Transaksi!F:F, "Dipakai Sendiri")</f>
        <v>0</v>
      </c>
      <c r="H233" s="15" t="str">
        <f t="shared" si="2"/>
        <v>87</v>
      </c>
      <c r="I233" s="15" t="str">
        <f t="shared" si="3"/>
        <v/>
      </c>
      <c r="J233" s="7"/>
      <c r="K233" s="7">
        <v>25000.0</v>
      </c>
    </row>
    <row r="234" ht="15.75" customHeight="1">
      <c r="A234" s="5" t="str">
        <f t="shared" si="1"/>
        <v>233</v>
      </c>
      <c r="B234" s="7" t="s">
        <v>484</v>
      </c>
      <c r="C234" s="7" t="s">
        <v>485</v>
      </c>
      <c r="D234" s="7">
        <v>27.0</v>
      </c>
      <c r="E234" s="7" t="str">
        <f>SUMIFS(Transaksi!J:J, Transaksi!E:E, $C234, Transaksi!F:F, "Barang Datang")+SUMIFS(Transaksi!J:J, Transaksi!E:E,$C234,Transaksi!F:F,"Retur Penjualan")</f>
        <v>0</v>
      </c>
      <c r="F234" s="7" t="str">
        <f>SUMIFS(Transaksi!K:K, Transaksi!E:E, $C234, Transaksi!F:F, "Barang Datang")
+
SUMIFS(Transaksi!K:K, Transaksi!E:E, $C234, Transaksi!F:F, "Retur penjualan")+SUMIFS(Transaksi!K:K, Transaksi!E:E, $C234, Transaksi!F:F,"Rusak Internal")</f>
        <v>0</v>
      </c>
      <c r="G234" s="7" t="str">
        <f>SUMIFS(Transaksi!I:I, Transaksi!E:E, $C234, Transaksi!F:F, "Terjual")
+
SUMIFS(Transaksi!J:J, Transaksi!E:E, $C234, Transaksi!F:F, "Retur Pembelian")+SUMIFS(Transaksi!I:I, Transaksi!E:E, $C234, Transaksi!F:F, "Dipakai Sendiri")</f>
        <v>0</v>
      </c>
      <c r="H234" s="15" t="str">
        <f t="shared" si="2"/>
        <v>27</v>
      </c>
      <c r="I234" s="15" t="str">
        <f t="shared" si="3"/>
        <v/>
      </c>
      <c r="J234" s="7"/>
      <c r="K234" s="7">
        <v>10000.0</v>
      </c>
    </row>
    <row r="235" ht="15.75" customHeight="1">
      <c r="A235" s="5" t="str">
        <f t="shared" si="1"/>
        <v>234</v>
      </c>
      <c r="B235" s="7" t="s">
        <v>486</v>
      </c>
      <c r="C235" s="7" t="s">
        <v>487</v>
      </c>
      <c r="D235" s="7">
        <v>59.0</v>
      </c>
      <c r="E235" s="7" t="str">
        <f>SUMIFS(Transaksi!J:J, Transaksi!E:E, $C235, Transaksi!F:F, "Barang Datang")+SUMIFS(Transaksi!J:J, Transaksi!E:E,$C235,Transaksi!F:F,"Retur Penjualan")</f>
        <v>0</v>
      </c>
      <c r="F235" s="7" t="str">
        <f>SUMIFS(Transaksi!K:K, Transaksi!E:E, $C235, Transaksi!F:F, "Barang Datang")
+
SUMIFS(Transaksi!K:K, Transaksi!E:E, $C235, Transaksi!F:F, "Retur penjualan")+SUMIFS(Transaksi!K:K, Transaksi!E:E, $C235, Transaksi!F:F,"Rusak Internal")</f>
        <v>0</v>
      </c>
      <c r="G235" s="7" t="str">
        <f>SUMIFS(Transaksi!I:I, Transaksi!E:E, $C235, Transaksi!F:F, "Terjual")
+
SUMIFS(Transaksi!J:J, Transaksi!E:E, $C235, Transaksi!F:F, "Retur Pembelian")+SUMIFS(Transaksi!I:I, Transaksi!E:E, $C235, Transaksi!F:F, "Dipakai Sendiri")</f>
        <v>0</v>
      </c>
      <c r="H235" s="15" t="str">
        <f t="shared" si="2"/>
        <v>59</v>
      </c>
      <c r="I235" s="15" t="str">
        <f t="shared" si="3"/>
        <v/>
      </c>
      <c r="J235" s="7"/>
      <c r="K235" s="7">
        <v>30000.0</v>
      </c>
    </row>
    <row r="236" ht="15.75" customHeight="1">
      <c r="A236" s="5" t="str">
        <f t="shared" si="1"/>
        <v>235</v>
      </c>
      <c r="B236" s="7" t="s">
        <v>488</v>
      </c>
      <c r="C236" s="7" t="s">
        <v>489</v>
      </c>
      <c r="D236" s="7">
        <v>18.0</v>
      </c>
      <c r="E236" s="7" t="str">
        <f>SUMIFS(Transaksi!J:J, Transaksi!E:E, $C236, Transaksi!F:F, "Barang Datang")+SUMIFS(Transaksi!J:J, Transaksi!E:E,$C236,Transaksi!F:F,"Retur Penjualan")</f>
        <v>0</v>
      </c>
      <c r="F236" s="7" t="str">
        <f>SUMIFS(Transaksi!K:K, Transaksi!E:E, $C236, Transaksi!F:F, "Barang Datang")
+
SUMIFS(Transaksi!K:K, Transaksi!E:E, $C236, Transaksi!F:F, "Retur penjualan")+SUMIFS(Transaksi!K:K, Transaksi!E:E, $C236, Transaksi!F:F,"Rusak Internal")</f>
        <v>0</v>
      </c>
      <c r="G236" s="7" t="str">
        <f>SUMIFS(Transaksi!I:I, Transaksi!E:E, $C236, Transaksi!F:F, "Terjual")
+
SUMIFS(Transaksi!J:J, Transaksi!E:E, $C236, Transaksi!F:F, "Retur Pembelian")+SUMIFS(Transaksi!I:I, Transaksi!E:E, $C236, Transaksi!F:F, "Dipakai Sendiri")</f>
        <v>0</v>
      </c>
      <c r="H236" s="15" t="str">
        <f t="shared" si="2"/>
        <v>18</v>
      </c>
      <c r="I236" s="15" t="str">
        <f t="shared" si="3"/>
        <v/>
      </c>
      <c r="J236" s="7"/>
      <c r="K236" s="7">
        <v>20000.0</v>
      </c>
    </row>
    <row r="237" ht="15.75" customHeight="1">
      <c r="A237" s="5" t="str">
        <f t="shared" si="1"/>
        <v>236</v>
      </c>
      <c r="B237" s="7" t="s">
        <v>490</v>
      </c>
      <c r="C237" s="7" t="s">
        <v>491</v>
      </c>
      <c r="D237" s="7">
        <v>20.0</v>
      </c>
      <c r="E237" s="7" t="str">
        <f>SUMIFS(Transaksi!J:J, Transaksi!E:E, $C237, Transaksi!F:F, "Barang Datang")+SUMIFS(Transaksi!J:J, Transaksi!E:E,$C237,Transaksi!F:F,"Retur Penjualan")</f>
        <v>0</v>
      </c>
      <c r="F237" s="7" t="str">
        <f>SUMIFS(Transaksi!K:K, Transaksi!E:E, $C237, Transaksi!F:F, "Barang Datang")
+
SUMIFS(Transaksi!K:K, Transaksi!E:E, $C237, Transaksi!F:F, "Retur penjualan")+SUMIFS(Transaksi!K:K, Transaksi!E:E, $C237, Transaksi!F:F,"Rusak Internal")</f>
        <v>0</v>
      </c>
      <c r="G237" s="7" t="str">
        <f>SUMIFS(Transaksi!I:I, Transaksi!E:E, $C237, Transaksi!F:F, "Terjual")
+
SUMIFS(Transaksi!J:J, Transaksi!E:E, $C237, Transaksi!F:F, "Retur Pembelian")+SUMIFS(Transaksi!I:I, Transaksi!E:E, $C237, Transaksi!F:F, "Dipakai Sendiri")</f>
        <v>0</v>
      </c>
      <c r="H237" s="15" t="str">
        <f t="shared" si="2"/>
        <v>20</v>
      </c>
      <c r="I237" s="15" t="str">
        <f t="shared" si="3"/>
        <v/>
      </c>
      <c r="J237" s="7"/>
      <c r="K237" s="7">
        <v>45000.0</v>
      </c>
    </row>
    <row r="238" ht="15.75" customHeight="1">
      <c r="A238" s="5" t="str">
        <f t="shared" si="1"/>
        <v>237</v>
      </c>
      <c r="B238" s="7" t="s">
        <v>492</v>
      </c>
      <c r="C238" s="7" t="s">
        <v>493</v>
      </c>
      <c r="D238" s="7">
        <v>98.0</v>
      </c>
      <c r="E238" s="7" t="str">
        <f>SUMIFS(Transaksi!J:J, Transaksi!E:E, $C238, Transaksi!F:F, "Barang Datang")+SUMIFS(Transaksi!J:J, Transaksi!E:E,$C238,Transaksi!F:F,"Retur Penjualan")</f>
        <v>0</v>
      </c>
      <c r="F238" s="7" t="str">
        <f>SUMIFS(Transaksi!K:K, Transaksi!E:E, $C238, Transaksi!F:F, "Barang Datang")
+
SUMIFS(Transaksi!K:K, Transaksi!E:E, $C238, Transaksi!F:F, "Retur penjualan")+SUMIFS(Transaksi!K:K, Transaksi!E:E, $C238, Transaksi!F:F,"Rusak Internal")</f>
        <v>0</v>
      </c>
      <c r="G238" s="7" t="str">
        <f>SUMIFS(Transaksi!I:I, Transaksi!E:E, $C238, Transaksi!F:F, "Terjual")
+
SUMIFS(Transaksi!J:J, Transaksi!E:E, $C238, Transaksi!F:F, "Retur Pembelian")+SUMIFS(Transaksi!I:I, Transaksi!E:E, $C238, Transaksi!F:F, "Dipakai Sendiri")</f>
        <v>0</v>
      </c>
      <c r="H238" s="15" t="str">
        <f t="shared" si="2"/>
        <v>98</v>
      </c>
      <c r="I238" s="15" t="str">
        <f t="shared" si="3"/>
        <v/>
      </c>
      <c r="J238" s="7"/>
      <c r="K238" s="7">
        <v>45000.0</v>
      </c>
    </row>
    <row r="239" ht="15.75" customHeight="1">
      <c r="A239" s="5" t="str">
        <f t="shared" si="1"/>
        <v>238</v>
      </c>
      <c r="B239" s="7" t="s">
        <v>494</v>
      </c>
      <c r="C239" s="7" t="s">
        <v>495</v>
      </c>
      <c r="D239" s="7">
        <v>15.0</v>
      </c>
      <c r="E239" s="7" t="str">
        <f>SUMIFS(Transaksi!J:J, Transaksi!E:E, $C239, Transaksi!F:F, "Barang Datang")+SUMIFS(Transaksi!J:J, Transaksi!E:E,$C239,Transaksi!F:F,"Retur Penjualan")</f>
        <v>0</v>
      </c>
      <c r="F239" s="7" t="str">
        <f>SUMIFS(Transaksi!K:K, Transaksi!E:E, $C239, Transaksi!F:F, "Barang Datang")
+
SUMIFS(Transaksi!K:K, Transaksi!E:E, $C239, Transaksi!F:F, "Retur penjualan")+SUMIFS(Transaksi!K:K, Transaksi!E:E, $C239, Transaksi!F:F,"Rusak Internal")</f>
        <v>0</v>
      </c>
      <c r="G239" s="7" t="str">
        <f>SUMIFS(Transaksi!I:I, Transaksi!E:E, $C239, Transaksi!F:F, "Terjual")
+
SUMIFS(Transaksi!J:J, Transaksi!E:E, $C239, Transaksi!F:F, "Retur Pembelian")+SUMIFS(Transaksi!I:I, Transaksi!E:E, $C239, Transaksi!F:F, "Dipakai Sendiri")</f>
        <v>0</v>
      </c>
      <c r="H239" s="15" t="str">
        <f t="shared" si="2"/>
        <v>15</v>
      </c>
      <c r="I239" s="15" t="str">
        <f t="shared" si="3"/>
        <v/>
      </c>
      <c r="J239" s="7"/>
      <c r="K239" s="7">
        <v>45000.0</v>
      </c>
    </row>
    <row r="240" ht="15.75" customHeight="1">
      <c r="A240" s="5" t="str">
        <f t="shared" si="1"/>
        <v>239</v>
      </c>
      <c r="B240" s="7" t="s">
        <v>496</v>
      </c>
      <c r="C240" s="7" t="s">
        <v>497</v>
      </c>
      <c r="D240" s="7">
        <v>47.0</v>
      </c>
      <c r="E240" s="7" t="str">
        <f>SUMIFS(Transaksi!J:J, Transaksi!E:E, $C240, Transaksi!F:F, "Barang Datang")+SUMIFS(Transaksi!J:J, Transaksi!E:E,$C240,Transaksi!F:F,"Retur Penjualan")</f>
        <v>0</v>
      </c>
      <c r="F240" s="7" t="str">
        <f>SUMIFS(Transaksi!K:K, Transaksi!E:E, $C240, Transaksi!F:F, "Barang Datang")
+
SUMIFS(Transaksi!K:K, Transaksi!E:E, $C240, Transaksi!F:F, "Retur penjualan")+SUMIFS(Transaksi!K:K, Transaksi!E:E, $C240, Transaksi!F:F,"Rusak Internal")</f>
        <v>0</v>
      </c>
      <c r="G240" s="7" t="str">
        <f>SUMIFS(Transaksi!I:I, Transaksi!E:E, $C240, Transaksi!F:F, "Terjual")
+
SUMIFS(Transaksi!J:J, Transaksi!E:E, $C240, Transaksi!F:F, "Retur Pembelian")+SUMIFS(Transaksi!I:I, Transaksi!E:E, $C240, Transaksi!F:F, "Dipakai Sendiri")</f>
        <v>0</v>
      </c>
      <c r="H240" s="15" t="str">
        <f t="shared" si="2"/>
        <v>47</v>
      </c>
      <c r="I240" s="15" t="str">
        <f t="shared" si="3"/>
        <v/>
      </c>
      <c r="J240" s="7"/>
      <c r="K240" s="7">
        <v>25000.0</v>
      </c>
    </row>
    <row r="241" ht="15.75" customHeight="1">
      <c r="A241" s="5" t="str">
        <f t="shared" si="1"/>
        <v>240</v>
      </c>
      <c r="B241" s="7" t="s">
        <v>498</v>
      </c>
      <c r="C241" s="7" t="s">
        <v>499</v>
      </c>
      <c r="D241" s="7">
        <v>73.0</v>
      </c>
      <c r="E241" s="7" t="str">
        <f>SUMIFS(Transaksi!J:J, Transaksi!E:E, $C241, Transaksi!F:F, "Barang Datang")+SUMIFS(Transaksi!J:J, Transaksi!E:E,$C241,Transaksi!F:F,"Retur Penjualan")</f>
        <v>0</v>
      </c>
      <c r="F241" s="7" t="str">
        <f>SUMIFS(Transaksi!K:K, Transaksi!E:E, $C241, Transaksi!F:F, "Barang Datang")
+
SUMIFS(Transaksi!K:K, Transaksi!E:E, $C241, Transaksi!F:F, "Retur penjualan")+SUMIFS(Transaksi!K:K, Transaksi!E:E, $C241, Transaksi!F:F,"Rusak Internal")</f>
        <v>0</v>
      </c>
      <c r="G241" s="7" t="str">
        <f>SUMIFS(Transaksi!I:I, Transaksi!E:E, $C241, Transaksi!F:F, "Terjual")
+
SUMIFS(Transaksi!J:J, Transaksi!E:E, $C241, Transaksi!F:F, "Retur Pembelian")+SUMIFS(Transaksi!I:I, Transaksi!E:E, $C241, Transaksi!F:F, "Dipakai Sendiri")</f>
        <v>0</v>
      </c>
      <c r="H241" s="15" t="str">
        <f t="shared" si="2"/>
        <v>73</v>
      </c>
      <c r="I241" s="15" t="str">
        <f t="shared" si="3"/>
        <v/>
      </c>
      <c r="J241" s="7"/>
      <c r="K241" s="7">
        <v>5000.0</v>
      </c>
    </row>
    <row r="242" ht="15.75" customHeight="1">
      <c r="A242" s="5" t="str">
        <f t="shared" si="1"/>
        <v>241</v>
      </c>
      <c r="B242" s="7" t="s">
        <v>500</v>
      </c>
      <c r="C242" s="7" t="s">
        <v>501</v>
      </c>
      <c r="D242" s="7">
        <v>92.0</v>
      </c>
      <c r="E242" s="7" t="str">
        <f>SUMIFS(Transaksi!J:J, Transaksi!E:E, $C242, Transaksi!F:F, "Barang Datang")+SUMIFS(Transaksi!J:J, Transaksi!E:E,$C242,Transaksi!F:F,"Retur Penjualan")</f>
        <v>0</v>
      </c>
      <c r="F242" s="7" t="str">
        <f>SUMIFS(Transaksi!K:K, Transaksi!E:E, $C242, Transaksi!F:F, "Barang Datang")
+
SUMIFS(Transaksi!K:K, Transaksi!E:E, $C242, Transaksi!F:F, "Retur penjualan")+SUMIFS(Transaksi!K:K, Transaksi!E:E, $C242, Transaksi!F:F,"Rusak Internal")</f>
        <v>0</v>
      </c>
      <c r="G242" s="7" t="str">
        <f>SUMIFS(Transaksi!I:I, Transaksi!E:E, $C242, Transaksi!F:F, "Terjual")
+
SUMIFS(Transaksi!J:J, Transaksi!E:E, $C242, Transaksi!F:F, "Retur Pembelian")+SUMIFS(Transaksi!I:I, Transaksi!E:E, $C242, Transaksi!F:F, "Dipakai Sendiri")</f>
        <v>0</v>
      </c>
      <c r="H242" s="15" t="str">
        <f t="shared" si="2"/>
        <v>92</v>
      </c>
      <c r="I242" s="15" t="str">
        <f t="shared" si="3"/>
        <v/>
      </c>
      <c r="J242" s="7"/>
      <c r="K242" s="7">
        <v>15000.0</v>
      </c>
    </row>
    <row r="243" ht="15.75" customHeight="1">
      <c r="A243" s="5" t="str">
        <f t="shared" si="1"/>
        <v>242</v>
      </c>
      <c r="B243" s="7" t="s">
        <v>17</v>
      </c>
      <c r="C243" s="7" t="s">
        <v>502</v>
      </c>
      <c r="D243" s="7">
        <v>86.0</v>
      </c>
      <c r="E243" s="7" t="str">
        <f>SUMIFS(Transaksi!J:J, Transaksi!E:E, $C243, Transaksi!F:F, "Barang Datang")+SUMIFS(Transaksi!J:J, Transaksi!E:E,$C243,Transaksi!F:F,"Retur Penjualan")</f>
        <v>0</v>
      </c>
      <c r="F243" s="7" t="str">
        <f>SUMIFS(Transaksi!K:K, Transaksi!E:E, $C243, Transaksi!F:F, "Barang Datang")
+
SUMIFS(Transaksi!K:K, Transaksi!E:E, $C243, Transaksi!F:F, "Retur penjualan")+SUMIFS(Transaksi!K:K, Transaksi!E:E, $C243, Transaksi!F:F,"Rusak Internal")</f>
        <v>0</v>
      </c>
      <c r="G243" s="7" t="str">
        <f>SUMIFS(Transaksi!I:I, Transaksi!E:E, $C243, Transaksi!F:F, "Terjual")
+
SUMIFS(Transaksi!J:J, Transaksi!E:E, $C243, Transaksi!F:F, "Retur Pembelian")+SUMIFS(Transaksi!I:I, Transaksi!E:E, $C243, Transaksi!F:F, "Dipakai Sendiri")</f>
        <v>0</v>
      </c>
      <c r="H243" s="15" t="str">
        <f t="shared" si="2"/>
        <v>86</v>
      </c>
      <c r="I243" s="15" t="str">
        <f t="shared" si="3"/>
        <v/>
      </c>
      <c r="J243" s="7"/>
      <c r="K243" s="7">
        <v>50000.0</v>
      </c>
    </row>
    <row r="244" ht="15.75" customHeight="1">
      <c r="A244" s="5" t="str">
        <f t="shared" si="1"/>
        <v>243</v>
      </c>
      <c r="B244" s="7" t="s">
        <v>503</v>
      </c>
      <c r="C244" s="7" t="s">
        <v>504</v>
      </c>
      <c r="D244" s="7">
        <v>58.0</v>
      </c>
      <c r="E244" s="7" t="str">
        <f>SUMIFS(Transaksi!J:J, Transaksi!E:E, $C244, Transaksi!F:F, "Barang Datang")+SUMIFS(Transaksi!J:J, Transaksi!E:E,$C244,Transaksi!F:F,"Retur Penjualan")</f>
        <v>0</v>
      </c>
      <c r="F244" s="7" t="str">
        <f>SUMIFS(Transaksi!K:K, Transaksi!E:E, $C244, Transaksi!F:F, "Barang Datang")
+
SUMIFS(Transaksi!K:K, Transaksi!E:E, $C244, Transaksi!F:F, "Retur penjualan")+SUMIFS(Transaksi!K:K, Transaksi!E:E, $C244, Transaksi!F:F,"Rusak Internal")</f>
        <v>0</v>
      </c>
      <c r="G244" s="7" t="str">
        <f>SUMIFS(Transaksi!I:I, Transaksi!E:E, $C244, Transaksi!F:F, "Terjual")
+
SUMIFS(Transaksi!J:J, Transaksi!E:E, $C244, Transaksi!F:F, "Retur Pembelian")+SUMIFS(Transaksi!I:I, Transaksi!E:E, $C244, Transaksi!F:F, "Dipakai Sendiri")</f>
        <v>0</v>
      </c>
      <c r="H244" s="15" t="str">
        <f t="shared" si="2"/>
        <v>58</v>
      </c>
      <c r="I244" s="15" t="str">
        <f t="shared" si="3"/>
        <v/>
      </c>
      <c r="J244" s="7"/>
      <c r="K244" s="7">
        <v>40000.0</v>
      </c>
    </row>
    <row r="245" ht="15.75" customHeight="1">
      <c r="A245" s="5" t="str">
        <f t="shared" si="1"/>
        <v>244</v>
      </c>
      <c r="B245" s="7" t="s">
        <v>505</v>
      </c>
      <c r="C245" s="7" t="s">
        <v>506</v>
      </c>
      <c r="D245" s="7">
        <v>33.0</v>
      </c>
      <c r="E245" s="7" t="str">
        <f>SUMIFS(Transaksi!J:J, Transaksi!E:E, $C245, Transaksi!F:F, "Barang Datang")+SUMIFS(Transaksi!J:J, Transaksi!E:E,$C245,Transaksi!F:F,"Retur Penjualan")</f>
        <v>0</v>
      </c>
      <c r="F245" s="7" t="str">
        <f>SUMIFS(Transaksi!K:K, Transaksi!E:E, $C245, Transaksi!F:F, "Barang Datang")
+
SUMIFS(Transaksi!K:K, Transaksi!E:E, $C245, Transaksi!F:F, "Retur penjualan")+SUMIFS(Transaksi!K:K, Transaksi!E:E, $C245, Transaksi!F:F,"Rusak Internal")</f>
        <v>0</v>
      </c>
      <c r="G245" s="7" t="str">
        <f>SUMIFS(Transaksi!I:I, Transaksi!E:E, $C245, Transaksi!F:F, "Terjual")
+
SUMIFS(Transaksi!J:J, Transaksi!E:E, $C245, Transaksi!F:F, "Retur Pembelian")+SUMIFS(Transaksi!I:I, Transaksi!E:E, $C245, Transaksi!F:F, "Dipakai Sendiri")</f>
        <v>0</v>
      </c>
      <c r="H245" s="15" t="str">
        <f t="shared" si="2"/>
        <v>33</v>
      </c>
      <c r="I245" s="15" t="str">
        <f t="shared" si="3"/>
        <v/>
      </c>
      <c r="J245" s="7"/>
      <c r="K245" s="7">
        <v>40000.0</v>
      </c>
    </row>
    <row r="246" ht="15.75" customHeight="1">
      <c r="A246" s="5" t="str">
        <f t="shared" si="1"/>
        <v>245</v>
      </c>
      <c r="B246" s="7" t="s">
        <v>507</v>
      </c>
      <c r="C246" s="7" t="s">
        <v>508</v>
      </c>
      <c r="D246" s="7">
        <v>33.0</v>
      </c>
      <c r="E246" s="7" t="str">
        <f>SUMIFS(Transaksi!J:J, Transaksi!E:E, $C246, Transaksi!F:F, "Barang Datang")+SUMIFS(Transaksi!J:J, Transaksi!E:E,$C246,Transaksi!F:F,"Retur Penjualan")</f>
        <v>0</v>
      </c>
      <c r="F246" s="7" t="str">
        <f>SUMIFS(Transaksi!K:K, Transaksi!E:E, $C246, Transaksi!F:F, "Barang Datang")
+
SUMIFS(Transaksi!K:K, Transaksi!E:E, $C246, Transaksi!F:F, "Retur penjualan")+SUMIFS(Transaksi!K:K, Transaksi!E:E, $C246, Transaksi!F:F,"Rusak Internal")</f>
        <v>0</v>
      </c>
      <c r="G246" s="7" t="str">
        <f>SUMIFS(Transaksi!I:I, Transaksi!E:E, $C246, Transaksi!F:F, "Terjual")
+
SUMIFS(Transaksi!J:J, Transaksi!E:E, $C246, Transaksi!F:F, "Retur Pembelian")+SUMIFS(Transaksi!I:I, Transaksi!E:E, $C246, Transaksi!F:F, "Dipakai Sendiri")</f>
        <v>0</v>
      </c>
      <c r="H246" s="15" t="str">
        <f t="shared" si="2"/>
        <v>33</v>
      </c>
      <c r="I246" s="15" t="str">
        <f t="shared" si="3"/>
        <v/>
      </c>
      <c r="J246" s="7"/>
      <c r="K246" s="7">
        <v>40000.0</v>
      </c>
    </row>
    <row r="247" ht="15.75" customHeight="1">
      <c r="A247" s="5" t="str">
        <f t="shared" si="1"/>
        <v>246</v>
      </c>
      <c r="B247" s="7" t="s">
        <v>509</v>
      </c>
      <c r="C247" s="7" t="s">
        <v>510</v>
      </c>
      <c r="D247" s="7">
        <v>76.0</v>
      </c>
      <c r="E247" s="7" t="str">
        <f>SUMIFS(Transaksi!J:J, Transaksi!E:E, $C247, Transaksi!F:F, "Barang Datang")+SUMIFS(Transaksi!J:J, Transaksi!E:E,$C247,Transaksi!F:F,"Retur Penjualan")</f>
        <v>0</v>
      </c>
      <c r="F247" s="7" t="str">
        <f>SUMIFS(Transaksi!K:K, Transaksi!E:E, $C247, Transaksi!F:F, "Barang Datang")
+
SUMIFS(Transaksi!K:K, Transaksi!E:E, $C247, Transaksi!F:F, "Retur penjualan")+SUMIFS(Transaksi!K:K, Transaksi!E:E, $C247, Transaksi!F:F,"Rusak Internal")</f>
        <v>0</v>
      </c>
      <c r="G247" s="7" t="str">
        <f>SUMIFS(Transaksi!I:I, Transaksi!E:E, $C247, Transaksi!F:F, "Terjual")
+
SUMIFS(Transaksi!J:J, Transaksi!E:E, $C247, Transaksi!F:F, "Retur Pembelian")+SUMIFS(Transaksi!I:I, Transaksi!E:E, $C247, Transaksi!F:F, "Dipakai Sendiri")</f>
        <v>0</v>
      </c>
      <c r="H247" s="15" t="str">
        <f t="shared" si="2"/>
        <v>76</v>
      </c>
      <c r="I247" s="15" t="str">
        <f t="shared" si="3"/>
        <v/>
      </c>
      <c r="J247" s="7"/>
      <c r="K247" s="7">
        <v>45000.0</v>
      </c>
    </row>
    <row r="248" ht="15.75" customHeight="1">
      <c r="A248" s="5" t="str">
        <f t="shared" si="1"/>
        <v>247</v>
      </c>
      <c r="B248" s="7" t="s">
        <v>511</v>
      </c>
      <c r="C248" s="7" t="s">
        <v>512</v>
      </c>
      <c r="D248" s="7">
        <v>20.0</v>
      </c>
      <c r="E248" s="7" t="str">
        <f>SUMIFS(Transaksi!J:J, Transaksi!E:E, $C248, Transaksi!F:F, "Barang Datang")+SUMIFS(Transaksi!J:J, Transaksi!E:E,$C248,Transaksi!F:F,"Retur Penjualan")</f>
        <v>0</v>
      </c>
      <c r="F248" s="7" t="str">
        <f>SUMIFS(Transaksi!K:K, Transaksi!E:E, $C248, Transaksi!F:F, "Barang Datang")
+
SUMIFS(Transaksi!K:K, Transaksi!E:E, $C248, Transaksi!F:F, "Retur penjualan")+SUMIFS(Transaksi!K:K, Transaksi!E:E, $C248, Transaksi!F:F,"Rusak Internal")</f>
        <v>0</v>
      </c>
      <c r="G248" s="7" t="str">
        <f>SUMIFS(Transaksi!I:I, Transaksi!E:E, $C248, Transaksi!F:F, "Terjual")
+
SUMIFS(Transaksi!J:J, Transaksi!E:E, $C248, Transaksi!F:F, "Retur Pembelian")+SUMIFS(Transaksi!I:I, Transaksi!E:E, $C248, Transaksi!F:F, "Dipakai Sendiri")</f>
        <v>0</v>
      </c>
      <c r="H248" s="15" t="str">
        <f t="shared" si="2"/>
        <v>20</v>
      </c>
      <c r="I248" s="15" t="str">
        <f t="shared" si="3"/>
        <v/>
      </c>
      <c r="J248" s="7"/>
      <c r="K248" s="7">
        <v>30000.0</v>
      </c>
    </row>
    <row r="249" ht="15.75" customHeight="1">
      <c r="A249" s="5" t="str">
        <f t="shared" si="1"/>
        <v>248</v>
      </c>
      <c r="B249" s="7" t="s">
        <v>513</v>
      </c>
      <c r="C249" s="7" t="s">
        <v>514</v>
      </c>
      <c r="D249" s="7">
        <v>43.0</v>
      </c>
      <c r="E249" s="7" t="str">
        <f>SUMIFS(Transaksi!J:J, Transaksi!E:E, $C249, Transaksi!F:F, "Barang Datang")+SUMIFS(Transaksi!J:J, Transaksi!E:E,$C249,Transaksi!F:F,"Retur Penjualan")</f>
        <v>0</v>
      </c>
      <c r="F249" s="7" t="str">
        <f>SUMIFS(Transaksi!K:K, Transaksi!E:E, $C249, Transaksi!F:F, "Barang Datang")
+
SUMIFS(Transaksi!K:K, Transaksi!E:E, $C249, Transaksi!F:F, "Retur penjualan")+SUMIFS(Transaksi!K:K, Transaksi!E:E, $C249, Transaksi!F:F,"Rusak Internal")</f>
        <v>0</v>
      </c>
      <c r="G249" s="7" t="str">
        <f>SUMIFS(Transaksi!I:I, Transaksi!E:E, $C249, Transaksi!F:F, "Terjual")
+
SUMIFS(Transaksi!J:J, Transaksi!E:E, $C249, Transaksi!F:F, "Retur Pembelian")+SUMIFS(Transaksi!I:I, Transaksi!E:E, $C249, Transaksi!F:F, "Dipakai Sendiri")</f>
        <v>0</v>
      </c>
      <c r="H249" s="15" t="str">
        <f t="shared" si="2"/>
        <v>43</v>
      </c>
      <c r="I249" s="15" t="str">
        <f t="shared" si="3"/>
        <v/>
      </c>
      <c r="J249" s="7"/>
      <c r="K249" s="7">
        <v>45000.0</v>
      </c>
    </row>
    <row r="250" ht="15.75" customHeight="1">
      <c r="A250" s="5" t="str">
        <f t="shared" si="1"/>
        <v>249</v>
      </c>
      <c r="B250" s="7" t="s">
        <v>515</v>
      </c>
      <c r="C250" s="7" t="s">
        <v>515</v>
      </c>
      <c r="D250" s="7">
        <v>76.0</v>
      </c>
      <c r="E250" s="7" t="str">
        <f>SUMIFS(Transaksi!J:J, Transaksi!E:E, $C250, Transaksi!F:F, "Barang Datang")+SUMIFS(Transaksi!J:J, Transaksi!E:E,$C250,Transaksi!F:F,"Retur Penjualan")</f>
        <v>0</v>
      </c>
      <c r="F250" s="7" t="str">
        <f>SUMIFS(Transaksi!K:K, Transaksi!E:E, $C250, Transaksi!F:F, "Barang Datang")
+
SUMIFS(Transaksi!K:K, Transaksi!E:E, $C250, Transaksi!F:F, "Retur penjualan")+SUMIFS(Transaksi!K:K, Transaksi!E:E, $C250, Transaksi!F:F,"Rusak Internal")</f>
        <v>0</v>
      </c>
      <c r="G250" s="7" t="str">
        <f>SUMIFS(Transaksi!I:I, Transaksi!E:E, $C250, Transaksi!F:F, "Terjual")
+
SUMIFS(Transaksi!J:J, Transaksi!E:E, $C250, Transaksi!F:F, "Retur Pembelian")+SUMIFS(Transaksi!I:I, Transaksi!E:E, $C250, Transaksi!F:F, "Dipakai Sendiri")</f>
        <v>0</v>
      </c>
      <c r="H250" s="15" t="str">
        <f t="shared" si="2"/>
        <v>76</v>
      </c>
      <c r="I250" s="15" t="str">
        <f t="shared" si="3"/>
        <v/>
      </c>
      <c r="J250" s="7"/>
      <c r="K250" s="7">
        <v>45000.0</v>
      </c>
    </row>
    <row r="251" ht="15.75" customHeight="1">
      <c r="A251" s="5" t="str">
        <f t="shared" si="1"/>
        <v>250</v>
      </c>
      <c r="B251" s="7" t="s">
        <v>516</v>
      </c>
      <c r="C251" s="7" t="s">
        <v>517</v>
      </c>
      <c r="D251" s="7">
        <v>21.0</v>
      </c>
      <c r="E251" s="7" t="str">
        <f>SUMIFS(Transaksi!J:J, Transaksi!E:E, $C251, Transaksi!F:F, "Barang Datang")+SUMIFS(Transaksi!J:J, Transaksi!E:E,$C251,Transaksi!F:F,"Retur Penjualan")</f>
        <v>0</v>
      </c>
      <c r="F251" s="7" t="str">
        <f>SUMIFS(Transaksi!K:K, Transaksi!E:E, $C251, Transaksi!F:F, "Barang Datang")
+
SUMIFS(Transaksi!K:K, Transaksi!E:E, $C251, Transaksi!F:F, "Retur penjualan")+SUMIFS(Transaksi!K:K, Transaksi!E:E, $C251, Transaksi!F:F,"Rusak Internal")</f>
        <v>0</v>
      </c>
      <c r="G251" s="7" t="str">
        <f>SUMIFS(Transaksi!I:I, Transaksi!E:E, $C251, Transaksi!F:F, "Terjual")
+
SUMIFS(Transaksi!J:J, Transaksi!E:E, $C251, Transaksi!F:F, "Retur Pembelian")+SUMIFS(Transaksi!I:I, Transaksi!E:E, $C251, Transaksi!F:F, "Dipakai Sendiri")</f>
        <v>0</v>
      </c>
      <c r="H251" s="15" t="str">
        <f t="shared" si="2"/>
        <v>21</v>
      </c>
      <c r="I251" s="15" t="str">
        <f t="shared" si="3"/>
        <v/>
      </c>
      <c r="J251" s="7"/>
      <c r="K251" s="7">
        <v>20000.0</v>
      </c>
    </row>
    <row r="252" ht="15.75" customHeight="1">
      <c r="A252" s="5" t="str">
        <f t="shared" si="1"/>
        <v>251</v>
      </c>
      <c r="B252" s="7" t="s">
        <v>518</v>
      </c>
      <c r="C252" s="7" t="s">
        <v>519</v>
      </c>
      <c r="D252" s="7">
        <v>55.0</v>
      </c>
      <c r="E252" s="7" t="str">
        <f>SUMIFS(Transaksi!J:J, Transaksi!E:E, $C252, Transaksi!F:F, "Barang Datang")+SUMIFS(Transaksi!J:J, Transaksi!E:E,$C252,Transaksi!F:F,"Retur Penjualan")</f>
        <v>0</v>
      </c>
      <c r="F252" s="7" t="str">
        <f>SUMIFS(Transaksi!K:K, Transaksi!E:E, $C252, Transaksi!F:F, "Barang Datang")
+
SUMIFS(Transaksi!K:K, Transaksi!E:E, $C252, Transaksi!F:F, "Retur penjualan")+SUMIFS(Transaksi!K:K, Transaksi!E:E, $C252, Transaksi!F:F,"Rusak Internal")</f>
        <v>0</v>
      </c>
      <c r="G252" s="7" t="str">
        <f>SUMIFS(Transaksi!I:I, Transaksi!E:E, $C252, Transaksi!F:F, "Terjual")
+
SUMIFS(Transaksi!J:J, Transaksi!E:E, $C252, Transaksi!F:F, "Retur Pembelian")+SUMIFS(Transaksi!I:I, Transaksi!E:E, $C252, Transaksi!F:F, "Dipakai Sendiri")</f>
        <v>0</v>
      </c>
      <c r="H252" s="15" t="str">
        <f t="shared" si="2"/>
        <v>55</v>
      </c>
      <c r="I252" s="15" t="str">
        <f t="shared" si="3"/>
        <v/>
      </c>
      <c r="J252" s="7"/>
      <c r="K252" s="7">
        <v>45000.0</v>
      </c>
    </row>
    <row r="253" ht="15.75" customHeight="1">
      <c r="A253" s="5" t="str">
        <f t="shared" si="1"/>
        <v>252</v>
      </c>
      <c r="B253" s="7" t="s">
        <v>520</v>
      </c>
      <c r="C253" s="7" t="s">
        <v>521</v>
      </c>
      <c r="D253" s="7">
        <v>62.0</v>
      </c>
      <c r="E253" s="7" t="str">
        <f>SUMIFS(Transaksi!J:J, Transaksi!E:E, $C253, Transaksi!F:F, "Barang Datang")+SUMIFS(Transaksi!J:J, Transaksi!E:E,$C253,Transaksi!F:F,"Retur Penjualan")</f>
        <v>0</v>
      </c>
      <c r="F253" s="7" t="str">
        <f>SUMIFS(Transaksi!K:K, Transaksi!E:E, $C253, Transaksi!F:F, "Barang Datang")
+
SUMIFS(Transaksi!K:K, Transaksi!E:E, $C253, Transaksi!F:F, "Retur penjualan")+SUMIFS(Transaksi!K:K, Transaksi!E:E, $C253, Transaksi!F:F,"Rusak Internal")</f>
        <v>0</v>
      </c>
      <c r="G253" s="7" t="str">
        <f>SUMIFS(Transaksi!I:I, Transaksi!E:E, $C253, Transaksi!F:F, "Terjual")
+
SUMIFS(Transaksi!J:J, Transaksi!E:E, $C253, Transaksi!F:F, "Retur Pembelian")+SUMIFS(Transaksi!I:I, Transaksi!E:E, $C253, Transaksi!F:F, "Dipakai Sendiri")</f>
        <v>0</v>
      </c>
      <c r="H253" s="15" t="str">
        <f t="shared" si="2"/>
        <v>62</v>
      </c>
      <c r="I253" s="15" t="str">
        <f t="shared" si="3"/>
        <v/>
      </c>
      <c r="J253" s="7"/>
      <c r="K253" s="7">
        <v>40000.0</v>
      </c>
    </row>
    <row r="254" ht="15.75" customHeight="1">
      <c r="A254" s="5" t="str">
        <f t="shared" si="1"/>
        <v/>
      </c>
      <c r="B254" s="6" t="str">
        <f>IFERROR(__xludf.DUMMYFUNCTION("FILTER(Jadwal!B2:B499,COUNTIF(B2:B253,Jadwal!B2:B499)=0)"),"")</f>
        <v/>
      </c>
      <c r="C254" s="7" t="str">
        <f t="shared" ref="C254:C498" si="4">IF(B254&lt;&gt;"",SUBSTITUTE(TRIM(B254)," ","-"),"")</f>
        <v/>
      </c>
      <c r="D254" s="7" t="s">
        <v>522</v>
      </c>
      <c r="E254" s="7" t="str">
        <f>SUMIFS(Transaksi!J:J, Transaksi!E:E, $C254, Transaksi!F:F, "Barang Datang")+SUMIFS(Transaksi!J:J, Transaksi!E:E,$C254,Transaksi!F:F,"Retur Penjualan")</f>
        <v>0</v>
      </c>
      <c r="F254" s="7" t="str">
        <f>SUMIFS(Transaksi!K:K, Transaksi!E:E, $C254, Transaksi!F:F, "Barang Datang")
+
SUMIFS(Transaksi!K:K, Transaksi!E:E, $C254, Transaksi!F:F, "Retur penjualan")+SUMIFS(Transaksi!K:K, Transaksi!E:E, $C254, Transaksi!F:F,"Rusak Internal")</f>
        <v>0</v>
      </c>
      <c r="G254" s="7" t="str">
        <f>SUMIFS(Transaksi!I:I, Transaksi!E:E, $C254, Transaksi!F:F, "Terjual")
+
SUMIFS(Transaksi!J:J, Transaksi!E:E, $C254, Transaksi!F:F, "Retur Pembelian")+SUMIFS(Transaksi!I:I, Transaksi!E:E, $C254, Transaksi!F:F, "Dipakai Sendiri")</f>
        <v>0</v>
      </c>
      <c r="H254" s="15" t="str">
        <f t="shared" si="2"/>
        <v/>
      </c>
      <c r="I254" s="15" t="str">
        <f t="shared" si="3"/>
        <v/>
      </c>
      <c r="J254" s="7"/>
      <c r="K254" s="7" t="str">
        <f t="shared" ref="K254:K295" si="5">IF(C254&lt;&gt;"", RANDBETWEEN(1,10)*5000,"")</f>
        <v/>
      </c>
    </row>
    <row r="255" ht="15.75" customHeight="1">
      <c r="A255" s="5" t="str">
        <f t="shared" si="1"/>
        <v/>
      </c>
      <c r="B255" s="6"/>
      <c r="C255" s="7" t="str">
        <f t="shared" si="4"/>
        <v/>
      </c>
      <c r="D255" s="7" t="s">
        <v>522</v>
      </c>
      <c r="E255" s="7" t="str">
        <f>SUMIFS(Transaksi!J:J, Transaksi!E:E, $C255, Transaksi!F:F, "Barang Datang")+SUMIFS(Transaksi!J:J, Transaksi!E:E,$C255,Transaksi!F:F,"Retur Penjualan")</f>
        <v>0</v>
      </c>
      <c r="F255" s="7" t="str">
        <f>SUMIFS(Transaksi!K:K, Transaksi!E:E, $C255, Transaksi!F:F, "Barang Datang")
+
SUMIFS(Transaksi!K:K, Transaksi!E:E, $C255, Transaksi!F:F, "Retur penjualan")+SUMIFS(Transaksi!K:K, Transaksi!E:E, $C255, Transaksi!F:F,"Rusak Internal")</f>
        <v>0</v>
      </c>
      <c r="G255" s="7" t="str">
        <f>SUMIFS(Transaksi!I:I, Transaksi!E:E, $C255, Transaksi!F:F, "Terjual")
+
SUMIFS(Transaksi!J:J, Transaksi!E:E, $C255, Transaksi!F:F, "Retur Pembelian")+SUMIFS(Transaksi!I:I, Transaksi!E:E, $C255, Transaksi!F:F, "Dipakai Sendiri")</f>
        <v>0</v>
      </c>
      <c r="H255" s="15" t="str">
        <f t="shared" si="2"/>
        <v/>
      </c>
      <c r="I255" s="15" t="str">
        <f t="shared" si="3"/>
        <v/>
      </c>
      <c r="J255" s="7"/>
      <c r="K255" s="7" t="str">
        <f t="shared" si="5"/>
        <v/>
      </c>
    </row>
    <row r="256" ht="15.75" customHeight="1">
      <c r="A256" s="5" t="str">
        <f t="shared" si="1"/>
        <v/>
      </c>
      <c r="B256" s="6"/>
      <c r="C256" s="7" t="str">
        <f t="shared" si="4"/>
        <v/>
      </c>
      <c r="D256" s="7" t="s">
        <v>522</v>
      </c>
      <c r="E256" s="7" t="str">
        <f>SUMIFS(Transaksi!J:J, Transaksi!E:E, $C256, Transaksi!F:F, "Barang Datang")+SUMIFS(Transaksi!J:J, Transaksi!E:E,$C256,Transaksi!F:F,"Retur Penjualan")</f>
        <v>0</v>
      </c>
      <c r="F256" s="7" t="str">
        <f>SUMIFS(Transaksi!K:K, Transaksi!E:E, $C256, Transaksi!F:F, "Barang Datang")
+
SUMIFS(Transaksi!K:K, Transaksi!E:E, $C256, Transaksi!F:F, "Retur penjualan")+SUMIFS(Transaksi!K:K, Transaksi!E:E, $C256, Transaksi!F:F,"Rusak Internal")</f>
        <v>0</v>
      </c>
      <c r="G256" s="7" t="str">
        <f>SUMIFS(Transaksi!I:I, Transaksi!E:E, $C256, Transaksi!F:F, "Terjual")
+
SUMIFS(Transaksi!J:J, Transaksi!E:E, $C256, Transaksi!F:F, "Retur Pembelian")+SUMIFS(Transaksi!I:I, Transaksi!E:E, $C256, Transaksi!F:F, "Dipakai Sendiri")</f>
        <v>0</v>
      </c>
      <c r="H256" s="15" t="str">
        <f t="shared" si="2"/>
        <v/>
      </c>
      <c r="I256" s="15" t="str">
        <f t="shared" si="3"/>
        <v/>
      </c>
      <c r="J256" s="7"/>
      <c r="K256" s="7" t="str">
        <f t="shared" si="5"/>
        <v/>
      </c>
    </row>
    <row r="257" ht="15.75" customHeight="1">
      <c r="A257" s="5" t="str">
        <f t="shared" si="1"/>
        <v/>
      </c>
      <c r="B257" s="6"/>
      <c r="C257" s="7" t="str">
        <f t="shared" si="4"/>
        <v/>
      </c>
      <c r="D257" s="7" t="s">
        <v>522</v>
      </c>
      <c r="E257" s="7" t="str">
        <f>SUMIFS(Transaksi!J:J, Transaksi!E:E, $C257, Transaksi!F:F, "Barang Datang")+SUMIFS(Transaksi!J:J, Transaksi!E:E,$C257,Transaksi!F:F,"Retur Penjualan")</f>
        <v>0</v>
      </c>
      <c r="F257" s="7" t="str">
        <f>SUMIFS(Transaksi!K:K, Transaksi!E:E, $C257, Transaksi!F:F, "Barang Datang")
+
SUMIFS(Transaksi!K:K, Transaksi!E:E, $C257, Transaksi!F:F, "Retur penjualan")+SUMIFS(Transaksi!K:K, Transaksi!E:E, $C257, Transaksi!F:F,"Rusak Internal")</f>
        <v>0</v>
      </c>
      <c r="G257" s="7" t="str">
        <f>SUMIFS(Transaksi!I:I, Transaksi!E:E, $C257, Transaksi!F:F, "Terjual")
+
SUMIFS(Transaksi!J:J, Transaksi!E:E, $C257, Transaksi!F:F, "Retur Pembelian")+SUMIFS(Transaksi!I:I, Transaksi!E:E, $C257, Transaksi!F:F, "Dipakai Sendiri")</f>
        <v>0</v>
      </c>
      <c r="H257" s="15" t="str">
        <f t="shared" si="2"/>
        <v/>
      </c>
      <c r="I257" s="15" t="str">
        <f t="shared" si="3"/>
        <v/>
      </c>
      <c r="J257" s="7"/>
      <c r="K257" s="7" t="str">
        <f t="shared" si="5"/>
        <v/>
      </c>
    </row>
    <row r="258" ht="15.75" customHeight="1">
      <c r="A258" s="5" t="str">
        <f t="shared" si="1"/>
        <v/>
      </c>
      <c r="B258" s="6"/>
      <c r="C258" s="7" t="str">
        <f t="shared" si="4"/>
        <v/>
      </c>
      <c r="D258" s="7" t="s">
        <v>522</v>
      </c>
      <c r="E258" s="7" t="str">
        <f>SUMIFS(Transaksi!J:J, Transaksi!E:E, $C258, Transaksi!F:F, "Barang Datang")+SUMIFS(Transaksi!J:J, Transaksi!E:E,$C258,Transaksi!F:F,"Retur Penjualan")</f>
        <v>0</v>
      </c>
      <c r="F258" s="7" t="str">
        <f>SUMIFS(Transaksi!K:K, Transaksi!E:E, $C258, Transaksi!F:F, "Barang Datang")
+
SUMIFS(Transaksi!K:K, Transaksi!E:E, $C258, Transaksi!F:F, "Retur penjualan")+SUMIFS(Transaksi!K:K, Transaksi!E:E, $C258, Transaksi!F:F,"Rusak Internal")</f>
        <v>0</v>
      </c>
      <c r="G258" s="7" t="str">
        <f>SUMIFS(Transaksi!I:I, Transaksi!E:E, $C258, Transaksi!F:F, "Terjual")
+
SUMIFS(Transaksi!J:J, Transaksi!E:E, $C258, Transaksi!F:F, "Retur Pembelian")+SUMIFS(Transaksi!I:I, Transaksi!E:E, $C258, Transaksi!F:F, "Dipakai Sendiri")</f>
        <v>0</v>
      </c>
      <c r="H258" s="15" t="str">
        <f t="shared" si="2"/>
        <v/>
      </c>
      <c r="I258" s="15" t="str">
        <f t="shared" si="3"/>
        <v/>
      </c>
      <c r="J258" s="7"/>
      <c r="K258" s="7" t="str">
        <f t="shared" si="5"/>
        <v/>
      </c>
    </row>
    <row r="259" ht="15.75" customHeight="1">
      <c r="A259" s="5" t="str">
        <f t="shared" si="1"/>
        <v/>
      </c>
      <c r="B259" s="6"/>
      <c r="C259" s="7" t="str">
        <f t="shared" si="4"/>
        <v/>
      </c>
      <c r="D259" s="7" t="s">
        <v>522</v>
      </c>
      <c r="E259" s="7" t="str">
        <f>SUMIFS(Transaksi!J:J, Transaksi!E:E, $C259, Transaksi!F:F, "Barang Datang")+SUMIFS(Transaksi!J:J, Transaksi!E:E,$C259,Transaksi!F:F,"Retur Penjualan")</f>
        <v>0</v>
      </c>
      <c r="F259" s="7" t="str">
        <f>SUMIFS(Transaksi!K:K, Transaksi!E:E, $C259, Transaksi!F:F, "Barang Datang")
+
SUMIFS(Transaksi!K:K, Transaksi!E:E, $C259, Transaksi!F:F, "Retur penjualan")+SUMIFS(Transaksi!K:K, Transaksi!E:E, $C259, Transaksi!F:F,"Rusak Internal")</f>
        <v>0</v>
      </c>
      <c r="G259" s="7" t="str">
        <f>SUMIFS(Transaksi!I:I, Transaksi!E:E, $C259, Transaksi!F:F, "Terjual")
+
SUMIFS(Transaksi!J:J, Transaksi!E:E, $C259, Transaksi!F:F, "Retur Pembelian")+SUMIFS(Transaksi!I:I, Transaksi!E:E, $C259, Transaksi!F:F, "Dipakai Sendiri")</f>
        <v>0</v>
      </c>
      <c r="H259" s="15" t="str">
        <f t="shared" si="2"/>
        <v/>
      </c>
      <c r="I259" s="15" t="str">
        <f t="shared" si="3"/>
        <v/>
      </c>
      <c r="J259" s="7"/>
      <c r="K259" s="7" t="str">
        <f t="shared" si="5"/>
        <v/>
      </c>
    </row>
    <row r="260" ht="15.75" customHeight="1">
      <c r="A260" s="5" t="str">
        <f t="shared" si="1"/>
        <v/>
      </c>
      <c r="B260" s="6"/>
      <c r="C260" s="7" t="str">
        <f t="shared" si="4"/>
        <v/>
      </c>
      <c r="D260" s="7" t="s">
        <v>522</v>
      </c>
      <c r="E260" s="7" t="str">
        <f>SUMIFS(Transaksi!J:J, Transaksi!E:E, $C260, Transaksi!F:F, "Barang Datang")+SUMIFS(Transaksi!J:J, Transaksi!E:E,$C260,Transaksi!F:F,"Retur Penjualan")</f>
        <v>0</v>
      </c>
      <c r="F260" s="7" t="str">
        <f>SUMIFS(Transaksi!K:K, Transaksi!E:E, $C260, Transaksi!F:F, "Barang Datang")
+
SUMIFS(Transaksi!K:K, Transaksi!E:E, $C260, Transaksi!F:F, "Retur penjualan")+SUMIFS(Transaksi!K:K, Transaksi!E:E, $C260, Transaksi!F:F,"Rusak Internal")</f>
        <v>0</v>
      </c>
      <c r="G260" s="7" t="str">
        <f>SUMIFS(Transaksi!I:I, Transaksi!E:E, $C260, Transaksi!F:F, "Terjual")
+
SUMIFS(Transaksi!J:J, Transaksi!E:E, $C260, Transaksi!F:F, "Retur Pembelian")+SUMIFS(Transaksi!I:I, Transaksi!E:E, $C260, Transaksi!F:F, "Dipakai Sendiri")</f>
        <v>0</v>
      </c>
      <c r="H260" s="15" t="str">
        <f t="shared" si="2"/>
        <v/>
      </c>
      <c r="I260" s="15" t="str">
        <f t="shared" si="3"/>
        <v/>
      </c>
      <c r="J260" s="7"/>
      <c r="K260" s="7" t="str">
        <f t="shared" si="5"/>
        <v/>
      </c>
    </row>
    <row r="261" ht="15.75" customHeight="1">
      <c r="A261" s="5" t="str">
        <f t="shared" si="1"/>
        <v/>
      </c>
      <c r="B261" s="6"/>
      <c r="C261" s="7" t="str">
        <f t="shared" si="4"/>
        <v/>
      </c>
      <c r="D261" s="7" t="s">
        <v>522</v>
      </c>
      <c r="E261" s="7" t="str">
        <f>SUMIFS(Transaksi!J:J, Transaksi!E:E, $C261, Transaksi!F:F, "Barang Datang")+SUMIFS(Transaksi!J:J, Transaksi!E:E,$C261,Transaksi!F:F,"Retur Penjualan")</f>
        <v>0</v>
      </c>
      <c r="F261" s="7" t="str">
        <f>SUMIFS(Transaksi!K:K, Transaksi!E:E, $C261, Transaksi!F:F, "Barang Datang")
+
SUMIFS(Transaksi!K:K, Transaksi!E:E, $C261, Transaksi!F:F, "Retur penjualan")+SUMIFS(Transaksi!K:K, Transaksi!E:E, $C261, Transaksi!F:F,"Rusak Internal")</f>
        <v>0</v>
      </c>
      <c r="G261" s="7" t="str">
        <f>SUMIFS(Transaksi!I:I, Transaksi!E:E, $C261, Transaksi!F:F, "Terjual")
+
SUMIFS(Transaksi!J:J, Transaksi!E:E, $C261, Transaksi!F:F, "Retur Pembelian")+SUMIFS(Transaksi!I:I, Transaksi!E:E, $C261, Transaksi!F:F, "Dipakai Sendiri")</f>
        <v>0</v>
      </c>
      <c r="H261" s="15" t="str">
        <f t="shared" si="2"/>
        <v/>
      </c>
      <c r="I261" s="15" t="str">
        <f t="shared" si="3"/>
        <v/>
      </c>
      <c r="J261" s="7"/>
      <c r="K261" s="7" t="str">
        <f t="shared" si="5"/>
        <v/>
      </c>
    </row>
    <row r="262" ht="15.75" customHeight="1">
      <c r="A262" s="5" t="str">
        <f t="shared" si="1"/>
        <v/>
      </c>
      <c r="B262" s="6"/>
      <c r="C262" s="7" t="str">
        <f t="shared" si="4"/>
        <v/>
      </c>
      <c r="D262" s="7" t="s">
        <v>522</v>
      </c>
      <c r="E262" s="7" t="str">
        <f>SUMIFS(Transaksi!J:J, Transaksi!E:E, $C262, Transaksi!F:F, "Barang Datang")+SUMIFS(Transaksi!J:J, Transaksi!E:E,$C262,Transaksi!F:F,"Retur Penjualan")</f>
        <v>0</v>
      </c>
      <c r="F262" s="7" t="str">
        <f>SUMIFS(Transaksi!K:K, Transaksi!E:E, $C262, Transaksi!F:F, "Barang Datang")
+
SUMIFS(Transaksi!K:K, Transaksi!E:E, $C262, Transaksi!F:F, "Retur penjualan")+SUMIFS(Transaksi!K:K, Transaksi!E:E, $C262, Transaksi!F:F,"Rusak Internal")</f>
        <v>0</v>
      </c>
      <c r="G262" s="7" t="str">
        <f>SUMIFS(Transaksi!I:I, Transaksi!E:E, $C262, Transaksi!F:F, "Terjual")
+
SUMIFS(Transaksi!J:J, Transaksi!E:E, $C262, Transaksi!F:F, "Retur Pembelian")+SUMIFS(Transaksi!I:I, Transaksi!E:E, $C262, Transaksi!F:F, "Dipakai Sendiri")</f>
        <v>0</v>
      </c>
      <c r="H262" s="15" t="str">
        <f t="shared" si="2"/>
        <v/>
      </c>
      <c r="I262" s="15" t="str">
        <f t="shared" si="3"/>
        <v/>
      </c>
      <c r="J262" s="7"/>
      <c r="K262" s="7" t="str">
        <f t="shared" si="5"/>
        <v/>
      </c>
    </row>
    <row r="263" ht="15.75" customHeight="1">
      <c r="A263" s="5" t="str">
        <f t="shared" si="1"/>
        <v/>
      </c>
      <c r="B263" s="6"/>
      <c r="C263" s="7" t="str">
        <f t="shared" si="4"/>
        <v/>
      </c>
      <c r="D263" s="7" t="s">
        <v>522</v>
      </c>
      <c r="E263" s="7" t="str">
        <f>SUMIFS(Transaksi!J:J, Transaksi!E:E, $C263, Transaksi!F:F, "Barang Datang")+SUMIFS(Transaksi!J:J, Transaksi!E:E,$C263,Transaksi!F:F,"Retur Penjualan")</f>
        <v>0</v>
      </c>
      <c r="F263" s="7" t="str">
        <f>SUMIFS(Transaksi!K:K, Transaksi!E:E, $C263, Transaksi!F:F, "Barang Datang")
+
SUMIFS(Transaksi!K:K, Transaksi!E:E, $C263, Transaksi!F:F, "Retur penjualan")+SUMIFS(Transaksi!K:K, Transaksi!E:E, $C263, Transaksi!F:F,"Rusak Internal")</f>
        <v>0</v>
      </c>
      <c r="G263" s="7" t="str">
        <f>SUMIFS(Transaksi!I:I, Transaksi!E:E, $C263, Transaksi!F:F, "Terjual")
+
SUMIFS(Transaksi!J:J, Transaksi!E:E, $C263, Transaksi!F:F, "Retur Pembelian")+SUMIFS(Transaksi!I:I, Transaksi!E:E, $C263, Transaksi!F:F, "Dipakai Sendiri")</f>
        <v>0</v>
      </c>
      <c r="H263" s="15" t="str">
        <f t="shared" si="2"/>
        <v/>
      </c>
      <c r="I263" s="15" t="str">
        <f t="shared" si="3"/>
        <v/>
      </c>
      <c r="J263" s="7"/>
      <c r="K263" s="7" t="str">
        <f t="shared" si="5"/>
        <v/>
      </c>
    </row>
    <row r="264" ht="15.75" customHeight="1">
      <c r="A264" s="5" t="str">
        <f t="shared" si="1"/>
        <v/>
      </c>
      <c r="B264" s="6"/>
      <c r="C264" s="7" t="str">
        <f t="shared" si="4"/>
        <v/>
      </c>
      <c r="D264" s="7" t="s">
        <v>522</v>
      </c>
      <c r="E264" s="7" t="str">
        <f>SUMIFS(Transaksi!J:J, Transaksi!E:E, $C264, Transaksi!F:F, "Barang Datang")+SUMIFS(Transaksi!J:J, Transaksi!E:E,$C264,Transaksi!F:F,"Retur Penjualan")</f>
        <v>0</v>
      </c>
      <c r="F264" s="7" t="str">
        <f>SUMIFS(Transaksi!K:K, Transaksi!E:E, $C264, Transaksi!F:F, "Barang Datang")
+
SUMIFS(Transaksi!K:K, Transaksi!E:E, $C264, Transaksi!F:F, "Retur penjualan")+SUMIFS(Transaksi!K:K, Transaksi!E:E, $C264, Transaksi!F:F,"Rusak Internal")</f>
        <v>0</v>
      </c>
      <c r="G264" s="7" t="str">
        <f>SUMIFS(Transaksi!I:I, Transaksi!E:E, $C264, Transaksi!F:F, "Terjual")
+
SUMIFS(Transaksi!J:J, Transaksi!E:E, $C264, Transaksi!F:F, "Retur Pembelian")+SUMIFS(Transaksi!I:I, Transaksi!E:E, $C264, Transaksi!F:F, "Dipakai Sendiri")</f>
        <v>0</v>
      </c>
      <c r="H264" s="15" t="str">
        <f t="shared" si="2"/>
        <v/>
      </c>
      <c r="I264" s="15" t="str">
        <f t="shared" si="3"/>
        <v/>
      </c>
      <c r="J264" s="7"/>
      <c r="K264" s="7" t="str">
        <f t="shared" si="5"/>
        <v/>
      </c>
    </row>
    <row r="265" ht="15.75" customHeight="1">
      <c r="A265" s="5" t="str">
        <f t="shared" si="1"/>
        <v/>
      </c>
      <c r="B265" s="6"/>
      <c r="C265" s="7" t="str">
        <f t="shared" si="4"/>
        <v/>
      </c>
      <c r="D265" s="7" t="s">
        <v>522</v>
      </c>
      <c r="E265" s="7" t="str">
        <f>SUMIFS(Transaksi!J:J, Transaksi!E:E, $C265, Transaksi!F:F, "Barang Datang")+SUMIFS(Transaksi!J:J, Transaksi!E:E,$C265,Transaksi!F:F,"Retur Penjualan")</f>
        <v>0</v>
      </c>
      <c r="F265" s="7" t="str">
        <f>SUMIFS(Transaksi!K:K, Transaksi!E:E, $C265, Transaksi!F:F, "Barang Datang")
+
SUMIFS(Transaksi!K:K, Transaksi!E:E, $C265, Transaksi!F:F, "Retur penjualan")+SUMIFS(Transaksi!K:K, Transaksi!E:E, $C265, Transaksi!F:F,"Rusak Internal")</f>
        <v>0</v>
      </c>
      <c r="G265" s="7" t="str">
        <f>SUMIFS(Transaksi!I:I, Transaksi!E:E, $C265, Transaksi!F:F, "Terjual")
+
SUMIFS(Transaksi!J:J, Transaksi!E:E, $C265, Transaksi!F:F, "Retur Pembelian")+SUMIFS(Transaksi!I:I, Transaksi!E:E, $C265, Transaksi!F:F, "Dipakai Sendiri")</f>
        <v>0</v>
      </c>
      <c r="H265" s="15" t="str">
        <f t="shared" si="2"/>
        <v/>
      </c>
      <c r="I265" s="15" t="str">
        <f t="shared" si="3"/>
        <v/>
      </c>
      <c r="J265" s="7"/>
      <c r="K265" s="7" t="str">
        <f t="shared" si="5"/>
        <v/>
      </c>
    </row>
    <row r="266" ht="15.75" customHeight="1">
      <c r="A266" s="5" t="str">
        <f t="shared" si="1"/>
        <v/>
      </c>
      <c r="B266" s="6"/>
      <c r="C266" s="7" t="str">
        <f t="shared" si="4"/>
        <v/>
      </c>
      <c r="D266" s="7" t="s">
        <v>522</v>
      </c>
      <c r="E266" s="7" t="str">
        <f>SUMIFS(Transaksi!J:J, Transaksi!E:E, $C266, Transaksi!F:F, "Barang Datang")+SUMIFS(Transaksi!J:J, Transaksi!E:E,$C266,Transaksi!F:F,"Retur Penjualan")</f>
        <v>0</v>
      </c>
      <c r="F266" s="7" t="str">
        <f>SUMIFS(Transaksi!K:K, Transaksi!E:E, $C266, Transaksi!F:F, "Barang Datang")
+
SUMIFS(Transaksi!K:K, Transaksi!E:E, $C266, Transaksi!F:F, "Retur penjualan")+SUMIFS(Transaksi!K:K, Transaksi!E:E, $C266, Transaksi!F:F,"Rusak Internal")</f>
        <v>0</v>
      </c>
      <c r="G266" s="7" t="str">
        <f>SUMIFS(Transaksi!I:I, Transaksi!E:E, $C266, Transaksi!F:F, "Terjual")
+
SUMIFS(Transaksi!J:J, Transaksi!E:E, $C266, Transaksi!F:F, "Retur Pembelian")+SUMIFS(Transaksi!I:I, Transaksi!E:E, $C266, Transaksi!F:F, "Dipakai Sendiri")</f>
        <v>0</v>
      </c>
      <c r="H266" s="15" t="str">
        <f t="shared" si="2"/>
        <v/>
      </c>
      <c r="I266" s="15" t="str">
        <f t="shared" si="3"/>
        <v/>
      </c>
      <c r="J266" s="7"/>
      <c r="K266" s="7" t="str">
        <f t="shared" si="5"/>
        <v/>
      </c>
    </row>
    <row r="267" ht="15.75" customHeight="1">
      <c r="A267" s="5" t="str">
        <f t="shared" si="1"/>
        <v/>
      </c>
      <c r="B267" s="6"/>
      <c r="C267" s="7" t="str">
        <f t="shared" si="4"/>
        <v/>
      </c>
      <c r="D267" s="7" t="s">
        <v>522</v>
      </c>
      <c r="E267" s="7" t="str">
        <f>SUMIFS(Transaksi!J:J, Transaksi!E:E, $C267, Transaksi!F:F, "Barang Datang")+SUMIFS(Transaksi!J:J, Transaksi!E:E,$C267,Transaksi!F:F,"Retur Penjualan")</f>
        <v>0</v>
      </c>
      <c r="F267" s="7" t="str">
        <f>SUMIFS(Transaksi!K:K, Transaksi!E:E, $C267, Transaksi!F:F, "Barang Datang")
+
SUMIFS(Transaksi!K:K, Transaksi!E:E, $C267, Transaksi!F:F, "Retur penjualan")+SUMIFS(Transaksi!K:K, Transaksi!E:E, $C267, Transaksi!F:F,"Rusak Internal")</f>
        <v>0</v>
      </c>
      <c r="G267" s="7" t="str">
        <f>SUMIFS(Transaksi!I:I, Transaksi!E:E, $C267, Transaksi!F:F, "Terjual")
+
SUMIFS(Transaksi!J:J, Transaksi!E:E, $C267, Transaksi!F:F, "Retur Pembelian")+SUMIFS(Transaksi!I:I, Transaksi!E:E, $C267, Transaksi!F:F, "Dipakai Sendiri")</f>
        <v>0</v>
      </c>
      <c r="H267" s="15" t="str">
        <f t="shared" si="2"/>
        <v/>
      </c>
      <c r="I267" s="15" t="str">
        <f t="shared" si="3"/>
        <v/>
      </c>
      <c r="J267" s="7"/>
      <c r="K267" s="7" t="str">
        <f t="shared" si="5"/>
        <v/>
      </c>
    </row>
    <row r="268" ht="15.75" customHeight="1">
      <c r="A268" s="5" t="str">
        <f t="shared" si="1"/>
        <v/>
      </c>
      <c r="B268" s="6"/>
      <c r="C268" s="7" t="str">
        <f t="shared" si="4"/>
        <v/>
      </c>
      <c r="D268" s="7" t="s">
        <v>522</v>
      </c>
      <c r="E268" s="7" t="str">
        <f>SUMIFS(Transaksi!J:J, Transaksi!E:E, $C268, Transaksi!F:F, "Barang Datang")+SUMIFS(Transaksi!J:J, Transaksi!E:E,$C268,Transaksi!F:F,"Retur Penjualan")</f>
        <v>0</v>
      </c>
      <c r="F268" s="7" t="str">
        <f>SUMIFS(Transaksi!K:K, Transaksi!E:E, $C268, Transaksi!F:F, "Barang Datang")
+
SUMIFS(Transaksi!K:K, Transaksi!E:E, $C268, Transaksi!F:F, "Retur penjualan")+SUMIFS(Transaksi!K:K, Transaksi!E:E, $C268, Transaksi!F:F,"Rusak Internal")</f>
        <v>0</v>
      </c>
      <c r="G268" s="7" t="str">
        <f>SUMIFS(Transaksi!I:I, Transaksi!E:E, $C268, Transaksi!F:F, "Terjual")
+
SUMIFS(Transaksi!J:J, Transaksi!E:E, $C268, Transaksi!F:F, "Retur Pembelian")+SUMIFS(Transaksi!I:I, Transaksi!E:E, $C268, Transaksi!F:F, "Dipakai Sendiri")</f>
        <v>0</v>
      </c>
      <c r="H268" s="15" t="str">
        <f t="shared" si="2"/>
        <v/>
      </c>
      <c r="I268" s="15" t="str">
        <f t="shared" si="3"/>
        <v/>
      </c>
      <c r="J268" s="7"/>
      <c r="K268" s="7" t="str">
        <f t="shared" si="5"/>
        <v/>
      </c>
    </row>
    <row r="269" ht="15.75" customHeight="1">
      <c r="A269" s="5" t="str">
        <f t="shared" si="1"/>
        <v/>
      </c>
      <c r="B269" s="6"/>
      <c r="C269" s="7" t="str">
        <f t="shared" si="4"/>
        <v/>
      </c>
      <c r="D269" s="7" t="s">
        <v>522</v>
      </c>
      <c r="E269" s="7" t="str">
        <f>SUMIFS(Transaksi!J:J, Transaksi!E:E, $C269, Transaksi!F:F, "Barang Datang")+SUMIFS(Transaksi!J:J, Transaksi!E:E,$C269,Transaksi!F:F,"Retur Penjualan")</f>
        <v>0</v>
      </c>
      <c r="F269" s="7" t="str">
        <f>SUMIFS(Transaksi!K:K, Transaksi!E:E, $C269, Transaksi!F:F, "Barang Datang")
+
SUMIFS(Transaksi!K:K, Transaksi!E:E, $C269, Transaksi!F:F, "Retur penjualan")+SUMIFS(Transaksi!K:K, Transaksi!E:E, $C269, Transaksi!F:F,"Rusak Internal")</f>
        <v>0</v>
      </c>
      <c r="G269" s="7" t="str">
        <f>SUMIFS(Transaksi!I:I, Transaksi!E:E, $C269, Transaksi!F:F, "Terjual")
+
SUMIFS(Transaksi!J:J, Transaksi!E:E, $C269, Transaksi!F:F, "Retur Pembelian")+SUMIFS(Transaksi!I:I, Transaksi!E:E, $C269, Transaksi!F:F, "Dipakai Sendiri")</f>
        <v>0</v>
      </c>
      <c r="H269" s="15" t="str">
        <f t="shared" si="2"/>
        <v/>
      </c>
      <c r="I269" s="15" t="str">
        <f t="shared" si="3"/>
        <v/>
      </c>
      <c r="J269" s="7"/>
      <c r="K269" s="7" t="str">
        <f t="shared" si="5"/>
        <v/>
      </c>
    </row>
    <row r="270" ht="15.75" customHeight="1">
      <c r="A270" s="5" t="str">
        <f t="shared" si="1"/>
        <v/>
      </c>
      <c r="B270" s="6"/>
      <c r="C270" s="7" t="str">
        <f t="shared" si="4"/>
        <v/>
      </c>
      <c r="D270" s="7" t="s">
        <v>522</v>
      </c>
      <c r="E270" s="7" t="str">
        <f>SUMIFS(Transaksi!J:J, Transaksi!E:E, $C270, Transaksi!F:F, "Barang Datang")+SUMIFS(Transaksi!J:J, Transaksi!E:E,$C270,Transaksi!F:F,"Retur Penjualan")</f>
        <v>0</v>
      </c>
      <c r="F270" s="7" t="str">
        <f>SUMIFS(Transaksi!K:K, Transaksi!E:E, $C270, Transaksi!F:F, "Barang Datang")
+
SUMIFS(Transaksi!K:K, Transaksi!E:E, $C270, Transaksi!F:F, "Retur penjualan")+SUMIFS(Transaksi!K:K, Transaksi!E:E, $C270, Transaksi!F:F,"Rusak Internal")</f>
        <v>0</v>
      </c>
      <c r="G270" s="7" t="str">
        <f>SUMIFS(Transaksi!I:I, Transaksi!E:E, $C270, Transaksi!F:F, "Terjual")
+
SUMIFS(Transaksi!J:J, Transaksi!E:E, $C270, Transaksi!F:F, "Retur Pembelian")+SUMIFS(Transaksi!I:I, Transaksi!E:E, $C270, Transaksi!F:F, "Dipakai Sendiri")</f>
        <v>0</v>
      </c>
      <c r="H270" s="15" t="str">
        <f t="shared" si="2"/>
        <v/>
      </c>
      <c r="I270" s="15" t="str">
        <f t="shared" si="3"/>
        <v/>
      </c>
      <c r="J270" s="7"/>
      <c r="K270" s="7" t="str">
        <f t="shared" si="5"/>
        <v/>
      </c>
    </row>
    <row r="271" ht="15.75" customHeight="1">
      <c r="A271" s="5" t="str">
        <f t="shared" si="1"/>
        <v/>
      </c>
      <c r="B271" s="6"/>
      <c r="C271" s="7" t="str">
        <f t="shared" si="4"/>
        <v/>
      </c>
      <c r="D271" s="7" t="s">
        <v>522</v>
      </c>
      <c r="E271" s="7" t="str">
        <f>SUMIFS(Transaksi!J:J, Transaksi!E:E, $C271, Transaksi!F:F, "Barang Datang")+SUMIFS(Transaksi!J:J, Transaksi!E:E,$C271,Transaksi!F:F,"Retur Penjualan")</f>
        <v>0</v>
      </c>
      <c r="F271" s="7" t="str">
        <f>SUMIFS(Transaksi!K:K, Transaksi!E:E, $C271, Transaksi!F:F, "Barang Datang")
+
SUMIFS(Transaksi!K:K, Transaksi!E:E, $C271, Transaksi!F:F, "Retur penjualan")+SUMIFS(Transaksi!K:K, Transaksi!E:E, $C271, Transaksi!F:F,"Rusak Internal")</f>
        <v>0</v>
      </c>
      <c r="G271" s="7" t="str">
        <f>SUMIFS(Transaksi!I:I, Transaksi!E:E, $C271, Transaksi!F:F, "Terjual")
+
SUMIFS(Transaksi!J:J, Transaksi!E:E, $C271, Transaksi!F:F, "Retur Pembelian")+SUMIFS(Transaksi!I:I, Transaksi!E:E, $C271, Transaksi!F:F, "Dipakai Sendiri")</f>
        <v>0</v>
      </c>
      <c r="H271" s="15" t="str">
        <f t="shared" si="2"/>
        <v/>
      </c>
      <c r="I271" s="15" t="str">
        <f t="shared" si="3"/>
        <v/>
      </c>
      <c r="J271" s="7"/>
      <c r="K271" s="7" t="str">
        <f t="shared" si="5"/>
        <v/>
      </c>
    </row>
    <row r="272" ht="15.75" customHeight="1">
      <c r="A272" s="5" t="str">
        <f t="shared" si="1"/>
        <v/>
      </c>
      <c r="B272" s="6"/>
      <c r="C272" s="7" t="str">
        <f t="shared" si="4"/>
        <v/>
      </c>
      <c r="D272" s="7" t="s">
        <v>522</v>
      </c>
      <c r="E272" s="7" t="str">
        <f>SUMIFS(Transaksi!J:J, Transaksi!E:E, $C272, Transaksi!F:F, "Barang Datang")+SUMIFS(Transaksi!J:J, Transaksi!E:E,$C272,Transaksi!F:F,"Retur Penjualan")</f>
        <v>0</v>
      </c>
      <c r="F272" s="7" t="str">
        <f>SUMIFS(Transaksi!K:K, Transaksi!E:E, $C272, Transaksi!F:F, "Barang Datang")
+
SUMIFS(Transaksi!K:K, Transaksi!E:E, $C272, Transaksi!F:F, "Retur penjualan")+SUMIFS(Transaksi!K:K, Transaksi!E:E, $C272, Transaksi!F:F,"Rusak Internal")</f>
        <v>0</v>
      </c>
      <c r="G272" s="7" t="str">
        <f>SUMIFS(Transaksi!I:I, Transaksi!E:E, $C272, Transaksi!F:F, "Terjual")
+
SUMIFS(Transaksi!J:J, Transaksi!E:E, $C272, Transaksi!F:F, "Retur Pembelian")+SUMIFS(Transaksi!I:I, Transaksi!E:E, $C272, Transaksi!F:F, "Dipakai Sendiri")</f>
        <v>0</v>
      </c>
      <c r="H272" s="15" t="str">
        <f t="shared" si="2"/>
        <v/>
      </c>
      <c r="I272" s="15" t="str">
        <f t="shared" si="3"/>
        <v/>
      </c>
      <c r="J272" s="7"/>
      <c r="K272" s="7" t="str">
        <f t="shared" si="5"/>
        <v/>
      </c>
    </row>
    <row r="273" ht="15.75" customHeight="1">
      <c r="A273" s="5" t="str">
        <f t="shared" si="1"/>
        <v/>
      </c>
      <c r="B273" s="6"/>
      <c r="C273" s="7" t="str">
        <f t="shared" si="4"/>
        <v/>
      </c>
      <c r="D273" s="7" t="s">
        <v>522</v>
      </c>
      <c r="E273" s="7" t="str">
        <f>SUMIFS(Transaksi!J:J, Transaksi!E:E, $C273, Transaksi!F:F, "Barang Datang")+SUMIFS(Transaksi!J:J, Transaksi!E:E,$C273,Transaksi!F:F,"Retur Penjualan")</f>
        <v>0</v>
      </c>
      <c r="F273" s="7" t="str">
        <f>SUMIFS(Transaksi!K:K, Transaksi!E:E, $C273, Transaksi!F:F, "Barang Datang")
+
SUMIFS(Transaksi!K:K, Transaksi!E:E, $C273, Transaksi!F:F, "Retur penjualan")+SUMIFS(Transaksi!K:K, Transaksi!E:E, $C273, Transaksi!F:F,"Rusak Internal")</f>
        <v>0</v>
      </c>
      <c r="G273" s="7" t="str">
        <f>SUMIFS(Transaksi!I:I, Transaksi!E:E, $C273, Transaksi!F:F, "Terjual")
+
SUMIFS(Transaksi!J:J, Transaksi!E:E, $C273, Transaksi!F:F, "Retur Pembelian")+SUMIFS(Transaksi!I:I, Transaksi!E:E, $C273, Transaksi!F:F, "Dipakai Sendiri")</f>
        <v>0</v>
      </c>
      <c r="H273" s="15" t="str">
        <f t="shared" si="2"/>
        <v/>
      </c>
      <c r="I273" s="15" t="str">
        <f t="shared" si="3"/>
        <v/>
      </c>
      <c r="J273" s="7"/>
      <c r="K273" s="7" t="str">
        <f t="shared" si="5"/>
        <v/>
      </c>
    </row>
    <row r="274" ht="15.75" customHeight="1">
      <c r="A274" s="5" t="str">
        <f t="shared" si="1"/>
        <v/>
      </c>
      <c r="B274" s="6"/>
      <c r="C274" s="7" t="str">
        <f t="shared" si="4"/>
        <v/>
      </c>
      <c r="D274" s="7" t="s">
        <v>522</v>
      </c>
      <c r="E274" s="7" t="str">
        <f>SUMIFS(Transaksi!J:J, Transaksi!E:E, $C274, Transaksi!F:F, "Barang Datang")+SUMIFS(Transaksi!J:J, Transaksi!E:E,$C274,Transaksi!F:F,"Retur Penjualan")</f>
        <v>0</v>
      </c>
      <c r="F274" s="7" t="str">
        <f>SUMIFS(Transaksi!K:K, Transaksi!E:E, $C274, Transaksi!F:F, "Barang Datang")
+
SUMIFS(Transaksi!K:K, Transaksi!E:E, $C274, Transaksi!F:F, "Retur penjualan")+SUMIFS(Transaksi!K:K, Transaksi!E:E, $C274, Transaksi!F:F,"Rusak Internal")</f>
        <v>0</v>
      </c>
      <c r="G274" s="7" t="str">
        <f>SUMIFS(Transaksi!I:I, Transaksi!E:E, $C274, Transaksi!F:F, "Terjual")
+
SUMIFS(Transaksi!J:J, Transaksi!E:E, $C274, Transaksi!F:F, "Retur Pembelian")+SUMIFS(Transaksi!I:I, Transaksi!E:E, $C274, Transaksi!F:F, "Dipakai Sendiri")</f>
        <v>0</v>
      </c>
      <c r="H274" s="15" t="str">
        <f t="shared" si="2"/>
        <v/>
      </c>
      <c r="I274" s="15" t="str">
        <f t="shared" si="3"/>
        <v/>
      </c>
      <c r="J274" s="7"/>
      <c r="K274" s="7" t="str">
        <f t="shared" si="5"/>
        <v/>
      </c>
    </row>
    <row r="275" ht="15.75" customHeight="1">
      <c r="A275" s="5" t="str">
        <f t="shared" si="1"/>
        <v/>
      </c>
      <c r="B275" s="6"/>
      <c r="C275" s="7" t="str">
        <f t="shared" si="4"/>
        <v/>
      </c>
      <c r="D275" s="7" t="s">
        <v>522</v>
      </c>
      <c r="E275" s="7" t="str">
        <f>SUMIFS(Transaksi!J:J, Transaksi!E:E, $C275, Transaksi!F:F, "Barang Datang")+SUMIFS(Transaksi!J:J, Transaksi!E:E,$C275,Transaksi!F:F,"Retur Penjualan")</f>
        <v>0</v>
      </c>
      <c r="F275" s="7" t="str">
        <f>SUMIFS(Transaksi!K:K, Transaksi!E:E, $C275, Transaksi!F:F, "Barang Datang")
+
SUMIFS(Transaksi!K:K, Transaksi!E:E, $C275, Transaksi!F:F, "Retur penjualan")+SUMIFS(Transaksi!K:K, Transaksi!E:E, $C275, Transaksi!F:F,"Rusak Internal")</f>
        <v>0</v>
      </c>
      <c r="G275" s="7" t="str">
        <f>SUMIFS(Transaksi!I:I, Transaksi!E:E, $C275, Transaksi!F:F, "Terjual")
+
SUMIFS(Transaksi!J:J, Transaksi!E:E, $C275, Transaksi!F:F, "Retur Pembelian")+SUMIFS(Transaksi!I:I, Transaksi!E:E, $C275, Transaksi!F:F, "Dipakai Sendiri")</f>
        <v>0</v>
      </c>
      <c r="H275" s="15" t="str">
        <f t="shared" si="2"/>
        <v/>
      </c>
      <c r="I275" s="15" t="str">
        <f t="shared" si="3"/>
        <v/>
      </c>
      <c r="J275" s="7"/>
      <c r="K275" s="7" t="str">
        <f t="shared" si="5"/>
        <v/>
      </c>
    </row>
    <row r="276" ht="15.75" customHeight="1">
      <c r="A276" s="5" t="str">
        <f t="shared" si="1"/>
        <v/>
      </c>
      <c r="B276" s="6"/>
      <c r="C276" s="7" t="str">
        <f t="shared" si="4"/>
        <v/>
      </c>
      <c r="D276" s="7" t="s">
        <v>522</v>
      </c>
      <c r="E276" s="7" t="str">
        <f>SUMIFS(Transaksi!J:J, Transaksi!E:E, $C276, Transaksi!F:F, "Barang Datang")+SUMIFS(Transaksi!J:J, Transaksi!E:E,$C276,Transaksi!F:F,"Retur Penjualan")</f>
        <v>0</v>
      </c>
      <c r="F276" s="7" t="str">
        <f>SUMIFS(Transaksi!K:K, Transaksi!E:E, $C276, Transaksi!F:F, "Barang Datang")
+
SUMIFS(Transaksi!K:K, Transaksi!E:E, $C276, Transaksi!F:F, "Retur penjualan")+SUMIFS(Transaksi!K:K, Transaksi!E:E, $C276, Transaksi!F:F,"Rusak Internal")</f>
        <v>0</v>
      </c>
      <c r="G276" s="7" t="str">
        <f>SUMIFS(Transaksi!I:I, Transaksi!E:E, $C276, Transaksi!F:F, "Terjual")
+
SUMIFS(Transaksi!J:J, Transaksi!E:E, $C276, Transaksi!F:F, "Retur Pembelian")+SUMIFS(Transaksi!I:I, Transaksi!E:E, $C276, Transaksi!F:F, "Dipakai Sendiri")</f>
        <v>0</v>
      </c>
      <c r="H276" s="15" t="str">
        <f t="shared" si="2"/>
        <v/>
      </c>
      <c r="I276" s="15" t="str">
        <f t="shared" si="3"/>
        <v/>
      </c>
      <c r="J276" s="7"/>
      <c r="K276" s="7" t="str">
        <f t="shared" si="5"/>
        <v/>
      </c>
    </row>
    <row r="277" ht="15.75" customHeight="1">
      <c r="A277" s="5" t="str">
        <f t="shared" si="1"/>
        <v/>
      </c>
      <c r="B277" s="6"/>
      <c r="C277" s="7" t="str">
        <f t="shared" si="4"/>
        <v/>
      </c>
      <c r="D277" s="7" t="s">
        <v>522</v>
      </c>
      <c r="E277" s="7" t="str">
        <f>SUMIFS(Transaksi!J:J, Transaksi!E:E, $C277, Transaksi!F:F, "Barang Datang")+SUMIFS(Transaksi!J:J, Transaksi!E:E,$C277,Transaksi!F:F,"Retur Penjualan")</f>
        <v>0</v>
      </c>
      <c r="F277" s="7" t="str">
        <f>SUMIFS(Transaksi!K:K, Transaksi!E:E, $C277, Transaksi!F:F, "Barang Datang")
+
SUMIFS(Transaksi!K:K, Transaksi!E:E, $C277, Transaksi!F:F, "Retur penjualan")+SUMIFS(Transaksi!K:K, Transaksi!E:E, $C277, Transaksi!F:F,"Rusak Internal")</f>
        <v>0</v>
      </c>
      <c r="G277" s="7" t="str">
        <f>SUMIFS(Transaksi!I:I, Transaksi!E:E, $C277, Transaksi!F:F, "Terjual")
+
SUMIFS(Transaksi!J:J, Transaksi!E:E, $C277, Transaksi!F:F, "Retur Pembelian")+SUMIFS(Transaksi!I:I, Transaksi!E:E, $C277, Transaksi!F:F, "Dipakai Sendiri")</f>
        <v>0</v>
      </c>
      <c r="H277" s="15" t="str">
        <f t="shared" si="2"/>
        <v/>
      </c>
      <c r="I277" s="15" t="str">
        <f t="shared" si="3"/>
        <v/>
      </c>
      <c r="J277" s="7"/>
      <c r="K277" s="7" t="str">
        <f t="shared" si="5"/>
        <v/>
      </c>
    </row>
    <row r="278" ht="15.75" customHeight="1">
      <c r="A278" s="5" t="str">
        <f t="shared" si="1"/>
        <v/>
      </c>
      <c r="B278" s="6"/>
      <c r="C278" s="7" t="str">
        <f t="shared" si="4"/>
        <v/>
      </c>
      <c r="D278" s="7" t="s">
        <v>522</v>
      </c>
      <c r="E278" s="7" t="str">
        <f>SUMIFS(Transaksi!J:J, Transaksi!E:E, $C278, Transaksi!F:F, "Barang Datang")+SUMIFS(Transaksi!J:J, Transaksi!E:E,$C278,Transaksi!F:F,"Retur Penjualan")</f>
        <v>0</v>
      </c>
      <c r="F278" s="7" t="str">
        <f>SUMIFS(Transaksi!K:K, Transaksi!E:E, $C278, Transaksi!F:F, "Barang Datang")
+
SUMIFS(Transaksi!K:K, Transaksi!E:E, $C278, Transaksi!F:F, "Retur penjualan")+SUMIFS(Transaksi!K:K, Transaksi!E:E, $C278, Transaksi!F:F,"Rusak Internal")</f>
        <v>0</v>
      </c>
      <c r="G278" s="7" t="str">
        <f>SUMIFS(Transaksi!I:I, Transaksi!E:E, $C278, Transaksi!F:F, "Terjual")
+
SUMIFS(Transaksi!J:J, Transaksi!E:E, $C278, Transaksi!F:F, "Retur Pembelian")+SUMIFS(Transaksi!I:I, Transaksi!E:E, $C278, Transaksi!F:F, "Dipakai Sendiri")</f>
        <v>0</v>
      </c>
      <c r="H278" s="15" t="str">
        <f t="shared" si="2"/>
        <v/>
      </c>
      <c r="I278" s="15" t="str">
        <f t="shared" si="3"/>
        <v/>
      </c>
      <c r="J278" s="7"/>
      <c r="K278" s="7" t="str">
        <f t="shared" si="5"/>
        <v/>
      </c>
    </row>
    <row r="279" ht="15.75" customHeight="1">
      <c r="A279" s="5" t="str">
        <f t="shared" si="1"/>
        <v/>
      </c>
      <c r="B279" s="6"/>
      <c r="C279" s="7" t="str">
        <f t="shared" si="4"/>
        <v/>
      </c>
      <c r="D279" s="7" t="s">
        <v>522</v>
      </c>
      <c r="E279" s="7" t="str">
        <f>SUMIFS(Transaksi!J:J, Transaksi!E:E, $C279, Transaksi!F:F, "Barang Datang")+SUMIFS(Transaksi!J:J, Transaksi!E:E,$C279,Transaksi!F:F,"Retur Penjualan")</f>
        <v>0</v>
      </c>
      <c r="F279" s="7" t="str">
        <f>SUMIFS(Transaksi!K:K, Transaksi!E:E, $C279, Transaksi!F:F, "Barang Datang")
+
SUMIFS(Transaksi!K:K, Transaksi!E:E, $C279, Transaksi!F:F, "Retur penjualan")+SUMIFS(Transaksi!K:K, Transaksi!E:E, $C279, Transaksi!F:F,"Rusak Internal")</f>
        <v>0</v>
      </c>
      <c r="G279" s="7" t="str">
        <f>SUMIFS(Transaksi!I:I, Transaksi!E:E, $C279, Transaksi!F:F, "Terjual")
+
SUMIFS(Transaksi!J:J, Transaksi!E:E, $C279, Transaksi!F:F, "Retur Pembelian")+SUMIFS(Transaksi!I:I, Transaksi!E:E, $C279, Transaksi!F:F, "Dipakai Sendiri")</f>
        <v>0</v>
      </c>
      <c r="H279" s="15" t="str">
        <f t="shared" si="2"/>
        <v/>
      </c>
      <c r="I279" s="15" t="str">
        <f t="shared" si="3"/>
        <v/>
      </c>
      <c r="J279" s="7"/>
      <c r="K279" s="7" t="str">
        <f t="shared" si="5"/>
        <v/>
      </c>
    </row>
    <row r="280" ht="15.75" customHeight="1">
      <c r="A280" s="5" t="str">
        <f t="shared" si="1"/>
        <v/>
      </c>
      <c r="B280" s="6"/>
      <c r="C280" s="7" t="str">
        <f t="shared" si="4"/>
        <v/>
      </c>
      <c r="D280" s="7" t="s">
        <v>522</v>
      </c>
      <c r="E280" s="7" t="str">
        <f>SUMIFS(Transaksi!J:J, Transaksi!E:E, $C280, Transaksi!F:F, "Barang Datang")+SUMIFS(Transaksi!J:J, Transaksi!E:E,$C280,Transaksi!F:F,"Retur Penjualan")</f>
        <v>0</v>
      </c>
      <c r="F280" s="7" t="str">
        <f>SUMIFS(Transaksi!K:K, Transaksi!E:E, $C280, Transaksi!F:F, "Barang Datang")
+
SUMIFS(Transaksi!K:K, Transaksi!E:E, $C280, Transaksi!F:F, "Retur penjualan")+SUMIFS(Transaksi!K:K, Transaksi!E:E, $C280, Transaksi!F:F,"Rusak Internal")</f>
        <v>0</v>
      </c>
      <c r="G280" s="7" t="str">
        <f>SUMIFS(Transaksi!I:I, Transaksi!E:E, $C280, Transaksi!F:F, "Terjual")
+
SUMIFS(Transaksi!J:J, Transaksi!E:E, $C280, Transaksi!F:F, "Retur Pembelian")+SUMIFS(Transaksi!I:I, Transaksi!E:E, $C280, Transaksi!F:F, "Dipakai Sendiri")</f>
        <v>0</v>
      </c>
      <c r="H280" s="15" t="str">
        <f t="shared" si="2"/>
        <v/>
      </c>
      <c r="I280" s="15" t="str">
        <f t="shared" si="3"/>
        <v/>
      </c>
      <c r="J280" s="7"/>
      <c r="K280" s="7" t="str">
        <f t="shared" si="5"/>
        <v/>
      </c>
    </row>
    <row r="281" ht="15.75" customHeight="1">
      <c r="A281" s="5" t="str">
        <f t="shared" si="1"/>
        <v/>
      </c>
      <c r="B281" s="6"/>
      <c r="C281" s="7" t="str">
        <f t="shared" si="4"/>
        <v/>
      </c>
      <c r="D281" s="7" t="s">
        <v>522</v>
      </c>
      <c r="E281" s="7" t="str">
        <f>SUMIFS(Transaksi!J:J, Transaksi!E:E, $C281, Transaksi!F:F, "Barang Datang")+SUMIFS(Transaksi!J:J, Transaksi!E:E,$C281,Transaksi!F:F,"Retur Penjualan")</f>
        <v>0</v>
      </c>
      <c r="F281" s="7" t="str">
        <f>SUMIFS(Transaksi!K:K, Transaksi!E:E, $C281, Transaksi!F:F, "Barang Datang")
+
SUMIFS(Transaksi!K:K, Transaksi!E:E, $C281, Transaksi!F:F, "Retur penjualan")+SUMIFS(Transaksi!K:K, Transaksi!E:E, $C281, Transaksi!F:F,"Rusak Internal")</f>
        <v>0</v>
      </c>
      <c r="G281" s="7" t="str">
        <f>SUMIFS(Transaksi!I:I, Transaksi!E:E, $C281, Transaksi!F:F, "Terjual")
+
SUMIFS(Transaksi!J:J, Transaksi!E:E, $C281, Transaksi!F:F, "Retur Pembelian")+SUMIFS(Transaksi!I:I, Transaksi!E:E, $C281, Transaksi!F:F, "Dipakai Sendiri")</f>
        <v>0</v>
      </c>
      <c r="H281" s="15" t="str">
        <f t="shared" si="2"/>
        <v/>
      </c>
      <c r="I281" s="15" t="str">
        <f t="shared" si="3"/>
        <v/>
      </c>
      <c r="J281" s="7"/>
      <c r="K281" s="7" t="str">
        <f t="shared" si="5"/>
        <v/>
      </c>
    </row>
    <row r="282" ht="15.75" customHeight="1">
      <c r="A282" s="5" t="str">
        <f t="shared" si="1"/>
        <v/>
      </c>
      <c r="B282" s="6"/>
      <c r="C282" s="7" t="str">
        <f t="shared" si="4"/>
        <v/>
      </c>
      <c r="D282" s="7" t="s">
        <v>522</v>
      </c>
      <c r="E282" s="7" t="str">
        <f>SUMIFS(Transaksi!J:J, Transaksi!E:E, $C282, Transaksi!F:F, "Barang Datang")+SUMIFS(Transaksi!J:J, Transaksi!E:E,$C282,Transaksi!F:F,"Retur Penjualan")</f>
        <v>0</v>
      </c>
      <c r="F282" s="7" t="str">
        <f>SUMIFS(Transaksi!K:K, Transaksi!E:E, $C282, Transaksi!F:F, "Barang Datang")
+
SUMIFS(Transaksi!K:K, Transaksi!E:E, $C282, Transaksi!F:F, "Retur penjualan")+SUMIFS(Transaksi!K:K, Transaksi!E:E, $C282, Transaksi!F:F,"Rusak Internal")</f>
        <v>0</v>
      </c>
      <c r="G282" s="7" t="str">
        <f>SUMIFS(Transaksi!I:I, Transaksi!E:E, $C282, Transaksi!F:F, "Terjual")
+
SUMIFS(Transaksi!J:J, Transaksi!E:E, $C282, Transaksi!F:F, "Retur Pembelian")+SUMIFS(Transaksi!I:I, Transaksi!E:E, $C282, Transaksi!F:F, "Dipakai Sendiri")</f>
        <v>0</v>
      </c>
      <c r="H282" s="15" t="str">
        <f t="shared" si="2"/>
        <v/>
      </c>
      <c r="I282" s="15" t="str">
        <f t="shared" si="3"/>
        <v/>
      </c>
      <c r="J282" s="7"/>
      <c r="K282" s="7" t="str">
        <f t="shared" si="5"/>
        <v/>
      </c>
    </row>
    <row r="283" ht="15.75" customHeight="1">
      <c r="A283" s="5" t="str">
        <f t="shared" si="1"/>
        <v/>
      </c>
      <c r="B283" s="6"/>
      <c r="C283" s="7" t="str">
        <f t="shared" si="4"/>
        <v/>
      </c>
      <c r="D283" s="7" t="s">
        <v>522</v>
      </c>
      <c r="E283" s="7" t="str">
        <f>SUMIFS(Transaksi!J:J, Transaksi!E:E, $C283, Transaksi!F:F, "Barang Datang")+SUMIFS(Transaksi!J:J, Transaksi!E:E,$C283,Transaksi!F:F,"Retur Penjualan")</f>
        <v>0</v>
      </c>
      <c r="F283" s="7" t="str">
        <f>SUMIFS(Transaksi!K:K, Transaksi!E:E, $C283, Transaksi!F:F, "Barang Datang")
+
SUMIFS(Transaksi!K:K, Transaksi!E:E, $C283, Transaksi!F:F, "Retur penjualan")+SUMIFS(Transaksi!K:K, Transaksi!E:E, $C283, Transaksi!F:F,"Rusak Internal")</f>
        <v>0</v>
      </c>
      <c r="G283" s="7" t="str">
        <f>SUMIFS(Transaksi!I:I, Transaksi!E:E, $C283, Transaksi!F:F, "Terjual")
+
SUMIFS(Transaksi!J:J, Transaksi!E:E, $C283, Transaksi!F:F, "Retur Pembelian")+SUMIFS(Transaksi!I:I, Transaksi!E:E, $C283, Transaksi!F:F, "Dipakai Sendiri")</f>
        <v>0</v>
      </c>
      <c r="H283" s="15" t="str">
        <f t="shared" si="2"/>
        <v/>
      </c>
      <c r="I283" s="15" t="str">
        <f t="shared" si="3"/>
        <v/>
      </c>
      <c r="J283" s="7"/>
      <c r="K283" s="7" t="str">
        <f t="shared" si="5"/>
        <v/>
      </c>
    </row>
    <row r="284" ht="15.75" customHeight="1">
      <c r="A284" s="5" t="str">
        <f t="shared" si="1"/>
        <v/>
      </c>
      <c r="B284" s="6"/>
      <c r="C284" s="7" t="str">
        <f t="shared" si="4"/>
        <v/>
      </c>
      <c r="D284" s="7" t="s">
        <v>522</v>
      </c>
      <c r="E284" s="7" t="str">
        <f>SUMIFS(Transaksi!J:J, Transaksi!E:E, $C284, Transaksi!F:F, "Barang Datang")+SUMIFS(Transaksi!J:J, Transaksi!E:E,$C284,Transaksi!F:F,"Retur Penjualan")</f>
        <v>0</v>
      </c>
      <c r="F284" s="7" t="str">
        <f>SUMIFS(Transaksi!K:K, Transaksi!E:E, $C284, Transaksi!F:F, "Barang Datang")
+
SUMIFS(Transaksi!K:K, Transaksi!E:E, $C284, Transaksi!F:F, "Retur penjualan")+SUMIFS(Transaksi!K:K, Transaksi!E:E, $C284, Transaksi!F:F,"Rusak Internal")</f>
        <v>0</v>
      </c>
      <c r="G284" s="7" t="str">
        <f>SUMIFS(Transaksi!I:I, Transaksi!E:E, $C284, Transaksi!F:F, "Terjual")
+
SUMIFS(Transaksi!J:J, Transaksi!E:E, $C284, Transaksi!F:F, "Retur Pembelian")+SUMIFS(Transaksi!I:I, Transaksi!E:E, $C284, Transaksi!F:F, "Dipakai Sendiri")</f>
        <v>0</v>
      </c>
      <c r="H284" s="15" t="str">
        <f t="shared" si="2"/>
        <v/>
      </c>
      <c r="I284" s="15" t="str">
        <f t="shared" si="3"/>
        <v/>
      </c>
      <c r="J284" s="7"/>
      <c r="K284" s="7" t="str">
        <f t="shared" si="5"/>
        <v/>
      </c>
    </row>
    <row r="285" ht="15.75" customHeight="1">
      <c r="A285" s="5" t="str">
        <f t="shared" si="1"/>
        <v/>
      </c>
      <c r="B285" s="6"/>
      <c r="C285" s="7" t="str">
        <f t="shared" si="4"/>
        <v/>
      </c>
      <c r="D285" s="7" t="s">
        <v>522</v>
      </c>
      <c r="E285" s="7" t="str">
        <f>SUMIFS(Transaksi!J:J, Transaksi!E:E, $C285, Transaksi!F:F, "Barang Datang")+SUMIFS(Transaksi!J:J, Transaksi!E:E,$C285,Transaksi!F:F,"Retur Penjualan")</f>
        <v>0</v>
      </c>
      <c r="F285" s="7" t="str">
        <f>SUMIFS(Transaksi!K:K, Transaksi!E:E, $C285, Transaksi!F:F, "Barang Datang")
+
SUMIFS(Transaksi!K:K, Transaksi!E:E, $C285, Transaksi!F:F, "Retur penjualan")+SUMIFS(Transaksi!K:K, Transaksi!E:E, $C285, Transaksi!F:F,"Rusak Internal")</f>
        <v>0</v>
      </c>
      <c r="G285" s="7" t="str">
        <f>SUMIFS(Transaksi!I:I, Transaksi!E:E, $C285, Transaksi!F:F, "Terjual")
+
SUMIFS(Transaksi!J:J, Transaksi!E:E, $C285, Transaksi!F:F, "Retur Pembelian")+SUMIFS(Transaksi!I:I, Transaksi!E:E, $C285, Transaksi!F:F, "Dipakai Sendiri")</f>
        <v>0</v>
      </c>
      <c r="H285" s="15" t="str">
        <f t="shared" si="2"/>
        <v/>
      </c>
      <c r="I285" s="15" t="str">
        <f t="shared" si="3"/>
        <v/>
      </c>
      <c r="J285" s="7"/>
      <c r="K285" s="7" t="str">
        <f t="shared" si="5"/>
        <v/>
      </c>
    </row>
    <row r="286" ht="15.75" customHeight="1">
      <c r="A286" s="5" t="str">
        <f t="shared" si="1"/>
        <v/>
      </c>
      <c r="B286" s="6"/>
      <c r="C286" s="7" t="str">
        <f t="shared" si="4"/>
        <v/>
      </c>
      <c r="D286" s="7" t="s">
        <v>522</v>
      </c>
      <c r="E286" s="7" t="str">
        <f>SUMIFS(Transaksi!J:J, Transaksi!E:E, $C286, Transaksi!F:F, "Barang Datang")+SUMIFS(Transaksi!J:J, Transaksi!E:E,$C286,Transaksi!F:F,"Retur Penjualan")</f>
        <v>0</v>
      </c>
      <c r="F286" s="7" t="str">
        <f>SUMIFS(Transaksi!K:K, Transaksi!E:E, $C286, Transaksi!F:F, "Barang Datang")
+
SUMIFS(Transaksi!K:K, Transaksi!E:E, $C286, Transaksi!F:F, "Retur penjualan")+SUMIFS(Transaksi!K:K, Transaksi!E:E, $C286, Transaksi!F:F,"Rusak Internal")</f>
        <v>0</v>
      </c>
      <c r="G286" s="7" t="str">
        <f>SUMIFS(Transaksi!I:I, Transaksi!E:E, $C286, Transaksi!F:F, "Terjual")
+
SUMIFS(Transaksi!J:J, Transaksi!E:E, $C286, Transaksi!F:F, "Retur Pembelian")+SUMIFS(Transaksi!I:I, Transaksi!E:E, $C286, Transaksi!F:F, "Dipakai Sendiri")</f>
        <v>0</v>
      </c>
      <c r="H286" s="15" t="str">
        <f t="shared" si="2"/>
        <v/>
      </c>
      <c r="I286" s="15" t="str">
        <f t="shared" si="3"/>
        <v/>
      </c>
      <c r="J286" s="7"/>
      <c r="K286" s="7" t="str">
        <f t="shared" si="5"/>
        <v/>
      </c>
    </row>
    <row r="287" ht="15.75" customHeight="1">
      <c r="A287" s="5" t="str">
        <f t="shared" si="1"/>
        <v/>
      </c>
      <c r="B287" s="6"/>
      <c r="C287" s="7" t="str">
        <f t="shared" si="4"/>
        <v/>
      </c>
      <c r="D287" s="7" t="s">
        <v>522</v>
      </c>
      <c r="E287" s="7" t="str">
        <f>SUMIFS(Transaksi!J:J, Transaksi!E:E, $C287, Transaksi!F:F, "Barang Datang")+SUMIFS(Transaksi!J:J, Transaksi!E:E,$C287,Transaksi!F:F,"Retur Penjualan")</f>
        <v>0</v>
      </c>
      <c r="F287" s="7" t="str">
        <f>SUMIFS(Transaksi!K:K, Transaksi!E:E, $C287, Transaksi!F:F, "Barang Datang")
+
SUMIFS(Transaksi!K:K, Transaksi!E:E, $C287, Transaksi!F:F, "Retur penjualan")+SUMIFS(Transaksi!K:K, Transaksi!E:E, $C287, Transaksi!F:F,"Rusak Internal")</f>
        <v>0</v>
      </c>
      <c r="G287" s="7" t="str">
        <f>SUMIFS(Transaksi!I:I, Transaksi!E:E, $C287, Transaksi!F:F, "Terjual")
+
SUMIFS(Transaksi!J:J, Transaksi!E:E, $C287, Transaksi!F:F, "Retur Pembelian")+SUMIFS(Transaksi!I:I, Transaksi!E:E, $C287, Transaksi!F:F, "Dipakai Sendiri")</f>
        <v>0</v>
      </c>
      <c r="H287" s="15" t="str">
        <f t="shared" si="2"/>
        <v/>
      </c>
      <c r="I287" s="15" t="str">
        <f t="shared" si="3"/>
        <v/>
      </c>
      <c r="J287" s="7"/>
      <c r="K287" s="7" t="str">
        <f t="shared" si="5"/>
        <v/>
      </c>
    </row>
    <row r="288" ht="15.75" customHeight="1">
      <c r="A288" s="5" t="str">
        <f t="shared" si="1"/>
        <v/>
      </c>
      <c r="B288" s="6"/>
      <c r="C288" s="7" t="str">
        <f t="shared" si="4"/>
        <v/>
      </c>
      <c r="D288" s="7" t="s">
        <v>522</v>
      </c>
      <c r="E288" s="7" t="str">
        <f>SUMIFS(Transaksi!J:J, Transaksi!E:E, $C288, Transaksi!F:F, "Barang Datang")+SUMIFS(Transaksi!J:J, Transaksi!E:E,$C288,Transaksi!F:F,"Retur Penjualan")</f>
        <v>0</v>
      </c>
      <c r="F288" s="7" t="str">
        <f>SUMIFS(Transaksi!K:K, Transaksi!E:E, $C288, Transaksi!F:F, "Barang Datang")
+
SUMIFS(Transaksi!K:K, Transaksi!E:E, $C288, Transaksi!F:F, "Retur penjualan")+SUMIFS(Transaksi!K:K, Transaksi!E:E, $C288, Transaksi!F:F,"Rusak Internal")</f>
        <v>0</v>
      </c>
      <c r="G288" s="7" t="str">
        <f>SUMIFS(Transaksi!I:I, Transaksi!E:E, $C288, Transaksi!F:F, "Terjual")
+
SUMIFS(Transaksi!J:J, Transaksi!E:E, $C288, Transaksi!F:F, "Retur Pembelian")+SUMIFS(Transaksi!I:I, Transaksi!E:E, $C288, Transaksi!F:F, "Dipakai Sendiri")</f>
        <v>0</v>
      </c>
      <c r="H288" s="15" t="str">
        <f t="shared" si="2"/>
        <v/>
      </c>
      <c r="I288" s="15" t="str">
        <f t="shared" si="3"/>
        <v/>
      </c>
      <c r="J288" s="7"/>
      <c r="K288" s="7" t="str">
        <f t="shared" si="5"/>
        <v/>
      </c>
    </row>
    <row r="289" ht="15.75" customHeight="1">
      <c r="A289" s="5" t="str">
        <f t="shared" si="1"/>
        <v/>
      </c>
      <c r="B289" s="6"/>
      <c r="C289" s="7" t="str">
        <f t="shared" si="4"/>
        <v/>
      </c>
      <c r="D289" s="7" t="s">
        <v>522</v>
      </c>
      <c r="E289" s="7" t="str">
        <f>SUMIFS(Transaksi!J:J, Transaksi!E:E, $C289, Transaksi!F:F, "Barang Datang")+SUMIFS(Transaksi!J:J, Transaksi!E:E,$C289,Transaksi!F:F,"Retur Penjualan")</f>
        <v>0</v>
      </c>
      <c r="F289" s="7" t="str">
        <f>SUMIFS(Transaksi!K:K, Transaksi!E:E, $C289, Transaksi!F:F, "Barang Datang")
+
SUMIFS(Transaksi!K:K, Transaksi!E:E, $C289, Transaksi!F:F, "Retur penjualan")+SUMIFS(Transaksi!K:K, Transaksi!E:E, $C289, Transaksi!F:F,"Rusak Internal")</f>
        <v>0</v>
      </c>
      <c r="G289" s="7" t="str">
        <f>SUMIFS(Transaksi!I:I, Transaksi!E:E, $C289, Transaksi!F:F, "Terjual")
+
SUMIFS(Transaksi!J:J, Transaksi!E:E, $C289, Transaksi!F:F, "Retur Pembelian")+SUMIFS(Transaksi!I:I, Transaksi!E:E, $C289, Transaksi!F:F, "Dipakai Sendiri")</f>
        <v>0</v>
      </c>
      <c r="H289" s="15" t="str">
        <f t="shared" si="2"/>
        <v/>
      </c>
      <c r="I289" s="15" t="str">
        <f t="shared" si="3"/>
        <v/>
      </c>
      <c r="J289" s="7"/>
      <c r="K289" s="7" t="str">
        <f t="shared" si="5"/>
        <v/>
      </c>
    </row>
    <row r="290" ht="15.75" customHeight="1">
      <c r="A290" s="5" t="str">
        <f t="shared" si="1"/>
        <v/>
      </c>
      <c r="B290" s="6"/>
      <c r="C290" s="7" t="str">
        <f t="shared" si="4"/>
        <v/>
      </c>
      <c r="D290" s="7" t="s">
        <v>522</v>
      </c>
      <c r="E290" s="7" t="str">
        <f>SUMIFS(Transaksi!J:J, Transaksi!E:E, $C290, Transaksi!F:F, "Barang Datang")+SUMIFS(Transaksi!J:J, Transaksi!E:E,$C290,Transaksi!F:F,"Retur Penjualan")</f>
        <v>0</v>
      </c>
      <c r="F290" s="7" t="str">
        <f>SUMIFS(Transaksi!K:K, Transaksi!E:E, $C290, Transaksi!F:F, "Barang Datang")
+
SUMIFS(Transaksi!K:K, Transaksi!E:E, $C290, Transaksi!F:F, "Retur penjualan")+SUMIFS(Transaksi!K:K, Transaksi!E:E, $C290, Transaksi!F:F,"Rusak Internal")</f>
        <v>0</v>
      </c>
      <c r="G290" s="7" t="str">
        <f>SUMIFS(Transaksi!I:I, Transaksi!E:E, $C290, Transaksi!F:F, "Terjual")
+
SUMIFS(Transaksi!J:J, Transaksi!E:E, $C290, Transaksi!F:F, "Retur Pembelian")+SUMIFS(Transaksi!I:I, Transaksi!E:E, $C290, Transaksi!F:F, "Dipakai Sendiri")</f>
        <v>0</v>
      </c>
      <c r="H290" s="15" t="str">
        <f t="shared" si="2"/>
        <v/>
      </c>
      <c r="I290" s="15" t="str">
        <f t="shared" si="3"/>
        <v/>
      </c>
      <c r="J290" s="7"/>
      <c r="K290" s="7" t="str">
        <f t="shared" si="5"/>
        <v/>
      </c>
    </row>
    <row r="291" ht="15.75" customHeight="1">
      <c r="A291" s="5" t="str">
        <f t="shared" si="1"/>
        <v/>
      </c>
      <c r="B291" s="6"/>
      <c r="C291" s="7" t="str">
        <f t="shared" si="4"/>
        <v/>
      </c>
      <c r="D291" s="7" t="s">
        <v>522</v>
      </c>
      <c r="E291" s="7" t="str">
        <f>SUMIFS(Transaksi!J:J, Transaksi!E:E, $C291, Transaksi!F:F, "Barang Datang")+SUMIFS(Transaksi!J:J, Transaksi!E:E,$C291,Transaksi!F:F,"Retur Penjualan")</f>
        <v>0</v>
      </c>
      <c r="F291" s="7" t="str">
        <f>SUMIFS(Transaksi!K:K, Transaksi!E:E, $C291, Transaksi!F:F, "Barang Datang")
+
SUMIFS(Transaksi!K:K, Transaksi!E:E, $C291, Transaksi!F:F, "Retur penjualan")+SUMIFS(Transaksi!K:K, Transaksi!E:E, $C291, Transaksi!F:F,"Rusak Internal")</f>
        <v>0</v>
      </c>
      <c r="G291" s="7" t="str">
        <f>SUMIFS(Transaksi!I:I, Transaksi!E:E, $C291, Transaksi!F:F, "Terjual")
+
SUMIFS(Transaksi!J:J, Transaksi!E:E, $C291, Transaksi!F:F, "Retur Pembelian")+SUMIFS(Transaksi!I:I, Transaksi!E:E, $C291, Transaksi!F:F, "Dipakai Sendiri")</f>
        <v>0</v>
      </c>
      <c r="H291" s="15" t="str">
        <f t="shared" si="2"/>
        <v/>
      </c>
      <c r="I291" s="15" t="str">
        <f t="shared" si="3"/>
        <v/>
      </c>
      <c r="J291" s="7"/>
      <c r="K291" s="7" t="str">
        <f t="shared" si="5"/>
        <v/>
      </c>
    </row>
    <row r="292" ht="15.75" customHeight="1">
      <c r="A292" s="5" t="str">
        <f t="shared" si="1"/>
        <v/>
      </c>
      <c r="B292" s="6"/>
      <c r="C292" s="7" t="str">
        <f t="shared" si="4"/>
        <v/>
      </c>
      <c r="D292" s="7" t="s">
        <v>522</v>
      </c>
      <c r="E292" s="7" t="str">
        <f>SUMIFS(Transaksi!J:J, Transaksi!E:E, $C292, Transaksi!F:F, "Barang Datang")+SUMIFS(Transaksi!J:J, Transaksi!E:E,$C292,Transaksi!F:F,"Retur Penjualan")</f>
        <v>0</v>
      </c>
      <c r="F292" s="7" t="str">
        <f>SUMIFS(Transaksi!K:K, Transaksi!E:E, $C292, Transaksi!F:F, "Barang Datang")
+
SUMIFS(Transaksi!K:K, Transaksi!E:E, $C292, Transaksi!F:F, "Retur penjualan")+SUMIFS(Transaksi!K:K, Transaksi!E:E, $C292, Transaksi!F:F,"Rusak Internal")</f>
        <v>0</v>
      </c>
      <c r="G292" s="7" t="str">
        <f>SUMIFS(Transaksi!I:I, Transaksi!E:E, $C292, Transaksi!F:F, "Terjual")
+
SUMIFS(Transaksi!J:J, Transaksi!E:E, $C292, Transaksi!F:F, "Retur Pembelian")+SUMIFS(Transaksi!I:I, Transaksi!E:E, $C292, Transaksi!F:F, "Dipakai Sendiri")</f>
        <v>0</v>
      </c>
      <c r="H292" s="15" t="str">
        <f t="shared" si="2"/>
        <v/>
      </c>
      <c r="I292" s="15" t="str">
        <f t="shared" si="3"/>
        <v/>
      </c>
      <c r="J292" s="7"/>
      <c r="K292" s="7" t="str">
        <f t="shared" si="5"/>
        <v/>
      </c>
    </row>
    <row r="293" ht="15.75" customHeight="1">
      <c r="A293" s="5" t="str">
        <f t="shared" si="1"/>
        <v/>
      </c>
      <c r="B293" s="6"/>
      <c r="C293" s="7" t="str">
        <f t="shared" si="4"/>
        <v/>
      </c>
      <c r="D293" s="7" t="s">
        <v>522</v>
      </c>
      <c r="E293" s="7" t="str">
        <f>SUMIFS(Transaksi!J:J, Transaksi!E:E, $C293, Transaksi!F:F, "Barang Datang")+SUMIFS(Transaksi!J:J, Transaksi!E:E,$C293,Transaksi!F:F,"Retur Penjualan")</f>
        <v>0</v>
      </c>
      <c r="F293" s="7" t="str">
        <f>SUMIFS(Transaksi!K:K, Transaksi!E:E, $C293, Transaksi!F:F, "Barang Datang")
+
SUMIFS(Transaksi!K:K, Transaksi!E:E, $C293, Transaksi!F:F, "Retur penjualan")+SUMIFS(Transaksi!K:K, Transaksi!E:E, $C293, Transaksi!F:F,"Rusak Internal")</f>
        <v>0</v>
      </c>
      <c r="G293" s="7" t="str">
        <f>SUMIFS(Transaksi!I:I, Transaksi!E:E, $C293, Transaksi!F:F, "Terjual")
+
SUMIFS(Transaksi!J:J, Transaksi!E:E, $C293, Transaksi!F:F, "Retur Pembelian")+SUMIFS(Transaksi!I:I, Transaksi!E:E, $C293, Transaksi!F:F, "Dipakai Sendiri")</f>
        <v>0</v>
      </c>
      <c r="H293" s="15" t="str">
        <f t="shared" si="2"/>
        <v/>
      </c>
      <c r="I293" s="15" t="str">
        <f t="shared" si="3"/>
        <v/>
      </c>
      <c r="J293" s="7"/>
      <c r="K293" s="7" t="str">
        <f t="shared" si="5"/>
        <v/>
      </c>
    </row>
    <row r="294" ht="15.75" customHeight="1">
      <c r="A294" s="5" t="str">
        <f t="shared" si="1"/>
        <v/>
      </c>
      <c r="B294" s="6"/>
      <c r="C294" s="7" t="str">
        <f t="shared" si="4"/>
        <v/>
      </c>
      <c r="D294" s="7" t="s">
        <v>522</v>
      </c>
      <c r="E294" s="7" t="str">
        <f>SUMIFS(Transaksi!J:J, Transaksi!E:E, $C294, Transaksi!F:F, "Barang Datang")+SUMIFS(Transaksi!J:J, Transaksi!E:E,$C294,Transaksi!F:F,"Retur Penjualan")</f>
        <v>0</v>
      </c>
      <c r="F294" s="7" t="str">
        <f>SUMIFS(Transaksi!K:K, Transaksi!E:E, $C294, Transaksi!F:F, "Barang Datang")
+
SUMIFS(Transaksi!K:K, Transaksi!E:E, $C294, Transaksi!F:F, "Retur penjualan")+SUMIFS(Transaksi!K:K, Transaksi!E:E, $C294, Transaksi!F:F,"Rusak Internal")</f>
        <v>0</v>
      </c>
      <c r="G294" s="7" t="str">
        <f>SUMIFS(Transaksi!I:I, Transaksi!E:E, $C294, Transaksi!F:F, "Terjual")
+
SUMIFS(Transaksi!J:J, Transaksi!E:E, $C294, Transaksi!F:F, "Retur Pembelian")+SUMIFS(Transaksi!I:I, Transaksi!E:E, $C294, Transaksi!F:F, "Dipakai Sendiri")</f>
        <v>0</v>
      </c>
      <c r="H294" s="15" t="str">
        <f t="shared" si="2"/>
        <v/>
      </c>
      <c r="I294" s="15" t="str">
        <f t="shared" si="3"/>
        <v/>
      </c>
      <c r="J294" s="7"/>
      <c r="K294" s="7" t="str">
        <f t="shared" si="5"/>
        <v/>
      </c>
    </row>
    <row r="295" ht="15.75" customHeight="1">
      <c r="A295" s="5" t="str">
        <f t="shared" si="1"/>
        <v/>
      </c>
      <c r="B295" s="6"/>
      <c r="C295" s="7" t="str">
        <f t="shared" si="4"/>
        <v/>
      </c>
      <c r="D295" s="7"/>
      <c r="E295" s="7" t="str">
        <f>SUMIFS(Transaksi!J:J, Transaksi!E:E, $C295, Transaksi!F:F, "Barang Datang")+SUMIFS(Transaksi!J:J, Transaksi!E:E,$C295,Transaksi!F:F,"Retur Penjualan")</f>
        <v>0</v>
      </c>
      <c r="F295" s="7" t="str">
        <f>SUMIFS(Transaksi!K:K, Transaksi!E:E, $C295, Transaksi!F:F, "Barang Datang")
+
SUMIFS(Transaksi!K:K, Transaksi!E:E, $C295, Transaksi!F:F, "Retur penjualan")+SUMIFS(Transaksi!K:K, Transaksi!E:E, $C295, Transaksi!F:F,"Rusak Internal")</f>
        <v>0</v>
      </c>
      <c r="G295" s="7" t="str">
        <f>SUMIFS(Transaksi!I:I, Transaksi!E:E, $C295, Transaksi!F:F, "Terjual")
+
SUMIFS(Transaksi!J:J, Transaksi!E:E, $C295, Transaksi!F:F, "Retur Pembelian")+SUMIFS(Transaksi!I:I, Transaksi!E:E, $C295, Transaksi!F:F, "Dipakai Sendiri")</f>
        <v>0</v>
      </c>
      <c r="H295" s="15" t="str">
        <f t="shared" si="2"/>
        <v/>
      </c>
      <c r="I295" s="15" t="str">
        <f t="shared" si="3"/>
        <v/>
      </c>
      <c r="J295" s="7"/>
      <c r="K295" s="7" t="str">
        <f t="shared" si="5"/>
        <v/>
      </c>
    </row>
    <row r="296" ht="15.75" customHeight="1">
      <c r="A296" s="5" t="str">
        <f t="shared" si="1"/>
        <v/>
      </c>
      <c r="B296" s="6"/>
      <c r="C296" s="7" t="str">
        <f t="shared" si="4"/>
        <v/>
      </c>
      <c r="D296" s="7"/>
      <c r="E296" s="7" t="str">
        <f>SUMIFS(Transaksi!J:J, Transaksi!E:E, $C296, Transaksi!F:F, "Barang Datang")+SUMIFS(Transaksi!J:J, Transaksi!E:E,$C296,Transaksi!F:F,"Retur Penjualan")</f>
        <v>0</v>
      </c>
      <c r="F296" s="7" t="str">
        <f>SUMIFS(Transaksi!K:K, Transaksi!E:E, $C296, Transaksi!F:F, "Barang Datang")
+
SUMIFS(Transaksi!K:K, Transaksi!E:E, $C296, Transaksi!F:F, "Retur penjualan")+SUMIFS(Transaksi!K:K, Transaksi!E:E, $C296, Transaksi!F:F,"Rusak Internal")</f>
        <v>0</v>
      </c>
      <c r="G296" s="7" t="str">
        <f>SUMIFS(Transaksi!I:I, Transaksi!E:E, $C296, Transaksi!F:F, "Terjual")
+
SUMIFS(Transaksi!J:J, Transaksi!E:E, $C296, Transaksi!F:F, "Retur Pembelian")+SUMIFS(Transaksi!I:I, Transaksi!E:E, $C296, Transaksi!F:F, "Dipakai Sendiri")</f>
        <v>0</v>
      </c>
      <c r="H296" s="15" t="str">
        <f t="shared" si="2"/>
        <v/>
      </c>
      <c r="I296" s="15" t="str">
        <f t="shared" si="3"/>
        <v/>
      </c>
      <c r="J296" s="7"/>
      <c r="K296" s="7"/>
    </row>
    <row r="297" ht="15.75" customHeight="1">
      <c r="A297" s="5" t="str">
        <f t="shared" si="1"/>
        <v/>
      </c>
      <c r="B297" s="6"/>
      <c r="C297" s="7" t="str">
        <f t="shared" si="4"/>
        <v/>
      </c>
      <c r="D297" s="7"/>
      <c r="E297" s="7" t="str">
        <f>SUMIFS(Transaksi!J:J, Transaksi!E:E, $C297, Transaksi!F:F, "Barang Datang")+SUMIFS(Transaksi!J:J, Transaksi!E:E,$C297,Transaksi!F:F,"Retur Penjualan")</f>
        <v>0</v>
      </c>
      <c r="F297" s="7" t="str">
        <f>SUMIFS(Transaksi!K:K, Transaksi!E:E, $C297, Transaksi!F:F, "Barang Datang")
+
SUMIFS(Transaksi!K:K, Transaksi!E:E, $C297, Transaksi!F:F, "Retur penjualan")+SUMIFS(Transaksi!K:K, Transaksi!E:E, $C297, Transaksi!F:F,"Rusak Internal")</f>
        <v>0</v>
      </c>
      <c r="G297" s="7" t="str">
        <f>SUMIFS(Transaksi!I:I, Transaksi!E:E, $C297, Transaksi!F:F, "Terjual")
+
SUMIFS(Transaksi!J:J, Transaksi!E:E, $C297, Transaksi!F:F, "Retur Pembelian")+SUMIFS(Transaksi!I:I, Transaksi!E:E, $C297, Transaksi!F:F, "Dipakai Sendiri")</f>
        <v>0</v>
      </c>
      <c r="H297" s="15" t="str">
        <f t="shared" si="2"/>
        <v/>
      </c>
      <c r="I297" s="15" t="str">
        <f t="shared" si="3"/>
        <v/>
      </c>
      <c r="J297" s="7"/>
      <c r="K297" s="7"/>
    </row>
    <row r="298" ht="15.75" customHeight="1">
      <c r="A298" s="5" t="str">
        <f t="shared" si="1"/>
        <v/>
      </c>
      <c r="B298" s="6"/>
      <c r="C298" s="7" t="str">
        <f t="shared" si="4"/>
        <v/>
      </c>
      <c r="D298" s="7"/>
      <c r="E298" s="7" t="str">
        <f>SUMIFS(Transaksi!J:J, Transaksi!E:E, $C298, Transaksi!F:F, "Barang Datang")+SUMIFS(Transaksi!J:J, Transaksi!E:E,$C298,Transaksi!F:F,"Retur Penjualan")</f>
        <v>0</v>
      </c>
      <c r="F298" s="7" t="str">
        <f>SUMIFS(Transaksi!K:K, Transaksi!E:E, $C298, Transaksi!F:F, "Barang Datang")
+
SUMIFS(Transaksi!K:K, Transaksi!E:E, $C298, Transaksi!F:F, "Retur penjualan")+SUMIFS(Transaksi!K:K, Transaksi!E:E, $C298, Transaksi!F:F,"Rusak Internal")</f>
        <v>0</v>
      </c>
      <c r="G298" s="7" t="str">
        <f>SUMIFS(Transaksi!I:I, Transaksi!E:E, $C298, Transaksi!F:F, "Terjual")
+
SUMIFS(Transaksi!J:J, Transaksi!E:E, $C298, Transaksi!F:F, "Retur Pembelian")+SUMIFS(Transaksi!I:I, Transaksi!E:E, $C298, Transaksi!F:F, "Dipakai Sendiri")</f>
        <v>0</v>
      </c>
      <c r="H298" s="15" t="str">
        <f t="shared" si="2"/>
        <v/>
      </c>
      <c r="I298" s="15" t="str">
        <f t="shared" si="3"/>
        <v/>
      </c>
      <c r="J298" s="7"/>
      <c r="K298" s="7"/>
    </row>
    <row r="299" ht="15.75" customHeight="1">
      <c r="A299" s="5" t="str">
        <f t="shared" si="1"/>
        <v/>
      </c>
      <c r="B299" s="6"/>
      <c r="C299" s="7" t="str">
        <f t="shared" si="4"/>
        <v/>
      </c>
      <c r="D299" s="7"/>
      <c r="E299" s="7" t="str">
        <f>SUMIFS(Transaksi!J:J, Transaksi!E:E, $C299, Transaksi!F:F, "Barang Datang")+SUMIFS(Transaksi!J:J, Transaksi!E:E,$C299,Transaksi!F:F,"Retur Penjualan")</f>
        <v>0</v>
      </c>
      <c r="F299" s="7" t="str">
        <f>SUMIFS(Transaksi!K:K, Transaksi!E:E, $C299, Transaksi!F:F, "Barang Datang")
+
SUMIFS(Transaksi!K:K, Transaksi!E:E, $C299, Transaksi!F:F, "Retur penjualan")+SUMIFS(Transaksi!K:K, Transaksi!E:E, $C299, Transaksi!F:F,"Rusak Internal")</f>
        <v>0</v>
      </c>
      <c r="G299" s="7" t="str">
        <f>SUMIFS(Transaksi!I:I, Transaksi!E:E, $C299, Transaksi!F:F, "Terjual")
+
SUMIFS(Transaksi!J:J, Transaksi!E:E, $C299, Transaksi!F:F, "Retur Pembelian")+SUMIFS(Transaksi!I:I, Transaksi!E:E, $C299, Transaksi!F:F, "Dipakai Sendiri")</f>
        <v>0</v>
      </c>
      <c r="H299" s="15" t="str">
        <f t="shared" si="2"/>
        <v/>
      </c>
      <c r="I299" s="15" t="str">
        <f t="shared" si="3"/>
        <v/>
      </c>
      <c r="J299" s="7"/>
      <c r="K299" s="7"/>
    </row>
    <row r="300" ht="15.75" customHeight="1">
      <c r="A300" s="5" t="str">
        <f t="shared" si="1"/>
        <v/>
      </c>
      <c r="B300" s="6"/>
      <c r="C300" s="7" t="str">
        <f t="shared" si="4"/>
        <v/>
      </c>
      <c r="D300" s="7"/>
      <c r="E300" s="7" t="str">
        <f>SUMIFS(Transaksi!J:J, Transaksi!E:E, $C300, Transaksi!F:F, "Barang Datang")+SUMIFS(Transaksi!J:J, Transaksi!E:E,$C300,Transaksi!F:F,"Retur Penjualan")</f>
        <v>0</v>
      </c>
      <c r="F300" s="7" t="str">
        <f>SUMIFS(Transaksi!K:K, Transaksi!E:E, $C300, Transaksi!F:F, "Barang Datang")
+
SUMIFS(Transaksi!K:K, Transaksi!E:E, $C300, Transaksi!F:F, "Retur penjualan")+SUMIFS(Transaksi!K:K, Transaksi!E:E, $C300, Transaksi!F:F,"Rusak Internal")</f>
        <v>0</v>
      </c>
      <c r="G300" s="7" t="str">
        <f>SUMIFS(Transaksi!I:I, Transaksi!E:E, $C300, Transaksi!F:F, "Terjual")
+
SUMIFS(Transaksi!J:J, Transaksi!E:E, $C300, Transaksi!F:F, "Retur Pembelian")+SUMIFS(Transaksi!I:I, Transaksi!E:E, $C300, Transaksi!F:F, "Dipakai Sendiri")</f>
        <v>0</v>
      </c>
      <c r="H300" s="15" t="str">
        <f t="shared" si="2"/>
        <v/>
      </c>
      <c r="I300" s="15" t="str">
        <f t="shared" si="3"/>
        <v/>
      </c>
      <c r="J300" s="7"/>
      <c r="K300" s="7"/>
    </row>
    <row r="301" ht="15.75" customHeight="1">
      <c r="A301" s="5" t="str">
        <f t="shared" si="1"/>
        <v/>
      </c>
      <c r="B301" s="6"/>
      <c r="C301" s="7" t="str">
        <f t="shared" si="4"/>
        <v/>
      </c>
      <c r="D301" s="7"/>
      <c r="E301" s="7" t="str">
        <f>SUMIFS(Transaksi!J:J, Transaksi!E:E, $C301, Transaksi!F:F, "Barang Datang")+SUMIFS(Transaksi!J:J, Transaksi!E:E,$C301,Transaksi!F:F,"Retur Penjualan")</f>
        <v>0</v>
      </c>
      <c r="F301" s="7" t="str">
        <f>SUMIFS(Transaksi!K:K, Transaksi!E:E, $C301, Transaksi!F:F, "Barang Datang")
+
SUMIFS(Transaksi!K:K, Transaksi!E:E, $C301, Transaksi!F:F, "Retur penjualan")+SUMIFS(Transaksi!K:K, Transaksi!E:E, $C301, Transaksi!F:F,"Rusak Internal")</f>
        <v>0</v>
      </c>
      <c r="G301" s="7" t="str">
        <f>SUMIFS(Transaksi!I:I, Transaksi!E:E, $C301, Transaksi!F:F, "Terjual")
+
SUMIFS(Transaksi!J:J, Transaksi!E:E, $C301, Transaksi!F:F, "Retur Pembelian")+SUMIFS(Transaksi!I:I, Transaksi!E:E, $C301, Transaksi!F:F, "Dipakai Sendiri")</f>
        <v>0</v>
      </c>
      <c r="H301" s="15" t="str">
        <f t="shared" si="2"/>
        <v/>
      </c>
      <c r="I301" s="15" t="str">
        <f t="shared" si="3"/>
        <v/>
      </c>
      <c r="J301" s="7"/>
      <c r="K301" s="7"/>
    </row>
    <row r="302" ht="15.75" customHeight="1">
      <c r="A302" s="5" t="str">
        <f t="shared" si="1"/>
        <v/>
      </c>
      <c r="B302" s="6"/>
      <c r="C302" s="7" t="str">
        <f t="shared" si="4"/>
        <v/>
      </c>
      <c r="D302" s="7"/>
      <c r="E302" s="7" t="str">
        <f>SUMIFS(Transaksi!J:J, Transaksi!E:E, $C302, Transaksi!F:F, "Barang Datang")+SUMIFS(Transaksi!J:J, Transaksi!E:E,$C302,Transaksi!F:F,"Retur Penjualan")</f>
        <v>0</v>
      </c>
      <c r="F302" s="7" t="str">
        <f>SUMIFS(Transaksi!K:K, Transaksi!E:E, $C302, Transaksi!F:F, "Barang Datang")
+
SUMIFS(Transaksi!K:K, Transaksi!E:E, $C302, Transaksi!F:F, "Retur penjualan")+SUMIFS(Transaksi!K:K, Transaksi!E:E, $C302, Transaksi!F:F,"Rusak Internal")</f>
        <v>0</v>
      </c>
      <c r="G302" s="7" t="str">
        <f>SUMIFS(Transaksi!I:I, Transaksi!E:E, $C302, Transaksi!F:F, "Terjual")
+
SUMIFS(Transaksi!J:J, Transaksi!E:E, $C302, Transaksi!F:F, "Retur Pembelian")+SUMIFS(Transaksi!I:I, Transaksi!E:E, $C302, Transaksi!F:F, "Dipakai Sendiri")</f>
        <v>0</v>
      </c>
      <c r="H302" s="15" t="str">
        <f t="shared" si="2"/>
        <v/>
      </c>
      <c r="I302" s="15" t="str">
        <f t="shared" si="3"/>
        <v/>
      </c>
      <c r="J302" s="7"/>
      <c r="K302" s="7"/>
    </row>
    <row r="303" ht="15.75" customHeight="1">
      <c r="A303" s="5" t="str">
        <f t="shared" si="1"/>
        <v/>
      </c>
      <c r="B303" s="6"/>
      <c r="C303" s="7" t="str">
        <f t="shared" si="4"/>
        <v/>
      </c>
      <c r="D303" s="7"/>
      <c r="E303" s="7" t="str">
        <f>SUMIFS(Transaksi!J:J, Transaksi!E:E, $C303, Transaksi!F:F, "Barang Datang")+SUMIFS(Transaksi!J:J, Transaksi!E:E,$C303,Transaksi!F:F,"Retur Penjualan")</f>
        <v>0</v>
      </c>
      <c r="F303" s="7" t="str">
        <f>SUMIFS(Transaksi!K:K, Transaksi!E:E, $C303, Transaksi!F:F, "Barang Datang")
+
SUMIFS(Transaksi!K:K, Transaksi!E:E, $C303, Transaksi!F:F, "Retur penjualan")+SUMIFS(Transaksi!K:K, Transaksi!E:E, $C303, Transaksi!F:F,"Rusak Internal")</f>
        <v>0</v>
      </c>
      <c r="G303" s="7" t="str">
        <f>SUMIFS(Transaksi!I:I, Transaksi!E:E, $C303, Transaksi!F:F, "Terjual")
+
SUMIFS(Transaksi!J:J, Transaksi!E:E, $C303, Transaksi!F:F, "Retur Pembelian")+SUMIFS(Transaksi!I:I, Transaksi!E:E, $C303, Transaksi!F:F, "Dipakai Sendiri")</f>
        <v>0</v>
      </c>
      <c r="H303" s="15" t="str">
        <f t="shared" si="2"/>
        <v/>
      </c>
      <c r="I303" s="15" t="str">
        <f t="shared" si="3"/>
        <v/>
      </c>
      <c r="J303" s="7"/>
      <c r="K303" s="7"/>
    </row>
    <row r="304" ht="15.75" customHeight="1">
      <c r="A304" s="5" t="str">
        <f t="shared" si="1"/>
        <v/>
      </c>
      <c r="B304" s="6"/>
      <c r="C304" s="7" t="str">
        <f t="shared" si="4"/>
        <v/>
      </c>
      <c r="D304" s="7"/>
      <c r="E304" s="7" t="str">
        <f>SUMIFS(Transaksi!J:J, Transaksi!E:E, $C304, Transaksi!F:F, "Barang Datang")+SUMIFS(Transaksi!J:J, Transaksi!E:E,$C304,Transaksi!F:F,"Retur Penjualan")</f>
        <v>0</v>
      </c>
      <c r="F304" s="7" t="str">
        <f>SUMIFS(Transaksi!K:K, Transaksi!E:E, $C304, Transaksi!F:F, "Barang Datang")
+
SUMIFS(Transaksi!K:K, Transaksi!E:E, $C304, Transaksi!F:F, "Retur penjualan")+SUMIFS(Transaksi!K:K, Transaksi!E:E, $C304, Transaksi!F:F,"Rusak Internal")</f>
        <v>0</v>
      </c>
      <c r="G304" s="7" t="str">
        <f>SUMIFS(Transaksi!I:I, Transaksi!E:E, $C304, Transaksi!F:F, "Terjual")
+
SUMIFS(Transaksi!J:J, Transaksi!E:E, $C304, Transaksi!F:F, "Retur Pembelian")+SUMIFS(Transaksi!I:I, Transaksi!E:E, $C304, Transaksi!F:F, "Dipakai Sendiri")</f>
        <v>0</v>
      </c>
      <c r="H304" s="15" t="str">
        <f t="shared" si="2"/>
        <v/>
      </c>
      <c r="I304" s="15" t="str">
        <f t="shared" si="3"/>
        <v/>
      </c>
      <c r="J304" s="7"/>
      <c r="K304" s="7"/>
    </row>
    <row r="305" ht="15.75" customHeight="1">
      <c r="A305" s="5" t="str">
        <f t="shared" si="1"/>
        <v/>
      </c>
      <c r="B305" s="6"/>
      <c r="C305" s="7" t="str">
        <f t="shared" si="4"/>
        <v/>
      </c>
      <c r="D305" s="7"/>
      <c r="E305" s="7" t="str">
        <f>SUMIFS(Transaksi!J:J, Transaksi!E:E, $C305, Transaksi!F:F, "Barang Datang")+SUMIFS(Transaksi!J:J, Transaksi!E:E,$C305,Transaksi!F:F,"Retur Penjualan")</f>
        <v>0</v>
      </c>
      <c r="F305" s="7" t="str">
        <f>SUMIFS(Transaksi!K:K, Transaksi!E:E, $C305, Transaksi!F:F, "Barang Datang")
+
SUMIFS(Transaksi!K:K, Transaksi!E:E, $C305, Transaksi!F:F, "Retur penjualan")+SUMIFS(Transaksi!K:K, Transaksi!E:E, $C305, Transaksi!F:F,"Rusak Internal")</f>
        <v>0</v>
      </c>
      <c r="G305" s="7" t="str">
        <f>SUMIFS(Transaksi!I:I, Transaksi!E:E, $C305, Transaksi!F:F, "Terjual")
+
SUMIFS(Transaksi!J:J, Transaksi!E:E, $C305, Transaksi!F:F, "Retur Pembelian")+SUMIFS(Transaksi!I:I, Transaksi!E:E, $C305, Transaksi!F:F, "Dipakai Sendiri")</f>
        <v>0</v>
      </c>
      <c r="H305" s="15" t="str">
        <f t="shared" si="2"/>
        <v/>
      </c>
      <c r="I305" s="15" t="str">
        <f t="shared" si="3"/>
        <v/>
      </c>
      <c r="J305" s="7"/>
      <c r="K305" s="7"/>
    </row>
    <row r="306" ht="15.75" customHeight="1">
      <c r="A306" s="5" t="str">
        <f t="shared" si="1"/>
        <v/>
      </c>
      <c r="B306" s="6"/>
      <c r="C306" s="7" t="str">
        <f t="shared" si="4"/>
        <v/>
      </c>
      <c r="D306" s="7"/>
      <c r="E306" s="7" t="str">
        <f>SUMIFS(Transaksi!J:J, Transaksi!E:E, $C306, Transaksi!F:F, "Barang Datang")+SUMIFS(Transaksi!J:J, Transaksi!E:E,$C306,Transaksi!F:F,"Retur Penjualan")</f>
        <v>0</v>
      </c>
      <c r="F306" s="7" t="str">
        <f>SUMIFS(Transaksi!K:K, Transaksi!E:E, $C306, Transaksi!F:F, "Barang Datang")
+
SUMIFS(Transaksi!K:K, Transaksi!E:E, $C306, Transaksi!F:F, "Retur penjualan")+SUMIFS(Transaksi!K:K, Transaksi!E:E, $C306, Transaksi!F:F,"Rusak Internal")</f>
        <v>0</v>
      </c>
      <c r="G306" s="7" t="str">
        <f>SUMIFS(Transaksi!I:I, Transaksi!E:E, $C306, Transaksi!F:F, "Terjual")
+
SUMIFS(Transaksi!J:J, Transaksi!E:E, $C306, Transaksi!F:F, "Retur Pembelian")+SUMIFS(Transaksi!I:I, Transaksi!E:E, $C306, Transaksi!F:F, "Dipakai Sendiri")</f>
        <v>0</v>
      </c>
      <c r="H306" s="15" t="str">
        <f t="shared" si="2"/>
        <v/>
      </c>
      <c r="I306" s="15" t="str">
        <f t="shared" si="3"/>
        <v/>
      </c>
      <c r="J306" s="7"/>
      <c r="K306" s="7"/>
    </row>
    <row r="307" ht="15.75" customHeight="1">
      <c r="A307" s="5" t="str">
        <f t="shared" si="1"/>
        <v/>
      </c>
      <c r="B307" s="6"/>
      <c r="C307" s="7" t="str">
        <f t="shared" si="4"/>
        <v/>
      </c>
      <c r="D307" s="7"/>
      <c r="E307" s="7" t="str">
        <f>SUMIFS(Transaksi!J:J, Transaksi!E:E, $C307, Transaksi!F:F, "Barang Datang")+SUMIFS(Transaksi!J:J, Transaksi!E:E,$C307,Transaksi!F:F,"Retur Penjualan")</f>
        <v>0</v>
      </c>
      <c r="F307" s="7" t="str">
        <f>SUMIFS(Transaksi!K:K, Transaksi!E:E, $C307, Transaksi!F:F, "Barang Datang")
+
SUMIFS(Transaksi!K:K, Transaksi!E:E, $C307, Transaksi!F:F, "Retur penjualan")+SUMIFS(Transaksi!K:K, Transaksi!E:E, $C307, Transaksi!F:F,"Rusak Internal")</f>
        <v>0</v>
      </c>
      <c r="G307" s="7" t="str">
        <f>SUMIFS(Transaksi!I:I, Transaksi!E:E, $C307, Transaksi!F:F, "Terjual")
+
SUMIFS(Transaksi!J:J, Transaksi!E:E, $C307, Transaksi!F:F, "Retur Pembelian")+SUMIFS(Transaksi!I:I, Transaksi!E:E, $C307, Transaksi!F:F, "Dipakai Sendiri")</f>
        <v>0</v>
      </c>
      <c r="H307" s="15" t="str">
        <f t="shared" si="2"/>
        <v/>
      </c>
      <c r="I307" s="15" t="str">
        <f t="shared" si="3"/>
        <v/>
      </c>
      <c r="J307" s="7"/>
      <c r="K307" s="7"/>
    </row>
    <row r="308" ht="15.75" customHeight="1">
      <c r="A308" s="5" t="str">
        <f t="shared" si="1"/>
        <v/>
      </c>
      <c r="B308" s="6"/>
      <c r="C308" s="7" t="str">
        <f t="shared" si="4"/>
        <v/>
      </c>
      <c r="D308" s="7"/>
      <c r="E308" s="7" t="str">
        <f>SUMIFS(Transaksi!J:J, Transaksi!E:E, $C308, Transaksi!F:F, "Barang Datang")+SUMIFS(Transaksi!J:J, Transaksi!E:E,$C308,Transaksi!F:F,"Retur Penjualan")</f>
        <v>0</v>
      </c>
      <c r="F308" s="7" t="str">
        <f>SUMIFS(Transaksi!K:K, Transaksi!E:E, $C308, Transaksi!F:F, "Barang Datang")
+
SUMIFS(Transaksi!K:K, Transaksi!E:E, $C308, Transaksi!F:F, "Retur penjualan")+SUMIFS(Transaksi!K:K, Transaksi!E:E, $C308, Transaksi!F:F,"Rusak Internal")</f>
        <v>0</v>
      </c>
      <c r="G308" s="7" t="str">
        <f>SUMIFS(Transaksi!I:I, Transaksi!E:E, $C308, Transaksi!F:F, "Terjual")
+
SUMIFS(Transaksi!J:J, Transaksi!E:E, $C308, Transaksi!F:F, "Retur Pembelian")+SUMIFS(Transaksi!I:I, Transaksi!E:E, $C308, Transaksi!F:F, "Dipakai Sendiri")</f>
        <v>0</v>
      </c>
      <c r="H308" s="15" t="str">
        <f t="shared" si="2"/>
        <v/>
      </c>
      <c r="I308" s="15" t="str">
        <f t="shared" si="3"/>
        <v/>
      </c>
      <c r="J308" s="7"/>
      <c r="K308" s="7"/>
    </row>
    <row r="309" ht="15.75" customHeight="1">
      <c r="A309" s="5" t="str">
        <f t="shared" si="1"/>
        <v/>
      </c>
      <c r="B309" s="6"/>
      <c r="C309" s="7" t="str">
        <f t="shared" si="4"/>
        <v/>
      </c>
      <c r="D309" s="7"/>
      <c r="E309" s="7" t="str">
        <f>SUMIFS(Transaksi!J:J, Transaksi!E:E, $C309, Transaksi!F:F, "Barang Datang")+SUMIFS(Transaksi!J:J, Transaksi!E:E,$C309,Transaksi!F:F,"Retur Penjualan")</f>
        <v>0</v>
      </c>
      <c r="F309" s="7" t="str">
        <f>SUMIFS(Transaksi!K:K, Transaksi!E:E, $C309, Transaksi!F:F, "Barang Datang")
+
SUMIFS(Transaksi!K:K, Transaksi!E:E, $C309, Transaksi!F:F, "Retur penjualan")+SUMIFS(Transaksi!K:K, Transaksi!E:E, $C309, Transaksi!F:F,"Rusak Internal")</f>
        <v>0</v>
      </c>
      <c r="G309" s="7" t="str">
        <f>SUMIFS(Transaksi!I:I, Transaksi!E:E, $C309, Transaksi!F:F, "Terjual")
+
SUMIFS(Transaksi!J:J, Transaksi!E:E, $C309, Transaksi!F:F, "Retur Pembelian")+SUMIFS(Transaksi!I:I, Transaksi!E:E, $C309, Transaksi!F:F, "Dipakai Sendiri")</f>
        <v>0</v>
      </c>
      <c r="H309" s="15" t="str">
        <f t="shared" si="2"/>
        <v/>
      </c>
      <c r="I309" s="15" t="str">
        <f t="shared" si="3"/>
        <v/>
      </c>
      <c r="J309" s="7"/>
      <c r="K309" s="7"/>
    </row>
    <row r="310" ht="15.75" customHeight="1">
      <c r="A310" s="5" t="str">
        <f t="shared" si="1"/>
        <v/>
      </c>
      <c r="B310" s="6"/>
      <c r="C310" s="7" t="str">
        <f t="shared" si="4"/>
        <v/>
      </c>
      <c r="D310" s="7"/>
      <c r="E310" s="7" t="str">
        <f>SUMIFS(Transaksi!J:J, Transaksi!E:E, $C310, Transaksi!F:F, "Barang Datang")+SUMIFS(Transaksi!J:J, Transaksi!E:E,$C310,Transaksi!F:F,"Retur Penjualan")</f>
        <v>0</v>
      </c>
      <c r="F310" s="7" t="str">
        <f>SUMIFS(Transaksi!K:K, Transaksi!E:E, $C310, Transaksi!F:F, "Barang Datang")
+
SUMIFS(Transaksi!K:K, Transaksi!E:E, $C310, Transaksi!F:F, "Retur penjualan")+SUMIFS(Transaksi!K:K, Transaksi!E:E, $C310, Transaksi!F:F,"Rusak Internal")</f>
        <v>0</v>
      </c>
      <c r="G310" s="7" t="str">
        <f>SUMIFS(Transaksi!I:I, Transaksi!E:E, $C310, Transaksi!F:F, "Terjual")
+
SUMIFS(Transaksi!J:J, Transaksi!E:E, $C310, Transaksi!F:F, "Retur Pembelian")+SUMIFS(Transaksi!I:I, Transaksi!E:E, $C310, Transaksi!F:F, "Dipakai Sendiri")</f>
        <v>0</v>
      </c>
      <c r="H310" s="15" t="str">
        <f t="shared" si="2"/>
        <v/>
      </c>
      <c r="I310" s="15" t="str">
        <f t="shared" si="3"/>
        <v/>
      </c>
      <c r="J310" s="7"/>
      <c r="K310" s="7"/>
    </row>
    <row r="311" ht="15.75" customHeight="1">
      <c r="A311" s="5" t="str">
        <f t="shared" si="1"/>
        <v/>
      </c>
      <c r="B311" s="6"/>
      <c r="C311" s="7" t="str">
        <f t="shared" si="4"/>
        <v/>
      </c>
      <c r="D311" s="7"/>
      <c r="E311" s="7" t="str">
        <f>SUMIFS(Transaksi!J:J, Transaksi!E:E, $C311, Transaksi!F:F, "Barang Datang")+SUMIFS(Transaksi!J:J, Transaksi!E:E,$C311,Transaksi!F:F,"Retur Penjualan")</f>
        <v>0</v>
      </c>
      <c r="F311" s="7" t="str">
        <f>SUMIFS(Transaksi!K:K, Transaksi!E:E, $C311, Transaksi!F:F, "Barang Datang")
+
SUMIFS(Transaksi!K:K, Transaksi!E:E, $C311, Transaksi!F:F, "Retur penjualan")+SUMIFS(Transaksi!K:K, Transaksi!E:E, $C311, Transaksi!F:F,"Rusak Internal")</f>
        <v>0</v>
      </c>
      <c r="G311" s="7" t="str">
        <f>SUMIFS(Transaksi!I:I, Transaksi!E:E, $C311, Transaksi!F:F, "Terjual")
+
SUMIFS(Transaksi!J:J, Transaksi!E:E, $C311, Transaksi!F:F, "Retur Pembelian")+SUMIFS(Transaksi!I:I, Transaksi!E:E, $C311, Transaksi!F:F, "Dipakai Sendiri")</f>
        <v>0</v>
      </c>
      <c r="H311" s="15" t="str">
        <f t="shared" si="2"/>
        <v/>
      </c>
      <c r="I311" s="15" t="str">
        <f t="shared" si="3"/>
        <v/>
      </c>
      <c r="J311" s="7"/>
      <c r="K311" s="7"/>
    </row>
    <row r="312" ht="15.75" customHeight="1">
      <c r="A312" s="5" t="str">
        <f t="shared" si="1"/>
        <v/>
      </c>
      <c r="B312" s="6"/>
      <c r="C312" s="7" t="str">
        <f t="shared" si="4"/>
        <v/>
      </c>
      <c r="D312" s="7"/>
      <c r="E312" s="7" t="str">
        <f>SUMIFS(Transaksi!J:J, Transaksi!E:E, $C312, Transaksi!F:F, "Barang Datang")+SUMIFS(Transaksi!J:J, Transaksi!E:E,$C312,Transaksi!F:F,"Retur Penjualan")</f>
        <v>0</v>
      </c>
      <c r="F312" s="7" t="str">
        <f>SUMIFS(Transaksi!K:K, Transaksi!E:E, $C312, Transaksi!F:F, "Barang Datang")
+
SUMIFS(Transaksi!K:K, Transaksi!E:E, $C312, Transaksi!F:F, "Retur penjualan")+SUMIFS(Transaksi!K:K, Transaksi!E:E, $C312, Transaksi!F:F,"Rusak Internal")</f>
        <v>0</v>
      </c>
      <c r="G312" s="7" t="str">
        <f>SUMIFS(Transaksi!I:I, Transaksi!E:E, $C312, Transaksi!F:F, "Terjual")
+
SUMIFS(Transaksi!J:J, Transaksi!E:E, $C312, Transaksi!F:F, "Retur Pembelian")+SUMIFS(Transaksi!I:I, Transaksi!E:E, $C312, Transaksi!F:F, "Dipakai Sendiri")</f>
        <v>0</v>
      </c>
      <c r="H312" s="15" t="str">
        <f t="shared" si="2"/>
        <v/>
      </c>
      <c r="I312" s="15" t="str">
        <f t="shared" si="3"/>
        <v/>
      </c>
      <c r="J312" s="7"/>
      <c r="K312" s="7"/>
    </row>
    <row r="313" ht="15.75" customHeight="1">
      <c r="A313" s="5" t="str">
        <f t="shared" si="1"/>
        <v/>
      </c>
      <c r="B313" s="6"/>
      <c r="C313" s="7" t="str">
        <f t="shared" si="4"/>
        <v/>
      </c>
      <c r="D313" s="7"/>
      <c r="E313" s="7" t="str">
        <f>SUMIFS(Transaksi!J:J, Transaksi!E:E, $C313, Transaksi!F:F, "Barang Datang")+SUMIFS(Transaksi!J:J, Transaksi!E:E,$C313,Transaksi!F:F,"Retur Penjualan")</f>
        <v>0</v>
      </c>
      <c r="F313" s="7" t="str">
        <f>SUMIFS(Transaksi!K:K, Transaksi!E:E, $C313, Transaksi!F:F, "Barang Datang")
+
SUMIFS(Transaksi!K:K, Transaksi!E:E, $C313, Transaksi!F:F, "Retur penjualan")+SUMIFS(Transaksi!K:K, Transaksi!E:E, $C313, Transaksi!F:F,"Rusak Internal")</f>
        <v>0</v>
      </c>
      <c r="G313" s="7" t="str">
        <f>SUMIFS(Transaksi!I:I, Transaksi!E:E, $C313, Transaksi!F:F, "Terjual")
+
SUMIFS(Transaksi!J:J, Transaksi!E:E, $C313, Transaksi!F:F, "Retur Pembelian")+SUMIFS(Transaksi!I:I, Transaksi!E:E, $C313, Transaksi!F:F, "Dipakai Sendiri")</f>
        <v>0</v>
      </c>
      <c r="H313" s="15" t="str">
        <f t="shared" si="2"/>
        <v/>
      </c>
      <c r="I313" s="15" t="str">
        <f t="shared" si="3"/>
        <v/>
      </c>
      <c r="J313" s="7"/>
      <c r="K313" s="7"/>
    </row>
    <row r="314" ht="15.75" customHeight="1">
      <c r="A314" s="5" t="str">
        <f t="shared" si="1"/>
        <v/>
      </c>
      <c r="B314" s="6"/>
      <c r="C314" s="7" t="str">
        <f t="shared" si="4"/>
        <v/>
      </c>
      <c r="D314" s="7"/>
      <c r="E314" s="7" t="str">
        <f>SUMIFS(Transaksi!J:J, Transaksi!E:E, $C314, Transaksi!F:F, "Barang Datang")+SUMIFS(Transaksi!J:J, Transaksi!E:E,$C314,Transaksi!F:F,"Retur Penjualan")</f>
        <v>0</v>
      </c>
      <c r="F314" s="7" t="str">
        <f>SUMIFS(Transaksi!K:K, Transaksi!E:E, $C314, Transaksi!F:F, "Barang Datang")
+
SUMIFS(Transaksi!K:K, Transaksi!E:E, $C314, Transaksi!F:F, "Retur penjualan")+SUMIFS(Transaksi!K:K, Transaksi!E:E, $C314, Transaksi!F:F,"Rusak Internal")</f>
        <v>0</v>
      </c>
      <c r="G314" s="7" t="str">
        <f>SUMIFS(Transaksi!I:I, Transaksi!E:E, $C314, Transaksi!F:F, "Terjual")
+
SUMIFS(Transaksi!J:J, Transaksi!E:E, $C314, Transaksi!F:F, "Retur Pembelian")+SUMIFS(Transaksi!I:I, Transaksi!E:E, $C314, Transaksi!F:F, "Dipakai Sendiri")</f>
        <v>0</v>
      </c>
      <c r="H314" s="15" t="str">
        <f t="shared" si="2"/>
        <v/>
      </c>
      <c r="I314" s="15" t="str">
        <f t="shared" si="3"/>
        <v/>
      </c>
      <c r="J314" s="7"/>
      <c r="K314" s="7"/>
    </row>
    <row r="315" ht="15.75" customHeight="1">
      <c r="A315" s="5" t="str">
        <f t="shared" si="1"/>
        <v/>
      </c>
      <c r="B315" s="6"/>
      <c r="C315" s="7" t="str">
        <f t="shared" si="4"/>
        <v/>
      </c>
      <c r="D315" s="7"/>
      <c r="E315" s="7" t="str">
        <f>SUMIFS(Transaksi!J:J, Transaksi!E:E, $C315, Transaksi!F:F, "Barang Datang")+SUMIFS(Transaksi!J:J, Transaksi!E:E,$C315,Transaksi!F:F,"Retur Penjualan")</f>
        <v>0</v>
      </c>
      <c r="F315" s="7" t="str">
        <f>SUMIFS(Transaksi!K:K, Transaksi!E:E, $C315, Transaksi!F:F, "Barang Datang")
+
SUMIFS(Transaksi!K:K, Transaksi!E:E, $C315, Transaksi!F:F, "Retur penjualan")+SUMIFS(Transaksi!K:K, Transaksi!E:E, $C315, Transaksi!F:F,"Rusak Internal")</f>
        <v>0</v>
      </c>
      <c r="G315" s="7" t="str">
        <f>SUMIFS(Transaksi!I:I, Transaksi!E:E, $C315, Transaksi!F:F, "Terjual")
+
SUMIFS(Transaksi!J:J, Transaksi!E:E, $C315, Transaksi!F:F, "Retur Pembelian")+SUMIFS(Transaksi!I:I, Transaksi!E:E, $C315, Transaksi!F:F, "Dipakai Sendiri")</f>
        <v>0</v>
      </c>
      <c r="H315" s="15" t="str">
        <f t="shared" si="2"/>
        <v/>
      </c>
      <c r="I315" s="15" t="str">
        <f t="shared" si="3"/>
        <v/>
      </c>
      <c r="J315" s="7"/>
      <c r="K315" s="7"/>
    </row>
    <row r="316" ht="15.75" customHeight="1">
      <c r="A316" s="5" t="str">
        <f t="shared" si="1"/>
        <v/>
      </c>
      <c r="B316" s="6"/>
      <c r="C316" s="7" t="str">
        <f t="shared" si="4"/>
        <v/>
      </c>
      <c r="D316" s="7"/>
      <c r="E316" s="7"/>
      <c r="F316" s="7"/>
      <c r="G316" s="7"/>
      <c r="H316" s="15" t="str">
        <f t="shared" si="2"/>
        <v/>
      </c>
      <c r="I316" s="15" t="str">
        <f t="shared" si="3"/>
        <v/>
      </c>
      <c r="J316" s="7"/>
      <c r="K316" s="7"/>
    </row>
    <row r="317" ht="15.75" customHeight="1">
      <c r="A317" s="5" t="str">
        <f t="shared" si="1"/>
        <v/>
      </c>
      <c r="B317" s="6"/>
      <c r="C317" s="7" t="str">
        <f t="shared" si="4"/>
        <v/>
      </c>
      <c r="D317" s="7"/>
      <c r="F317" s="7"/>
      <c r="G317" s="7"/>
      <c r="H317" s="15" t="str">
        <f t="shared" si="2"/>
        <v/>
      </c>
      <c r="I317" s="15" t="str">
        <f t="shared" si="3"/>
        <v/>
      </c>
      <c r="J317" s="7"/>
      <c r="K317" s="7"/>
    </row>
    <row r="318" ht="15.75" customHeight="1">
      <c r="A318" s="5" t="str">
        <f t="shared" si="1"/>
        <v/>
      </c>
      <c r="B318" s="6"/>
      <c r="C318" s="7" t="str">
        <f t="shared" si="4"/>
        <v/>
      </c>
      <c r="D318" s="7"/>
      <c r="G318" s="7"/>
      <c r="H318" s="15" t="str">
        <f t="shared" si="2"/>
        <v/>
      </c>
      <c r="I318" s="15" t="str">
        <f t="shared" si="3"/>
        <v/>
      </c>
      <c r="J318" s="7"/>
      <c r="K318" s="7"/>
    </row>
    <row r="319" ht="15.75" customHeight="1">
      <c r="A319" s="5" t="str">
        <f t="shared" si="1"/>
        <v/>
      </c>
      <c r="B319" s="6"/>
      <c r="C319" s="7" t="str">
        <f t="shared" si="4"/>
        <v/>
      </c>
      <c r="D319" s="7"/>
      <c r="G319" s="7"/>
      <c r="H319" s="15" t="str">
        <f t="shared" si="2"/>
        <v/>
      </c>
      <c r="I319" s="15" t="str">
        <f t="shared" si="3"/>
        <v/>
      </c>
      <c r="J319" s="7"/>
      <c r="K319" s="7"/>
    </row>
    <row r="320" ht="15.75" customHeight="1">
      <c r="A320" s="5" t="str">
        <f t="shared" si="1"/>
        <v/>
      </c>
      <c r="B320" s="6"/>
      <c r="C320" s="7" t="str">
        <f t="shared" si="4"/>
        <v/>
      </c>
      <c r="D320" s="7"/>
      <c r="G320" s="7"/>
      <c r="H320" s="15" t="str">
        <f t="shared" si="2"/>
        <v/>
      </c>
      <c r="I320" s="15" t="str">
        <f t="shared" si="3"/>
        <v/>
      </c>
      <c r="J320" s="7"/>
      <c r="K320" s="7"/>
    </row>
    <row r="321" ht="15.75" customHeight="1">
      <c r="A321" s="5" t="str">
        <f t="shared" si="1"/>
        <v/>
      </c>
      <c r="B321" s="6"/>
      <c r="C321" s="7" t="str">
        <f t="shared" si="4"/>
        <v/>
      </c>
      <c r="D321" s="7"/>
      <c r="G321" s="7"/>
      <c r="H321" s="15" t="str">
        <f t="shared" si="2"/>
        <v/>
      </c>
      <c r="I321" s="15" t="str">
        <f t="shared" si="3"/>
        <v/>
      </c>
      <c r="J321" s="7"/>
      <c r="K321" s="7"/>
    </row>
    <row r="322" ht="15.75" customHeight="1">
      <c r="A322" s="5" t="str">
        <f t="shared" si="1"/>
        <v/>
      </c>
      <c r="B322" s="6"/>
      <c r="C322" s="7" t="str">
        <f t="shared" si="4"/>
        <v/>
      </c>
      <c r="D322" s="7"/>
      <c r="G322" s="7"/>
      <c r="H322" s="15" t="str">
        <f t="shared" si="2"/>
        <v/>
      </c>
      <c r="I322" s="15" t="str">
        <f t="shared" si="3"/>
        <v/>
      </c>
      <c r="J322" s="7"/>
      <c r="K322" s="7"/>
    </row>
    <row r="323" ht="15.75" customHeight="1">
      <c r="A323" s="5" t="str">
        <f t="shared" si="1"/>
        <v/>
      </c>
      <c r="B323" s="6"/>
      <c r="C323" s="7" t="str">
        <f t="shared" si="4"/>
        <v/>
      </c>
      <c r="D323" s="7"/>
      <c r="G323" s="7"/>
      <c r="H323" s="15" t="str">
        <f t="shared" si="2"/>
        <v/>
      </c>
      <c r="I323" s="15" t="str">
        <f t="shared" si="3"/>
        <v/>
      </c>
      <c r="J323" s="7"/>
      <c r="K323" s="7"/>
    </row>
    <row r="324" ht="15.75" customHeight="1">
      <c r="A324" s="5" t="str">
        <f t="shared" si="1"/>
        <v/>
      </c>
      <c r="B324" s="6"/>
      <c r="C324" s="7" t="str">
        <f t="shared" si="4"/>
        <v/>
      </c>
      <c r="D324" s="7"/>
      <c r="G324" s="7"/>
      <c r="H324" s="15" t="str">
        <f t="shared" si="2"/>
        <v/>
      </c>
      <c r="I324" s="15" t="str">
        <f t="shared" si="3"/>
        <v/>
      </c>
      <c r="J324" s="7"/>
      <c r="K324" s="7"/>
    </row>
    <row r="325" ht="15.75" customHeight="1">
      <c r="A325" s="5" t="str">
        <f t="shared" si="1"/>
        <v/>
      </c>
      <c r="B325" s="6"/>
      <c r="C325" s="7" t="str">
        <f t="shared" si="4"/>
        <v/>
      </c>
      <c r="D325" s="7"/>
      <c r="G325" s="7"/>
      <c r="H325" s="15" t="str">
        <f t="shared" si="2"/>
        <v/>
      </c>
      <c r="I325" s="15" t="str">
        <f t="shared" si="3"/>
        <v/>
      </c>
      <c r="J325" s="7"/>
      <c r="K325" s="7"/>
    </row>
    <row r="326" ht="15.75" customHeight="1">
      <c r="A326" s="5" t="str">
        <f t="shared" si="1"/>
        <v/>
      </c>
      <c r="B326" s="6"/>
      <c r="C326" s="7" t="str">
        <f t="shared" si="4"/>
        <v/>
      </c>
      <c r="D326" s="7"/>
      <c r="G326" s="7"/>
      <c r="H326" s="15" t="str">
        <f t="shared" si="2"/>
        <v/>
      </c>
      <c r="I326" s="15" t="str">
        <f t="shared" si="3"/>
        <v/>
      </c>
      <c r="J326" s="7"/>
      <c r="K326" s="7"/>
    </row>
    <row r="327" ht="15.75" customHeight="1">
      <c r="A327" s="5" t="str">
        <f t="shared" si="1"/>
        <v/>
      </c>
      <c r="B327" s="6"/>
      <c r="C327" s="7" t="str">
        <f t="shared" si="4"/>
        <v/>
      </c>
      <c r="D327" s="7"/>
      <c r="G327" s="7"/>
      <c r="H327" s="15" t="str">
        <f t="shared" si="2"/>
        <v/>
      </c>
      <c r="I327" s="15" t="str">
        <f t="shared" si="3"/>
        <v/>
      </c>
      <c r="J327" s="7"/>
      <c r="K327" s="7"/>
    </row>
    <row r="328" ht="15.75" customHeight="1">
      <c r="A328" s="5" t="str">
        <f t="shared" si="1"/>
        <v/>
      </c>
      <c r="B328" s="6"/>
      <c r="C328" s="7" t="str">
        <f t="shared" si="4"/>
        <v/>
      </c>
      <c r="D328" s="7"/>
      <c r="G328" s="7"/>
      <c r="H328" s="15" t="str">
        <f t="shared" si="2"/>
        <v/>
      </c>
      <c r="I328" s="15" t="str">
        <f t="shared" si="3"/>
        <v/>
      </c>
      <c r="J328" s="7"/>
      <c r="K328" s="7"/>
    </row>
    <row r="329" ht="15.75" customHeight="1">
      <c r="A329" s="5" t="str">
        <f t="shared" si="1"/>
        <v/>
      </c>
      <c r="B329" s="6"/>
      <c r="C329" s="7" t="str">
        <f t="shared" si="4"/>
        <v/>
      </c>
      <c r="D329" s="7"/>
      <c r="G329" s="7"/>
      <c r="H329" s="15" t="str">
        <f t="shared" si="2"/>
        <v/>
      </c>
      <c r="I329" s="15" t="str">
        <f t="shared" si="3"/>
        <v/>
      </c>
      <c r="J329" s="7"/>
      <c r="K329" s="7"/>
    </row>
    <row r="330" ht="15.75" customHeight="1">
      <c r="A330" s="5" t="str">
        <f t="shared" si="1"/>
        <v/>
      </c>
      <c r="B330" s="6"/>
      <c r="C330" s="7" t="str">
        <f t="shared" si="4"/>
        <v/>
      </c>
      <c r="D330" s="7"/>
      <c r="G330" s="7"/>
      <c r="H330" s="15" t="str">
        <f t="shared" si="2"/>
        <v/>
      </c>
      <c r="I330" s="15" t="str">
        <f t="shared" si="3"/>
        <v/>
      </c>
      <c r="J330" s="7"/>
      <c r="K330" s="7"/>
    </row>
    <row r="331" ht="15.75" customHeight="1">
      <c r="A331" s="5" t="str">
        <f t="shared" si="1"/>
        <v/>
      </c>
      <c r="B331" s="6"/>
      <c r="C331" s="7" t="str">
        <f t="shared" si="4"/>
        <v/>
      </c>
      <c r="D331" s="7"/>
      <c r="G331" s="7"/>
      <c r="H331" s="15" t="str">
        <f t="shared" si="2"/>
        <v/>
      </c>
      <c r="I331" s="15" t="str">
        <f t="shared" si="3"/>
        <v/>
      </c>
      <c r="J331" s="7"/>
      <c r="K331" s="7"/>
    </row>
    <row r="332" ht="15.75" customHeight="1">
      <c r="A332" s="5" t="str">
        <f t="shared" si="1"/>
        <v/>
      </c>
      <c r="B332" s="6"/>
      <c r="C332" s="7" t="str">
        <f t="shared" si="4"/>
        <v/>
      </c>
      <c r="D332" s="7"/>
      <c r="G332" s="7"/>
      <c r="H332" s="15" t="str">
        <f t="shared" si="2"/>
        <v/>
      </c>
      <c r="I332" s="15" t="str">
        <f t="shared" si="3"/>
        <v/>
      </c>
      <c r="J332" s="7"/>
      <c r="K332" s="7"/>
    </row>
    <row r="333" ht="15.75" customHeight="1">
      <c r="A333" s="5" t="str">
        <f t="shared" si="1"/>
        <v/>
      </c>
      <c r="B333" s="6"/>
      <c r="C333" s="7" t="str">
        <f t="shared" si="4"/>
        <v/>
      </c>
      <c r="D333" s="7"/>
      <c r="G333" s="7"/>
      <c r="H333" s="15" t="str">
        <f t="shared" si="2"/>
        <v/>
      </c>
      <c r="I333" s="15" t="str">
        <f t="shared" si="3"/>
        <v/>
      </c>
      <c r="J333" s="7"/>
      <c r="K333" s="7"/>
    </row>
    <row r="334" ht="15.75" customHeight="1">
      <c r="A334" s="5" t="str">
        <f t="shared" si="1"/>
        <v/>
      </c>
      <c r="B334" s="6"/>
      <c r="C334" s="7" t="str">
        <f t="shared" si="4"/>
        <v/>
      </c>
      <c r="D334" s="7"/>
      <c r="G334" s="7"/>
      <c r="H334" s="15" t="str">
        <f t="shared" si="2"/>
        <v/>
      </c>
      <c r="I334" s="15" t="str">
        <f t="shared" si="3"/>
        <v/>
      </c>
      <c r="J334" s="7"/>
      <c r="K334" s="7"/>
    </row>
    <row r="335" ht="15.75" customHeight="1">
      <c r="A335" s="5" t="str">
        <f t="shared" si="1"/>
        <v/>
      </c>
      <c r="B335" s="6"/>
      <c r="C335" s="7" t="str">
        <f t="shared" si="4"/>
        <v/>
      </c>
      <c r="D335" s="7"/>
      <c r="G335" s="7"/>
      <c r="H335" s="15" t="str">
        <f t="shared" si="2"/>
        <v/>
      </c>
      <c r="I335" s="15" t="str">
        <f t="shared" si="3"/>
        <v/>
      </c>
      <c r="J335" s="7"/>
      <c r="K335" s="7"/>
    </row>
    <row r="336" ht="15.75" customHeight="1">
      <c r="A336" s="5" t="str">
        <f t="shared" si="1"/>
        <v/>
      </c>
      <c r="B336" s="6"/>
      <c r="C336" s="7" t="str">
        <f t="shared" si="4"/>
        <v/>
      </c>
      <c r="D336" s="7"/>
      <c r="G336" s="7"/>
      <c r="H336" s="15" t="str">
        <f t="shared" si="2"/>
        <v/>
      </c>
      <c r="I336" s="15" t="str">
        <f t="shared" si="3"/>
        <v/>
      </c>
      <c r="J336" s="7"/>
      <c r="K336" s="7"/>
    </row>
    <row r="337" ht="15.75" customHeight="1">
      <c r="A337" s="5" t="str">
        <f t="shared" si="1"/>
        <v/>
      </c>
      <c r="B337" s="6"/>
      <c r="C337" s="7" t="str">
        <f t="shared" si="4"/>
        <v/>
      </c>
      <c r="D337" s="7"/>
      <c r="G337" s="7"/>
      <c r="H337" s="15" t="str">
        <f t="shared" si="2"/>
        <v/>
      </c>
      <c r="I337" s="15" t="str">
        <f t="shared" si="3"/>
        <v/>
      </c>
      <c r="J337" s="7"/>
      <c r="K337" s="7"/>
    </row>
    <row r="338" ht="15.75" customHeight="1">
      <c r="A338" s="5" t="str">
        <f t="shared" si="1"/>
        <v/>
      </c>
      <c r="B338" s="6"/>
      <c r="C338" s="7" t="str">
        <f t="shared" si="4"/>
        <v/>
      </c>
      <c r="D338" s="7"/>
      <c r="G338" s="7"/>
      <c r="H338" s="15" t="str">
        <f t="shared" si="2"/>
        <v/>
      </c>
      <c r="I338" s="15" t="str">
        <f t="shared" si="3"/>
        <v/>
      </c>
      <c r="J338" s="7"/>
      <c r="K338" s="7"/>
    </row>
    <row r="339" ht="15.75" customHeight="1">
      <c r="A339" s="5" t="str">
        <f t="shared" si="1"/>
        <v/>
      </c>
      <c r="B339" s="6"/>
      <c r="C339" s="7" t="str">
        <f t="shared" si="4"/>
        <v/>
      </c>
      <c r="D339" s="7"/>
      <c r="G339" s="7"/>
      <c r="H339" s="15" t="str">
        <f t="shared" si="2"/>
        <v/>
      </c>
      <c r="I339" s="15" t="str">
        <f t="shared" si="3"/>
        <v/>
      </c>
      <c r="J339" s="7"/>
      <c r="K339" s="7"/>
    </row>
    <row r="340" ht="15.75" customHeight="1">
      <c r="A340" s="5" t="str">
        <f t="shared" si="1"/>
        <v/>
      </c>
      <c r="B340" s="6"/>
      <c r="C340" s="7" t="str">
        <f t="shared" si="4"/>
        <v/>
      </c>
      <c r="D340" s="7"/>
      <c r="G340" s="7"/>
      <c r="H340" s="15" t="str">
        <f t="shared" si="2"/>
        <v/>
      </c>
      <c r="I340" s="15" t="str">
        <f t="shared" si="3"/>
        <v/>
      </c>
      <c r="J340" s="7"/>
      <c r="K340" s="7"/>
    </row>
    <row r="341" ht="15.75" customHeight="1">
      <c r="A341" s="5" t="str">
        <f t="shared" si="1"/>
        <v/>
      </c>
      <c r="B341" s="6"/>
      <c r="C341" s="7" t="str">
        <f t="shared" si="4"/>
        <v/>
      </c>
      <c r="D341" s="7"/>
      <c r="G341" s="7"/>
      <c r="H341" s="15" t="str">
        <f t="shared" si="2"/>
        <v/>
      </c>
      <c r="I341" s="15" t="str">
        <f t="shared" si="3"/>
        <v/>
      </c>
      <c r="J341" s="7"/>
      <c r="K341" s="7"/>
    </row>
    <row r="342" ht="15.75" customHeight="1">
      <c r="A342" s="5" t="str">
        <f t="shared" si="1"/>
        <v/>
      </c>
      <c r="B342" s="6"/>
      <c r="C342" s="7" t="str">
        <f t="shared" si="4"/>
        <v/>
      </c>
      <c r="D342" s="7"/>
      <c r="G342" s="7"/>
      <c r="H342" s="15" t="str">
        <f t="shared" si="2"/>
        <v/>
      </c>
      <c r="I342" s="15" t="str">
        <f t="shared" si="3"/>
        <v/>
      </c>
      <c r="J342" s="7"/>
      <c r="K342" s="7"/>
    </row>
    <row r="343" ht="15.75" customHeight="1">
      <c r="A343" s="5" t="str">
        <f t="shared" si="1"/>
        <v/>
      </c>
      <c r="B343" s="6"/>
      <c r="C343" s="7" t="str">
        <f t="shared" si="4"/>
        <v/>
      </c>
      <c r="D343" s="7"/>
      <c r="G343" s="7"/>
      <c r="H343" s="15" t="str">
        <f t="shared" si="2"/>
        <v/>
      </c>
      <c r="I343" s="15" t="str">
        <f t="shared" si="3"/>
        <v/>
      </c>
      <c r="J343" s="7"/>
      <c r="K343" s="7"/>
    </row>
    <row r="344" ht="15.75" customHeight="1">
      <c r="A344" s="5" t="str">
        <f t="shared" si="1"/>
        <v/>
      </c>
      <c r="B344" s="6"/>
      <c r="C344" s="7" t="str">
        <f t="shared" si="4"/>
        <v/>
      </c>
      <c r="D344" s="7"/>
      <c r="G344" s="7"/>
      <c r="H344" s="15" t="str">
        <f t="shared" si="2"/>
        <v/>
      </c>
      <c r="I344" s="15" t="str">
        <f t="shared" si="3"/>
        <v/>
      </c>
      <c r="J344" s="7"/>
      <c r="K344" s="7"/>
    </row>
    <row r="345" ht="15.75" customHeight="1">
      <c r="A345" s="5" t="str">
        <f t="shared" si="1"/>
        <v/>
      </c>
      <c r="B345" s="6"/>
      <c r="C345" s="7" t="str">
        <f t="shared" si="4"/>
        <v/>
      </c>
      <c r="D345" s="7"/>
      <c r="G345" s="7"/>
      <c r="H345" s="15" t="str">
        <f t="shared" si="2"/>
        <v/>
      </c>
      <c r="I345" s="15" t="str">
        <f t="shared" si="3"/>
        <v/>
      </c>
      <c r="J345" s="7"/>
      <c r="K345" s="7"/>
    </row>
    <row r="346" ht="15.75" customHeight="1">
      <c r="A346" s="5" t="str">
        <f t="shared" si="1"/>
        <v/>
      </c>
      <c r="B346" s="6"/>
      <c r="C346" s="7" t="str">
        <f t="shared" si="4"/>
        <v/>
      </c>
      <c r="D346" s="7"/>
      <c r="G346" s="7"/>
      <c r="H346" s="15" t="str">
        <f t="shared" si="2"/>
        <v/>
      </c>
      <c r="I346" s="15" t="str">
        <f t="shared" si="3"/>
        <v/>
      </c>
      <c r="J346" s="7"/>
      <c r="K346" s="7"/>
    </row>
    <row r="347" ht="15.75" customHeight="1">
      <c r="A347" s="5" t="str">
        <f t="shared" si="1"/>
        <v/>
      </c>
      <c r="B347" s="6"/>
      <c r="C347" s="7" t="str">
        <f t="shared" si="4"/>
        <v/>
      </c>
      <c r="D347" s="7"/>
      <c r="G347" s="7"/>
      <c r="H347" s="15" t="str">
        <f t="shared" si="2"/>
        <v/>
      </c>
      <c r="I347" s="15" t="str">
        <f t="shared" si="3"/>
        <v/>
      </c>
      <c r="J347" s="7"/>
      <c r="K347" s="7"/>
    </row>
    <row r="348" ht="15.75" customHeight="1">
      <c r="A348" s="5" t="str">
        <f t="shared" si="1"/>
        <v/>
      </c>
      <c r="B348" s="6"/>
      <c r="C348" s="7" t="str">
        <f t="shared" si="4"/>
        <v/>
      </c>
      <c r="D348" s="7"/>
      <c r="G348" s="7"/>
      <c r="H348" s="15" t="str">
        <f t="shared" si="2"/>
        <v/>
      </c>
      <c r="I348" s="15" t="str">
        <f t="shared" si="3"/>
        <v/>
      </c>
      <c r="J348" s="7"/>
      <c r="K348" s="7"/>
    </row>
    <row r="349" ht="15.75" customHeight="1">
      <c r="A349" s="5" t="str">
        <f t="shared" si="1"/>
        <v/>
      </c>
      <c r="B349" s="6"/>
      <c r="C349" s="7" t="str">
        <f t="shared" si="4"/>
        <v/>
      </c>
      <c r="D349" s="7"/>
      <c r="G349" s="7"/>
      <c r="H349" s="15" t="str">
        <f t="shared" si="2"/>
        <v/>
      </c>
      <c r="I349" s="15" t="str">
        <f t="shared" si="3"/>
        <v/>
      </c>
      <c r="J349" s="7"/>
      <c r="K349" s="7"/>
    </row>
    <row r="350" ht="15.75" customHeight="1">
      <c r="A350" s="5" t="str">
        <f t="shared" si="1"/>
        <v/>
      </c>
      <c r="B350" s="6"/>
      <c r="C350" s="7" t="str">
        <f t="shared" si="4"/>
        <v/>
      </c>
      <c r="D350" s="7"/>
      <c r="G350" s="7"/>
      <c r="H350" s="15" t="str">
        <f t="shared" si="2"/>
        <v/>
      </c>
      <c r="I350" s="15" t="str">
        <f t="shared" si="3"/>
        <v/>
      </c>
      <c r="J350" s="7"/>
      <c r="K350" s="7"/>
    </row>
    <row r="351" ht="15.75" customHeight="1">
      <c r="A351" s="5" t="str">
        <f t="shared" si="1"/>
        <v/>
      </c>
      <c r="B351" s="6"/>
      <c r="C351" s="7" t="str">
        <f t="shared" si="4"/>
        <v/>
      </c>
      <c r="D351" s="7"/>
      <c r="G351" s="7"/>
      <c r="H351" s="15" t="str">
        <f t="shared" si="2"/>
        <v/>
      </c>
      <c r="I351" s="15" t="str">
        <f t="shared" si="3"/>
        <v/>
      </c>
      <c r="J351" s="7"/>
      <c r="K351" s="7"/>
    </row>
    <row r="352" ht="15.75" customHeight="1">
      <c r="A352" s="5" t="str">
        <f t="shared" si="1"/>
        <v/>
      </c>
      <c r="B352" s="6"/>
      <c r="C352" s="7" t="str">
        <f t="shared" si="4"/>
        <v/>
      </c>
      <c r="D352" s="7"/>
      <c r="G352" s="7"/>
      <c r="H352" s="15" t="str">
        <f t="shared" si="2"/>
        <v/>
      </c>
      <c r="I352" s="15" t="str">
        <f t="shared" si="3"/>
        <v/>
      </c>
      <c r="J352" s="7"/>
      <c r="K352" s="7"/>
    </row>
    <row r="353" ht="15.75" customHeight="1">
      <c r="A353" s="5" t="str">
        <f t="shared" si="1"/>
        <v/>
      </c>
      <c r="B353" s="6"/>
      <c r="C353" s="7" t="str">
        <f t="shared" si="4"/>
        <v/>
      </c>
      <c r="D353" s="7"/>
      <c r="G353" s="7"/>
      <c r="H353" s="15" t="str">
        <f t="shared" si="2"/>
        <v/>
      </c>
      <c r="I353" s="15" t="str">
        <f t="shared" si="3"/>
        <v/>
      </c>
      <c r="J353" s="7"/>
      <c r="K353" s="7"/>
    </row>
    <row r="354" ht="15.75" customHeight="1">
      <c r="A354" s="5" t="str">
        <f t="shared" si="1"/>
        <v/>
      </c>
      <c r="B354" s="6"/>
      <c r="C354" s="7" t="str">
        <f t="shared" si="4"/>
        <v/>
      </c>
      <c r="D354" s="7"/>
      <c r="G354" s="7"/>
      <c r="H354" s="15" t="str">
        <f t="shared" si="2"/>
        <v/>
      </c>
      <c r="I354" s="15" t="str">
        <f t="shared" si="3"/>
        <v/>
      </c>
      <c r="J354" s="7"/>
      <c r="K354" s="7"/>
    </row>
    <row r="355" ht="15.75" customHeight="1">
      <c r="A355" s="5" t="str">
        <f t="shared" si="1"/>
        <v/>
      </c>
      <c r="B355" s="6"/>
      <c r="C355" s="7" t="str">
        <f t="shared" si="4"/>
        <v/>
      </c>
      <c r="D355" s="7"/>
      <c r="G355" s="7"/>
      <c r="H355" s="15" t="str">
        <f t="shared" si="2"/>
        <v/>
      </c>
      <c r="I355" s="15" t="str">
        <f t="shared" si="3"/>
        <v/>
      </c>
      <c r="J355" s="7"/>
      <c r="K355" s="7"/>
    </row>
    <row r="356" ht="15.75" customHeight="1">
      <c r="A356" s="5" t="str">
        <f t="shared" si="1"/>
        <v/>
      </c>
      <c r="B356" s="6"/>
      <c r="C356" s="7" t="str">
        <f t="shared" si="4"/>
        <v/>
      </c>
      <c r="D356" s="7"/>
      <c r="G356" s="7"/>
      <c r="H356" s="15" t="str">
        <f t="shared" si="2"/>
        <v/>
      </c>
      <c r="I356" s="15" t="str">
        <f t="shared" si="3"/>
        <v/>
      </c>
      <c r="J356" s="7"/>
      <c r="K356" s="7"/>
    </row>
    <row r="357" ht="15.75" customHeight="1">
      <c r="A357" s="5" t="str">
        <f t="shared" si="1"/>
        <v/>
      </c>
      <c r="B357" s="6"/>
      <c r="C357" s="7" t="str">
        <f t="shared" si="4"/>
        <v/>
      </c>
      <c r="D357" s="7"/>
      <c r="G357" s="7"/>
      <c r="H357" s="15" t="str">
        <f t="shared" si="2"/>
        <v/>
      </c>
      <c r="I357" s="15" t="str">
        <f t="shared" si="3"/>
        <v/>
      </c>
      <c r="J357" s="7"/>
      <c r="K357" s="7"/>
    </row>
    <row r="358" ht="15.75" customHeight="1">
      <c r="A358" s="5" t="str">
        <f t="shared" si="1"/>
        <v/>
      </c>
      <c r="B358" s="6"/>
      <c r="C358" s="7" t="str">
        <f t="shared" si="4"/>
        <v/>
      </c>
      <c r="D358" s="7"/>
      <c r="G358" s="7"/>
      <c r="H358" s="15" t="str">
        <f t="shared" si="2"/>
        <v/>
      </c>
      <c r="I358" s="15" t="str">
        <f t="shared" si="3"/>
        <v/>
      </c>
      <c r="J358" s="7"/>
      <c r="K358" s="7"/>
    </row>
    <row r="359" ht="15.75" customHeight="1">
      <c r="A359" s="5" t="str">
        <f t="shared" si="1"/>
        <v/>
      </c>
      <c r="B359" s="6"/>
      <c r="C359" s="7" t="str">
        <f t="shared" si="4"/>
        <v/>
      </c>
      <c r="D359" s="7"/>
      <c r="G359" s="7"/>
      <c r="H359" s="15" t="str">
        <f t="shared" si="2"/>
        <v/>
      </c>
      <c r="I359" s="15" t="str">
        <f t="shared" si="3"/>
        <v/>
      </c>
      <c r="J359" s="7"/>
      <c r="K359" s="7"/>
    </row>
    <row r="360" ht="15.75" customHeight="1">
      <c r="A360" s="5" t="str">
        <f t="shared" si="1"/>
        <v/>
      </c>
      <c r="B360" s="6"/>
      <c r="C360" s="7" t="str">
        <f t="shared" si="4"/>
        <v/>
      </c>
      <c r="D360" s="7"/>
      <c r="G360" s="7"/>
      <c r="H360" s="15" t="str">
        <f t="shared" si="2"/>
        <v/>
      </c>
      <c r="I360" s="15" t="str">
        <f t="shared" si="3"/>
        <v/>
      </c>
      <c r="J360" s="7"/>
      <c r="K360" s="7"/>
    </row>
    <row r="361" ht="15.75" customHeight="1">
      <c r="A361" s="5" t="str">
        <f t="shared" si="1"/>
        <v/>
      </c>
      <c r="B361" s="6"/>
      <c r="C361" s="7" t="str">
        <f t="shared" si="4"/>
        <v/>
      </c>
      <c r="D361" s="7"/>
      <c r="G361" s="7"/>
      <c r="H361" s="15" t="str">
        <f t="shared" si="2"/>
        <v/>
      </c>
      <c r="I361" s="15" t="str">
        <f t="shared" si="3"/>
        <v/>
      </c>
      <c r="J361" s="7"/>
      <c r="K361" s="7"/>
    </row>
    <row r="362" ht="15.75" customHeight="1">
      <c r="A362" s="5" t="str">
        <f t="shared" si="1"/>
        <v/>
      </c>
      <c r="B362" s="6"/>
      <c r="C362" s="7" t="str">
        <f t="shared" si="4"/>
        <v/>
      </c>
      <c r="D362" s="7"/>
      <c r="G362" s="7"/>
      <c r="H362" s="15" t="str">
        <f t="shared" si="2"/>
        <v/>
      </c>
      <c r="I362" s="15" t="str">
        <f t="shared" si="3"/>
        <v/>
      </c>
      <c r="J362" s="7"/>
      <c r="K362" s="7"/>
    </row>
    <row r="363" ht="15.75" customHeight="1">
      <c r="A363" s="5" t="str">
        <f t="shared" si="1"/>
        <v/>
      </c>
      <c r="B363" s="6"/>
      <c r="C363" s="7" t="str">
        <f t="shared" si="4"/>
        <v/>
      </c>
      <c r="D363" s="7"/>
      <c r="G363" s="7"/>
      <c r="H363" s="15" t="str">
        <f t="shared" si="2"/>
        <v/>
      </c>
      <c r="I363" s="15" t="str">
        <f t="shared" si="3"/>
        <v/>
      </c>
      <c r="J363" s="7"/>
      <c r="K363" s="7"/>
    </row>
    <row r="364" ht="15.75" customHeight="1">
      <c r="A364" s="5" t="str">
        <f t="shared" si="1"/>
        <v/>
      </c>
      <c r="B364" s="6"/>
      <c r="C364" s="7" t="str">
        <f t="shared" si="4"/>
        <v/>
      </c>
      <c r="D364" s="7"/>
      <c r="G364" s="7"/>
      <c r="H364" s="15" t="str">
        <f t="shared" si="2"/>
        <v/>
      </c>
      <c r="I364" s="15" t="str">
        <f t="shared" si="3"/>
        <v/>
      </c>
      <c r="J364" s="7"/>
      <c r="K364" s="7"/>
    </row>
    <row r="365" ht="15.75" customHeight="1">
      <c r="A365" s="5" t="str">
        <f t="shared" si="1"/>
        <v/>
      </c>
      <c r="B365" s="6"/>
      <c r="C365" s="7" t="str">
        <f t="shared" si="4"/>
        <v/>
      </c>
      <c r="D365" s="7"/>
      <c r="G365" s="7"/>
      <c r="H365" s="15" t="str">
        <f t="shared" si="2"/>
        <v/>
      </c>
      <c r="I365" s="15" t="str">
        <f t="shared" si="3"/>
        <v/>
      </c>
      <c r="J365" s="7"/>
      <c r="K365" s="7"/>
    </row>
    <row r="366" ht="15.75" customHeight="1">
      <c r="A366" s="5" t="str">
        <f t="shared" si="1"/>
        <v/>
      </c>
      <c r="B366" s="6"/>
      <c r="C366" s="7" t="str">
        <f t="shared" si="4"/>
        <v/>
      </c>
      <c r="D366" s="7"/>
      <c r="G366" s="7"/>
      <c r="H366" s="15" t="str">
        <f t="shared" si="2"/>
        <v/>
      </c>
      <c r="I366" s="15" t="str">
        <f t="shared" si="3"/>
        <v/>
      </c>
      <c r="J366" s="7"/>
      <c r="K366" s="7"/>
    </row>
    <row r="367" ht="15.75" customHeight="1">
      <c r="A367" s="5" t="str">
        <f t="shared" si="1"/>
        <v/>
      </c>
      <c r="B367" s="6"/>
      <c r="C367" s="7" t="str">
        <f t="shared" si="4"/>
        <v/>
      </c>
      <c r="D367" s="7"/>
      <c r="G367" s="7"/>
      <c r="H367" s="15" t="str">
        <f t="shared" si="2"/>
        <v/>
      </c>
      <c r="I367" s="15" t="str">
        <f t="shared" si="3"/>
        <v/>
      </c>
      <c r="J367" s="7"/>
      <c r="K367" s="7"/>
    </row>
    <row r="368" ht="15.75" customHeight="1">
      <c r="A368" s="5" t="str">
        <f t="shared" si="1"/>
        <v/>
      </c>
      <c r="B368" s="6"/>
      <c r="C368" s="7" t="str">
        <f t="shared" si="4"/>
        <v/>
      </c>
      <c r="D368" s="7"/>
      <c r="G368" s="7"/>
      <c r="H368" s="15" t="str">
        <f t="shared" si="2"/>
        <v/>
      </c>
      <c r="I368" s="15" t="str">
        <f t="shared" si="3"/>
        <v/>
      </c>
      <c r="J368" s="7"/>
      <c r="K368" s="7"/>
    </row>
    <row r="369" ht="15.75" customHeight="1">
      <c r="A369" s="5" t="str">
        <f t="shared" si="1"/>
        <v/>
      </c>
      <c r="B369" s="6"/>
      <c r="C369" s="7" t="str">
        <f t="shared" si="4"/>
        <v/>
      </c>
      <c r="D369" s="7"/>
      <c r="G369" s="7"/>
      <c r="H369" s="15" t="str">
        <f t="shared" si="2"/>
        <v/>
      </c>
      <c r="I369" s="15" t="str">
        <f t="shared" si="3"/>
        <v/>
      </c>
      <c r="J369" s="7"/>
      <c r="K369" s="7"/>
    </row>
    <row r="370" ht="15.75" customHeight="1">
      <c r="A370" s="5" t="str">
        <f t="shared" si="1"/>
        <v/>
      </c>
      <c r="B370" s="6"/>
      <c r="C370" s="7" t="str">
        <f t="shared" si="4"/>
        <v/>
      </c>
      <c r="D370" s="7"/>
      <c r="G370" s="7"/>
      <c r="H370" s="15" t="str">
        <f t="shared" si="2"/>
        <v/>
      </c>
      <c r="I370" s="15" t="str">
        <f t="shared" si="3"/>
        <v/>
      </c>
      <c r="J370" s="7"/>
      <c r="K370" s="7"/>
    </row>
    <row r="371" ht="15.75" customHeight="1">
      <c r="A371" s="5" t="str">
        <f t="shared" si="1"/>
        <v/>
      </c>
      <c r="B371" s="6"/>
      <c r="C371" s="7" t="str">
        <f t="shared" si="4"/>
        <v/>
      </c>
      <c r="D371" s="7"/>
      <c r="G371" s="7"/>
      <c r="H371" s="15" t="str">
        <f t="shared" si="2"/>
        <v/>
      </c>
      <c r="I371" s="15" t="str">
        <f t="shared" si="3"/>
        <v/>
      </c>
      <c r="J371" s="7"/>
      <c r="K371" s="7"/>
    </row>
    <row r="372" ht="15.75" customHeight="1">
      <c r="A372" s="5" t="str">
        <f t="shared" si="1"/>
        <v/>
      </c>
      <c r="B372" s="6"/>
      <c r="C372" s="7" t="str">
        <f t="shared" si="4"/>
        <v/>
      </c>
      <c r="D372" s="7"/>
      <c r="G372" s="7"/>
      <c r="H372" s="15" t="str">
        <f t="shared" si="2"/>
        <v/>
      </c>
      <c r="I372" s="15" t="str">
        <f t="shared" si="3"/>
        <v/>
      </c>
      <c r="J372" s="7"/>
      <c r="K372" s="7"/>
    </row>
    <row r="373" ht="15.75" customHeight="1">
      <c r="A373" s="5" t="str">
        <f t="shared" si="1"/>
        <v/>
      </c>
      <c r="B373" s="6"/>
      <c r="C373" s="7" t="str">
        <f t="shared" si="4"/>
        <v/>
      </c>
      <c r="D373" s="7"/>
      <c r="G373" s="7"/>
      <c r="H373" s="15" t="str">
        <f t="shared" si="2"/>
        <v/>
      </c>
      <c r="I373" s="15" t="str">
        <f t="shared" si="3"/>
        <v/>
      </c>
      <c r="J373" s="7"/>
      <c r="K373" s="7"/>
    </row>
    <row r="374" ht="15.75" customHeight="1">
      <c r="A374" s="5" t="str">
        <f t="shared" si="1"/>
        <v/>
      </c>
      <c r="B374" s="6"/>
      <c r="C374" s="7" t="str">
        <f t="shared" si="4"/>
        <v/>
      </c>
      <c r="D374" s="7"/>
      <c r="G374" s="7"/>
      <c r="H374" s="15" t="str">
        <f t="shared" si="2"/>
        <v/>
      </c>
      <c r="I374" s="15" t="str">
        <f t="shared" si="3"/>
        <v/>
      </c>
      <c r="J374" s="7"/>
      <c r="K374" s="7"/>
    </row>
    <row r="375" ht="15.75" customHeight="1">
      <c r="A375" s="5" t="str">
        <f t="shared" si="1"/>
        <v/>
      </c>
      <c r="B375" s="6"/>
      <c r="C375" s="7" t="str">
        <f t="shared" si="4"/>
        <v/>
      </c>
      <c r="D375" s="7"/>
      <c r="G375" s="7"/>
      <c r="H375" s="15" t="str">
        <f t="shared" si="2"/>
        <v/>
      </c>
      <c r="I375" s="15" t="str">
        <f t="shared" si="3"/>
        <v/>
      </c>
      <c r="J375" s="7"/>
      <c r="K375" s="7"/>
    </row>
    <row r="376" ht="15.75" customHeight="1">
      <c r="A376" s="5" t="str">
        <f t="shared" si="1"/>
        <v/>
      </c>
      <c r="B376" s="6"/>
      <c r="C376" s="7" t="str">
        <f t="shared" si="4"/>
        <v/>
      </c>
      <c r="D376" s="7"/>
      <c r="G376" s="7"/>
      <c r="H376" s="15" t="str">
        <f t="shared" si="2"/>
        <v/>
      </c>
      <c r="I376" s="15" t="str">
        <f t="shared" si="3"/>
        <v/>
      </c>
      <c r="J376" s="7"/>
      <c r="K376" s="7"/>
    </row>
    <row r="377" ht="15.75" customHeight="1">
      <c r="A377" s="5" t="str">
        <f t="shared" si="1"/>
        <v/>
      </c>
      <c r="B377" s="6"/>
      <c r="C377" s="7" t="str">
        <f t="shared" si="4"/>
        <v/>
      </c>
      <c r="D377" s="7"/>
      <c r="G377" s="7"/>
      <c r="H377" s="15" t="str">
        <f t="shared" si="2"/>
        <v/>
      </c>
      <c r="I377" s="15" t="str">
        <f t="shared" si="3"/>
        <v/>
      </c>
      <c r="J377" s="7"/>
      <c r="K377" s="7"/>
    </row>
    <row r="378" ht="15.75" customHeight="1">
      <c r="A378" s="5" t="str">
        <f t="shared" si="1"/>
        <v/>
      </c>
      <c r="B378" s="6"/>
      <c r="C378" s="7" t="str">
        <f t="shared" si="4"/>
        <v/>
      </c>
      <c r="D378" s="7"/>
      <c r="G378" s="7"/>
      <c r="H378" s="15" t="str">
        <f t="shared" si="2"/>
        <v/>
      </c>
      <c r="I378" s="15" t="str">
        <f t="shared" si="3"/>
        <v/>
      </c>
      <c r="J378" s="7"/>
      <c r="K378" s="7"/>
    </row>
    <row r="379" ht="15.75" customHeight="1">
      <c r="A379" s="5" t="str">
        <f t="shared" si="1"/>
        <v/>
      </c>
      <c r="B379" s="6"/>
      <c r="C379" s="7" t="str">
        <f t="shared" si="4"/>
        <v/>
      </c>
      <c r="D379" s="7"/>
      <c r="G379" s="7"/>
      <c r="H379" s="15" t="str">
        <f t="shared" si="2"/>
        <v/>
      </c>
      <c r="I379" s="15" t="str">
        <f t="shared" si="3"/>
        <v/>
      </c>
      <c r="J379" s="7"/>
      <c r="K379" s="7"/>
    </row>
    <row r="380" ht="15.75" customHeight="1">
      <c r="A380" s="5" t="str">
        <f t="shared" si="1"/>
        <v/>
      </c>
      <c r="B380" s="6"/>
      <c r="C380" s="7" t="str">
        <f t="shared" si="4"/>
        <v/>
      </c>
      <c r="D380" s="7"/>
      <c r="G380" s="7"/>
      <c r="H380" s="15" t="str">
        <f t="shared" si="2"/>
        <v/>
      </c>
      <c r="I380" s="15" t="str">
        <f t="shared" si="3"/>
        <v/>
      </c>
      <c r="J380" s="7"/>
      <c r="K380" s="7"/>
    </row>
    <row r="381" ht="15.75" customHeight="1">
      <c r="A381" s="5" t="str">
        <f t="shared" si="1"/>
        <v/>
      </c>
      <c r="B381" s="6"/>
      <c r="C381" s="7" t="str">
        <f t="shared" si="4"/>
        <v/>
      </c>
      <c r="D381" s="7"/>
      <c r="G381" s="7"/>
      <c r="H381" s="15" t="str">
        <f t="shared" si="2"/>
        <v/>
      </c>
      <c r="I381" s="15" t="str">
        <f t="shared" si="3"/>
        <v/>
      </c>
      <c r="J381" s="7"/>
      <c r="K381" s="7"/>
    </row>
    <row r="382" ht="15.75" customHeight="1">
      <c r="A382" s="5" t="str">
        <f t="shared" si="1"/>
        <v/>
      </c>
      <c r="B382" s="6"/>
      <c r="C382" s="7" t="str">
        <f t="shared" si="4"/>
        <v/>
      </c>
      <c r="D382" s="7"/>
      <c r="G382" s="7"/>
      <c r="H382" s="15" t="str">
        <f t="shared" si="2"/>
        <v/>
      </c>
      <c r="I382" s="15" t="str">
        <f t="shared" si="3"/>
        <v/>
      </c>
      <c r="J382" s="7"/>
      <c r="K382" s="7"/>
    </row>
    <row r="383" ht="15.75" customHeight="1">
      <c r="A383" s="5" t="str">
        <f t="shared" si="1"/>
        <v/>
      </c>
      <c r="B383" s="6"/>
      <c r="C383" s="7" t="str">
        <f t="shared" si="4"/>
        <v/>
      </c>
      <c r="D383" s="7"/>
      <c r="G383" s="7"/>
      <c r="H383" s="15" t="str">
        <f t="shared" si="2"/>
        <v/>
      </c>
      <c r="I383" s="15" t="str">
        <f t="shared" si="3"/>
        <v/>
      </c>
      <c r="J383" s="7"/>
      <c r="K383" s="7"/>
    </row>
    <row r="384" ht="15.75" customHeight="1">
      <c r="A384" s="5" t="str">
        <f t="shared" si="1"/>
        <v/>
      </c>
      <c r="B384" s="6"/>
      <c r="C384" s="7" t="str">
        <f t="shared" si="4"/>
        <v/>
      </c>
      <c r="D384" s="7"/>
      <c r="G384" s="7"/>
      <c r="H384" s="15" t="str">
        <f t="shared" si="2"/>
        <v/>
      </c>
      <c r="I384" s="15" t="str">
        <f t="shared" si="3"/>
        <v/>
      </c>
      <c r="J384" s="7"/>
      <c r="K384" s="7"/>
    </row>
    <row r="385" ht="15.75" customHeight="1">
      <c r="A385" s="5" t="str">
        <f t="shared" si="1"/>
        <v/>
      </c>
      <c r="B385" s="6"/>
      <c r="C385" s="7" t="str">
        <f t="shared" si="4"/>
        <v/>
      </c>
      <c r="D385" s="7"/>
      <c r="G385" s="7"/>
      <c r="H385" s="15" t="str">
        <f t="shared" si="2"/>
        <v/>
      </c>
      <c r="I385" s="15" t="str">
        <f t="shared" si="3"/>
        <v/>
      </c>
      <c r="J385" s="7"/>
      <c r="K385" s="7"/>
    </row>
    <row r="386" ht="15.75" customHeight="1">
      <c r="A386" s="5" t="str">
        <f t="shared" si="1"/>
        <v/>
      </c>
      <c r="B386" s="6"/>
      <c r="C386" s="7" t="str">
        <f t="shared" si="4"/>
        <v/>
      </c>
      <c r="D386" s="7"/>
      <c r="G386" s="7"/>
      <c r="H386" s="15" t="str">
        <f t="shared" si="2"/>
        <v/>
      </c>
      <c r="I386" s="15" t="str">
        <f t="shared" si="3"/>
        <v/>
      </c>
      <c r="J386" s="7"/>
      <c r="K386" s="7"/>
    </row>
    <row r="387" ht="15.75" customHeight="1">
      <c r="A387" s="5" t="str">
        <f t="shared" si="1"/>
        <v/>
      </c>
      <c r="B387" s="6"/>
      <c r="C387" s="7" t="str">
        <f t="shared" si="4"/>
        <v/>
      </c>
      <c r="D387" s="7"/>
      <c r="G387" s="7"/>
      <c r="H387" s="15" t="str">
        <f t="shared" si="2"/>
        <v/>
      </c>
      <c r="I387" s="15" t="str">
        <f t="shared" si="3"/>
        <v/>
      </c>
      <c r="J387" s="7"/>
      <c r="K387" s="7"/>
    </row>
    <row r="388" ht="15.75" customHeight="1">
      <c r="A388" s="5" t="str">
        <f t="shared" si="1"/>
        <v/>
      </c>
      <c r="B388" s="6"/>
      <c r="C388" s="7" t="str">
        <f t="shared" si="4"/>
        <v/>
      </c>
      <c r="D388" s="7"/>
      <c r="G388" s="7"/>
      <c r="H388" s="15" t="str">
        <f t="shared" si="2"/>
        <v/>
      </c>
      <c r="I388" s="15" t="str">
        <f t="shared" si="3"/>
        <v/>
      </c>
      <c r="J388" s="7"/>
      <c r="K388" s="7"/>
    </row>
    <row r="389" ht="15.75" customHeight="1">
      <c r="A389" s="5" t="str">
        <f t="shared" si="1"/>
        <v/>
      </c>
      <c r="B389" s="6"/>
      <c r="C389" s="7" t="str">
        <f t="shared" si="4"/>
        <v/>
      </c>
      <c r="D389" s="7"/>
      <c r="G389" s="7"/>
      <c r="H389" s="15" t="str">
        <f t="shared" si="2"/>
        <v/>
      </c>
      <c r="I389" s="15" t="str">
        <f t="shared" si="3"/>
        <v/>
      </c>
      <c r="J389" s="7"/>
      <c r="K389" s="7"/>
    </row>
    <row r="390" ht="15.75" customHeight="1">
      <c r="A390" s="5" t="str">
        <f t="shared" si="1"/>
        <v/>
      </c>
      <c r="B390" s="6"/>
      <c r="C390" s="7" t="str">
        <f t="shared" si="4"/>
        <v/>
      </c>
      <c r="D390" s="7"/>
      <c r="G390" s="7"/>
      <c r="H390" s="15" t="str">
        <f t="shared" si="2"/>
        <v/>
      </c>
      <c r="I390" s="15" t="str">
        <f t="shared" si="3"/>
        <v/>
      </c>
      <c r="J390" s="7"/>
      <c r="K390" s="7"/>
    </row>
    <row r="391" ht="15.75" customHeight="1">
      <c r="A391" s="5" t="str">
        <f t="shared" si="1"/>
        <v/>
      </c>
      <c r="B391" s="6"/>
      <c r="C391" s="7" t="str">
        <f t="shared" si="4"/>
        <v/>
      </c>
      <c r="D391" s="7"/>
      <c r="G391" s="7"/>
      <c r="H391" s="15" t="str">
        <f t="shared" si="2"/>
        <v/>
      </c>
      <c r="I391" s="15" t="str">
        <f t="shared" si="3"/>
        <v/>
      </c>
      <c r="J391" s="7"/>
      <c r="K391" s="7"/>
    </row>
    <row r="392" ht="15.75" customHeight="1">
      <c r="A392" s="5" t="str">
        <f t="shared" si="1"/>
        <v/>
      </c>
      <c r="B392" s="6"/>
      <c r="C392" s="7" t="str">
        <f t="shared" si="4"/>
        <v/>
      </c>
      <c r="D392" s="7"/>
      <c r="G392" s="7"/>
      <c r="H392" s="15" t="str">
        <f t="shared" si="2"/>
        <v/>
      </c>
      <c r="I392" s="15" t="str">
        <f t="shared" si="3"/>
        <v/>
      </c>
      <c r="J392" s="7"/>
      <c r="K392" s="7"/>
    </row>
    <row r="393" ht="15.75" customHeight="1">
      <c r="A393" s="5" t="str">
        <f t="shared" si="1"/>
        <v/>
      </c>
      <c r="B393" s="6"/>
      <c r="C393" s="7" t="str">
        <f t="shared" si="4"/>
        <v/>
      </c>
      <c r="D393" s="7"/>
      <c r="G393" s="7"/>
      <c r="H393" s="15" t="str">
        <f t="shared" si="2"/>
        <v/>
      </c>
      <c r="I393" s="15" t="str">
        <f t="shared" si="3"/>
        <v/>
      </c>
      <c r="J393" s="7"/>
      <c r="K393" s="7"/>
    </row>
    <row r="394" ht="15.75" customHeight="1">
      <c r="A394" s="5" t="str">
        <f t="shared" si="1"/>
        <v/>
      </c>
      <c r="B394" s="6"/>
      <c r="C394" s="7" t="str">
        <f t="shared" si="4"/>
        <v/>
      </c>
      <c r="D394" s="7"/>
      <c r="G394" s="7"/>
      <c r="H394" s="15" t="str">
        <f t="shared" si="2"/>
        <v/>
      </c>
      <c r="I394" s="15" t="str">
        <f t="shared" si="3"/>
        <v/>
      </c>
      <c r="J394" s="7"/>
      <c r="K394" s="7"/>
    </row>
    <row r="395" ht="15.75" customHeight="1">
      <c r="A395" s="5" t="str">
        <f t="shared" si="1"/>
        <v/>
      </c>
      <c r="B395" s="6"/>
      <c r="C395" s="7" t="str">
        <f t="shared" si="4"/>
        <v/>
      </c>
      <c r="D395" s="7"/>
      <c r="G395" s="7"/>
      <c r="H395" s="15" t="str">
        <f t="shared" si="2"/>
        <v/>
      </c>
      <c r="I395" s="15" t="str">
        <f t="shared" si="3"/>
        <v/>
      </c>
      <c r="J395" s="7"/>
      <c r="K395" s="7"/>
    </row>
    <row r="396" ht="15.75" customHeight="1">
      <c r="A396" s="5" t="str">
        <f t="shared" si="1"/>
        <v/>
      </c>
      <c r="B396" s="6"/>
      <c r="C396" s="7" t="str">
        <f t="shared" si="4"/>
        <v/>
      </c>
      <c r="D396" s="7"/>
      <c r="G396" s="7"/>
      <c r="H396" s="15" t="str">
        <f t="shared" si="2"/>
        <v/>
      </c>
      <c r="I396" s="15" t="str">
        <f t="shared" si="3"/>
        <v/>
      </c>
      <c r="J396" s="7"/>
      <c r="K396" s="7"/>
    </row>
    <row r="397" ht="15.75" customHeight="1">
      <c r="A397" s="5" t="str">
        <f t="shared" si="1"/>
        <v/>
      </c>
      <c r="B397" s="6"/>
      <c r="C397" s="7" t="str">
        <f t="shared" si="4"/>
        <v/>
      </c>
      <c r="D397" s="7"/>
      <c r="G397" s="7"/>
      <c r="H397" s="15" t="str">
        <f t="shared" si="2"/>
        <v/>
      </c>
      <c r="I397" s="15" t="str">
        <f t="shared" si="3"/>
        <v/>
      </c>
      <c r="J397" s="7"/>
      <c r="K397" s="7"/>
    </row>
    <row r="398" ht="15.75" customHeight="1">
      <c r="A398" s="5" t="str">
        <f t="shared" si="1"/>
        <v/>
      </c>
      <c r="B398" s="6"/>
      <c r="C398" s="7" t="str">
        <f t="shared" si="4"/>
        <v/>
      </c>
      <c r="D398" s="7"/>
      <c r="G398" s="7"/>
      <c r="H398" s="15" t="str">
        <f t="shared" si="2"/>
        <v/>
      </c>
      <c r="I398" s="15" t="str">
        <f t="shared" si="3"/>
        <v/>
      </c>
      <c r="J398" s="7"/>
      <c r="K398" s="7"/>
    </row>
    <row r="399" ht="15.75" customHeight="1">
      <c r="A399" s="5" t="str">
        <f t="shared" si="1"/>
        <v/>
      </c>
      <c r="B399" s="6"/>
      <c r="C399" s="7" t="str">
        <f t="shared" si="4"/>
        <v/>
      </c>
      <c r="D399" s="7"/>
      <c r="G399" s="7"/>
      <c r="H399" s="15" t="str">
        <f t="shared" si="2"/>
        <v/>
      </c>
      <c r="I399" s="15" t="str">
        <f t="shared" si="3"/>
        <v/>
      </c>
      <c r="J399" s="7"/>
      <c r="K399" s="7"/>
    </row>
    <row r="400" ht="15.75" customHeight="1">
      <c r="A400" s="5" t="str">
        <f t="shared" si="1"/>
        <v/>
      </c>
      <c r="B400" s="6"/>
      <c r="C400" s="7" t="str">
        <f t="shared" si="4"/>
        <v/>
      </c>
      <c r="D400" s="7"/>
      <c r="G400" s="7"/>
      <c r="H400" s="15" t="str">
        <f t="shared" si="2"/>
        <v/>
      </c>
      <c r="I400" s="15" t="str">
        <f t="shared" si="3"/>
        <v/>
      </c>
      <c r="J400" s="7"/>
      <c r="K400" s="7"/>
    </row>
    <row r="401" ht="15.75" customHeight="1">
      <c r="A401" s="5" t="str">
        <f t="shared" si="1"/>
        <v/>
      </c>
      <c r="B401" s="6"/>
      <c r="C401" s="7" t="str">
        <f t="shared" si="4"/>
        <v/>
      </c>
      <c r="D401" s="7"/>
      <c r="G401" s="7"/>
      <c r="H401" s="15" t="str">
        <f t="shared" si="2"/>
        <v/>
      </c>
      <c r="I401" s="15" t="str">
        <f t="shared" si="3"/>
        <v/>
      </c>
      <c r="J401" s="7"/>
      <c r="K401" s="7"/>
    </row>
    <row r="402" ht="15.75" customHeight="1">
      <c r="A402" s="5" t="str">
        <f t="shared" si="1"/>
        <v/>
      </c>
      <c r="B402" s="6"/>
      <c r="C402" s="7" t="str">
        <f t="shared" si="4"/>
        <v/>
      </c>
      <c r="D402" s="7"/>
      <c r="G402" s="7"/>
      <c r="H402" s="15" t="str">
        <f t="shared" si="2"/>
        <v/>
      </c>
      <c r="I402" s="15" t="str">
        <f t="shared" si="3"/>
        <v/>
      </c>
      <c r="J402" s="7"/>
      <c r="K402" s="7"/>
    </row>
    <row r="403" ht="15.75" customHeight="1">
      <c r="A403" s="5" t="str">
        <f t="shared" si="1"/>
        <v/>
      </c>
      <c r="B403" s="6"/>
      <c r="C403" s="7" t="str">
        <f t="shared" si="4"/>
        <v/>
      </c>
      <c r="D403" s="7"/>
      <c r="G403" s="7"/>
      <c r="H403" s="15" t="str">
        <f t="shared" si="2"/>
        <v/>
      </c>
      <c r="I403" s="15" t="str">
        <f t="shared" si="3"/>
        <v/>
      </c>
      <c r="J403" s="7"/>
      <c r="K403" s="7"/>
    </row>
    <row r="404" ht="15.75" customHeight="1">
      <c r="A404" s="5" t="str">
        <f t="shared" si="1"/>
        <v/>
      </c>
      <c r="B404" s="6"/>
      <c r="C404" s="7" t="str">
        <f t="shared" si="4"/>
        <v/>
      </c>
      <c r="D404" s="7"/>
      <c r="G404" s="7"/>
      <c r="H404" s="15" t="str">
        <f t="shared" si="2"/>
        <v/>
      </c>
      <c r="I404" s="15" t="str">
        <f t="shared" si="3"/>
        <v/>
      </c>
      <c r="J404" s="7"/>
      <c r="K404" s="7"/>
    </row>
    <row r="405" ht="15.75" customHeight="1">
      <c r="A405" s="5" t="str">
        <f t="shared" si="1"/>
        <v/>
      </c>
      <c r="B405" s="6"/>
      <c r="C405" s="7" t="str">
        <f t="shared" si="4"/>
        <v/>
      </c>
      <c r="D405" s="7"/>
      <c r="G405" s="7"/>
      <c r="H405" s="15" t="str">
        <f t="shared" si="2"/>
        <v/>
      </c>
      <c r="I405" s="15" t="str">
        <f t="shared" si="3"/>
        <v/>
      </c>
      <c r="J405" s="7"/>
      <c r="K405" s="7"/>
    </row>
    <row r="406" ht="15.75" customHeight="1">
      <c r="A406" s="5" t="str">
        <f t="shared" si="1"/>
        <v/>
      </c>
      <c r="B406" s="6"/>
      <c r="C406" s="7" t="str">
        <f t="shared" si="4"/>
        <v/>
      </c>
      <c r="D406" s="7"/>
      <c r="G406" s="7"/>
      <c r="H406" s="15" t="str">
        <f t="shared" si="2"/>
        <v/>
      </c>
      <c r="I406" s="15" t="str">
        <f t="shared" si="3"/>
        <v/>
      </c>
      <c r="J406" s="7"/>
      <c r="K406" s="7"/>
    </row>
    <row r="407" ht="15.75" customHeight="1">
      <c r="A407" s="5" t="str">
        <f t="shared" si="1"/>
        <v/>
      </c>
      <c r="B407" s="6"/>
      <c r="C407" s="7" t="str">
        <f t="shared" si="4"/>
        <v/>
      </c>
      <c r="D407" s="7"/>
      <c r="G407" s="7"/>
      <c r="H407" s="15" t="str">
        <f t="shared" si="2"/>
        <v/>
      </c>
      <c r="I407" s="15" t="str">
        <f t="shared" si="3"/>
        <v/>
      </c>
      <c r="J407" s="7"/>
      <c r="K407" s="7"/>
    </row>
    <row r="408" ht="15.75" customHeight="1">
      <c r="A408" s="5" t="str">
        <f t="shared" si="1"/>
        <v/>
      </c>
      <c r="B408" s="6"/>
      <c r="C408" s="7" t="str">
        <f t="shared" si="4"/>
        <v/>
      </c>
      <c r="D408" s="7"/>
      <c r="G408" s="7"/>
      <c r="H408" s="15" t="str">
        <f t="shared" si="2"/>
        <v/>
      </c>
      <c r="I408" s="15" t="str">
        <f t="shared" si="3"/>
        <v/>
      </c>
      <c r="J408" s="7"/>
      <c r="K408" s="7"/>
    </row>
    <row r="409" ht="15.75" customHeight="1">
      <c r="A409" s="5" t="str">
        <f t="shared" si="1"/>
        <v/>
      </c>
      <c r="B409" s="6"/>
      <c r="C409" s="7" t="str">
        <f t="shared" si="4"/>
        <v/>
      </c>
      <c r="D409" s="7"/>
      <c r="G409" s="7"/>
      <c r="H409" s="15" t="str">
        <f t="shared" si="2"/>
        <v/>
      </c>
      <c r="I409" s="15" t="str">
        <f t="shared" si="3"/>
        <v/>
      </c>
      <c r="J409" s="7"/>
      <c r="K409" s="7"/>
    </row>
    <row r="410" ht="15.75" customHeight="1">
      <c r="A410" s="5" t="str">
        <f t="shared" si="1"/>
        <v/>
      </c>
      <c r="B410" s="6"/>
      <c r="C410" s="7" t="str">
        <f t="shared" si="4"/>
        <v/>
      </c>
      <c r="D410" s="7"/>
      <c r="G410" s="7"/>
      <c r="H410" s="15" t="str">
        <f t="shared" si="2"/>
        <v/>
      </c>
      <c r="I410" s="15" t="str">
        <f t="shared" si="3"/>
        <v/>
      </c>
      <c r="J410" s="7"/>
      <c r="K410" s="7"/>
    </row>
    <row r="411" ht="15.75" customHeight="1">
      <c r="A411" s="5" t="str">
        <f t="shared" si="1"/>
        <v/>
      </c>
      <c r="B411" s="6"/>
      <c r="C411" s="7" t="str">
        <f t="shared" si="4"/>
        <v/>
      </c>
      <c r="D411" s="7"/>
      <c r="G411" s="7"/>
      <c r="H411" s="15" t="str">
        <f t="shared" si="2"/>
        <v/>
      </c>
      <c r="I411" s="15" t="str">
        <f t="shared" si="3"/>
        <v/>
      </c>
      <c r="J411" s="7"/>
      <c r="K411" s="7"/>
    </row>
    <row r="412" ht="15.75" customHeight="1">
      <c r="A412" s="5" t="str">
        <f t="shared" si="1"/>
        <v/>
      </c>
      <c r="B412" s="6"/>
      <c r="C412" s="7" t="str">
        <f t="shared" si="4"/>
        <v/>
      </c>
      <c r="D412" s="7"/>
      <c r="G412" s="7"/>
      <c r="H412" s="15" t="str">
        <f t="shared" si="2"/>
        <v/>
      </c>
      <c r="I412" s="15" t="str">
        <f t="shared" si="3"/>
        <v/>
      </c>
      <c r="J412" s="7"/>
      <c r="K412" s="7"/>
    </row>
    <row r="413" ht="15.75" customHeight="1">
      <c r="A413" s="5" t="str">
        <f t="shared" si="1"/>
        <v/>
      </c>
      <c r="B413" s="6"/>
      <c r="C413" s="7" t="str">
        <f t="shared" si="4"/>
        <v/>
      </c>
      <c r="D413" s="7"/>
      <c r="G413" s="7"/>
      <c r="H413" s="15" t="str">
        <f t="shared" si="2"/>
        <v/>
      </c>
      <c r="I413" s="15" t="str">
        <f t="shared" si="3"/>
        <v/>
      </c>
      <c r="J413" s="7"/>
      <c r="K413" s="7"/>
    </row>
    <row r="414" ht="15.75" customHeight="1">
      <c r="A414" s="5" t="str">
        <f t="shared" si="1"/>
        <v/>
      </c>
      <c r="B414" s="6"/>
      <c r="C414" s="7" t="str">
        <f t="shared" si="4"/>
        <v/>
      </c>
      <c r="D414" s="7"/>
      <c r="G414" s="7"/>
      <c r="H414" s="15" t="str">
        <f t="shared" si="2"/>
        <v/>
      </c>
      <c r="I414" s="15" t="str">
        <f t="shared" si="3"/>
        <v/>
      </c>
      <c r="J414" s="7"/>
      <c r="K414" s="7"/>
    </row>
    <row r="415" ht="15.75" customHeight="1">
      <c r="A415" s="5" t="str">
        <f t="shared" si="1"/>
        <v/>
      </c>
      <c r="B415" s="6"/>
      <c r="C415" s="7" t="str">
        <f t="shared" si="4"/>
        <v/>
      </c>
      <c r="D415" s="7"/>
      <c r="G415" s="7"/>
      <c r="H415" s="15" t="str">
        <f t="shared" si="2"/>
        <v/>
      </c>
      <c r="I415" s="15" t="str">
        <f t="shared" si="3"/>
        <v/>
      </c>
      <c r="J415" s="7"/>
      <c r="K415" s="7"/>
    </row>
    <row r="416" ht="15.75" customHeight="1">
      <c r="A416" s="5" t="str">
        <f t="shared" si="1"/>
        <v/>
      </c>
      <c r="B416" s="6"/>
      <c r="C416" s="7" t="str">
        <f t="shared" si="4"/>
        <v/>
      </c>
      <c r="D416" s="7"/>
      <c r="G416" s="7"/>
      <c r="H416" s="15" t="str">
        <f t="shared" si="2"/>
        <v/>
      </c>
      <c r="I416" s="15" t="str">
        <f t="shared" si="3"/>
        <v/>
      </c>
      <c r="J416" s="7"/>
      <c r="K416" s="7"/>
    </row>
    <row r="417" ht="15.75" customHeight="1">
      <c r="A417" s="5" t="str">
        <f t="shared" si="1"/>
        <v/>
      </c>
      <c r="B417" s="6"/>
      <c r="C417" s="7" t="str">
        <f t="shared" si="4"/>
        <v/>
      </c>
      <c r="D417" s="7"/>
      <c r="G417" s="7"/>
      <c r="H417" s="15" t="str">
        <f t="shared" si="2"/>
        <v/>
      </c>
      <c r="I417" s="15" t="str">
        <f t="shared" si="3"/>
        <v/>
      </c>
      <c r="J417" s="7"/>
      <c r="K417" s="7"/>
    </row>
    <row r="418" ht="15.75" customHeight="1">
      <c r="A418" s="5" t="str">
        <f t="shared" si="1"/>
        <v/>
      </c>
      <c r="B418" s="6"/>
      <c r="C418" s="7" t="str">
        <f t="shared" si="4"/>
        <v/>
      </c>
      <c r="D418" s="7"/>
      <c r="G418" s="7"/>
      <c r="H418" s="15" t="str">
        <f t="shared" si="2"/>
        <v/>
      </c>
      <c r="I418" s="15" t="str">
        <f t="shared" si="3"/>
        <v/>
      </c>
      <c r="J418" s="7"/>
      <c r="K418" s="7"/>
    </row>
    <row r="419" ht="15.75" customHeight="1">
      <c r="A419" s="5" t="str">
        <f t="shared" si="1"/>
        <v/>
      </c>
      <c r="B419" s="6"/>
      <c r="C419" s="7" t="str">
        <f t="shared" si="4"/>
        <v/>
      </c>
      <c r="D419" s="7"/>
      <c r="G419" s="7"/>
      <c r="H419" s="15" t="str">
        <f t="shared" si="2"/>
        <v/>
      </c>
      <c r="I419" s="15" t="str">
        <f t="shared" si="3"/>
        <v/>
      </c>
      <c r="J419" s="7"/>
      <c r="K419" s="7"/>
    </row>
    <row r="420" ht="15.75" customHeight="1">
      <c r="A420" s="5" t="str">
        <f t="shared" si="1"/>
        <v/>
      </c>
      <c r="B420" s="6"/>
      <c r="C420" s="7" t="str">
        <f t="shared" si="4"/>
        <v/>
      </c>
      <c r="D420" s="7"/>
      <c r="G420" s="7"/>
      <c r="H420" s="15" t="str">
        <f t="shared" si="2"/>
        <v/>
      </c>
      <c r="I420" s="15" t="str">
        <f t="shared" si="3"/>
        <v/>
      </c>
      <c r="J420" s="7"/>
      <c r="K420" s="7"/>
    </row>
    <row r="421" ht="15.75" customHeight="1">
      <c r="A421" s="5" t="str">
        <f t="shared" si="1"/>
        <v/>
      </c>
      <c r="B421" s="6"/>
      <c r="C421" s="7" t="str">
        <f t="shared" si="4"/>
        <v/>
      </c>
      <c r="D421" s="7"/>
      <c r="G421" s="7"/>
      <c r="H421" s="15" t="str">
        <f t="shared" si="2"/>
        <v/>
      </c>
      <c r="I421" s="15" t="str">
        <f t="shared" si="3"/>
        <v/>
      </c>
      <c r="J421" s="7"/>
      <c r="K421" s="7"/>
    </row>
    <row r="422" ht="15.75" customHeight="1">
      <c r="A422" s="5" t="str">
        <f t="shared" si="1"/>
        <v/>
      </c>
      <c r="B422" s="6"/>
      <c r="C422" s="7" t="str">
        <f t="shared" si="4"/>
        <v/>
      </c>
      <c r="D422" s="7"/>
      <c r="G422" s="7"/>
      <c r="H422" s="15" t="str">
        <f t="shared" si="2"/>
        <v/>
      </c>
      <c r="I422" s="15" t="str">
        <f t="shared" si="3"/>
        <v/>
      </c>
      <c r="J422" s="7"/>
      <c r="K422" s="7"/>
    </row>
    <row r="423" ht="15.75" customHeight="1">
      <c r="A423" s="5" t="str">
        <f t="shared" si="1"/>
        <v/>
      </c>
      <c r="B423" s="6"/>
      <c r="C423" s="7" t="str">
        <f t="shared" si="4"/>
        <v/>
      </c>
      <c r="D423" s="7"/>
      <c r="G423" s="7"/>
      <c r="H423" s="15" t="str">
        <f t="shared" si="2"/>
        <v/>
      </c>
      <c r="I423" s="15" t="str">
        <f t="shared" si="3"/>
        <v/>
      </c>
      <c r="J423" s="7"/>
      <c r="K423" s="7"/>
    </row>
    <row r="424" ht="15.75" customHeight="1">
      <c r="A424" s="5" t="str">
        <f t="shared" si="1"/>
        <v/>
      </c>
      <c r="B424" s="6"/>
      <c r="C424" s="7" t="str">
        <f t="shared" si="4"/>
        <v/>
      </c>
      <c r="D424" s="7"/>
      <c r="G424" s="7"/>
      <c r="H424" s="15" t="str">
        <f t="shared" si="2"/>
        <v/>
      </c>
      <c r="I424" s="15" t="str">
        <f t="shared" si="3"/>
        <v/>
      </c>
      <c r="J424" s="7"/>
      <c r="K424" s="7"/>
    </row>
    <row r="425" ht="15.75" customHeight="1">
      <c r="A425" s="5" t="str">
        <f t="shared" si="1"/>
        <v/>
      </c>
      <c r="B425" s="6"/>
      <c r="C425" s="7" t="str">
        <f t="shared" si="4"/>
        <v/>
      </c>
      <c r="D425" s="7"/>
      <c r="G425" s="7"/>
      <c r="H425" s="15" t="str">
        <f t="shared" si="2"/>
        <v/>
      </c>
      <c r="I425" s="15" t="str">
        <f t="shared" si="3"/>
        <v/>
      </c>
      <c r="J425" s="7"/>
      <c r="K425" s="7"/>
    </row>
    <row r="426" ht="15.75" customHeight="1">
      <c r="A426" s="5" t="str">
        <f t="shared" si="1"/>
        <v/>
      </c>
      <c r="B426" s="6"/>
      <c r="C426" s="7" t="str">
        <f t="shared" si="4"/>
        <v/>
      </c>
      <c r="D426" s="7"/>
      <c r="G426" s="7"/>
      <c r="H426" s="15" t="str">
        <f t="shared" si="2"/>
        <v/>
      </c>
      <c r="I426" s="15" t="str">
        <f t="shared" si="3"/>
        <v/>
      </c>
      <c r="J426" s="7"/>
      <c r="K426" s="7"/>
    </row>
    <row r="427" ht="15.75" customHeight="1">
      <c r="A427" s="5" t="str">
        <f t="shared" si="1"/>
        <v/>
      </c>
      <c r="B427" s="6"/>
      <c r="C427" s="7" t="str">
        <f t="shared" si="4"/>
        <v/>
      </c>
      <c r="D427" s="7"/>
      <c r="G427" s="7"/>
      <c r="H427" s="15" t="str">
        <f t="shared" si="2"/>
        <v/>
      </c>
      <c r="I427" s="15" t="str">
        <f t="shared" si="3"/>
        <v/>
      </c>
      <c r="J427" s="7"/>
      <c r="K427" s="7"/>
    </row>
    <row r="428" ht="15.75" customHeight="1">
      <c r="A428" s="5" t="str">
        <f t="shared" si="1"/>
        <v/>
      </c>
      <c r="B428" s="6"/>
      <c r="C428" s="7" t="str">
        <f t="shared" si="4"/>
        <v/>
      </c>
      <c r="D428" s="7"/>
      <c r="G428" s="7"/>
      <c r="H428" s="15" t="str">
        <f t="shared" si="2"/>
        <v/>
      </c>
      <c r="I428" s="15" t="str">
        <f t="shared" si="3"/>
        <v/>
      </c>
      <c r="J428" s="7"/>
      <c r="K428" s="7"/>
    </row>
    <row r="429" ht="15.75" customHeight="1">
      <c r="A429" s="5" t="str">
        <f t="shared" si="1"/>
        <v/>
      </c>
      <c r="B429" s="6"/>
      <c r="C429" s="7" t="str">
        <f t="shared" si="4"/>
        <v/>
      </c>
      <c r="D429" s="7"/>
      <c r="G429" s="7"/>
      <c r="H429" s="15" t="str">
        <f t="shared" si="2"/>
        <v/>
      </c>
      <c r="I429" s="15" t="str">
        <f t="shared" si="3"/>
        <v/>
      </c>
      <c r="J429" s="7"/>
      <c r="K429" s="7"/>
    </row>
    <row r="430" ht="15.75" customHeight="1">
      <c r="A430" s="5" t="str">
        <f t="shared" si="1"/>
        <v/>
      </c>
      <c r="B430" s="6"/>
      <c r="C430" s="7" t="str">
        <f t="shared" si="4"/>
        <v/>
      </c>
      <c r="D430" s="7"/>
      <c r="G430" s="7"/>
      <c r="H430" s="15" t="str">
        <f t="shared" si="2"/>
        <v/>
      </c>
      <c r="I430" s="15" t="str">
        <f t="shared" si="3"/>
        <v/>
      </c>
      <c r="J430" s="7"/>
      <c r="K430" s="7"/>
    </row>
    <row r="431" ht="15.75" customHeight="1">
      <c r="A431" s="5" t="str">
        <f t="shared" si="1"/>
        <v/>
      </c>
      <c r="B431" s="6"/>
      <c r="C431" s="7" t="str">
        <f t="shared" si="4"/>
        <v/>
      </c>
      <c r="D431" s="7"/>
      <c r="G431" s="7"/>
      <c r="H431" s="15" t="str">
        <f t="shared" si="2"/>
        <v/>
      </c>
      <c r="I431" s="15" t="str">
        <f t="shared" si="3"/>
        <v/>
      </c>
      <c r="J431" s="7"/>
      <c r="K431" s="7"/>
    </row>
    <row r="432" ht="15.75" customHeight="1">
      <c r="A432" s="5" t="str">
        <f t="shared" si="1"/>
        <v/>
      </c>
      <c r="B432" s="6"/>
      <c r="C432" s="7" t="str">
        <f t="shared" si="4"/>
        <v/>
      </c>
      <c r="D432" s="7"/>
      <c r="G432" s="7"/>
      <c r="H432" s="15" t="str">
        <f t="shared" si="2"/>
        <v/>
      </c>
      <c r="I432" s="15" t="str">
        <f t="shared" si="3"/>
        <v/>
      </c>
      <c r="J432" s="7"/>
      <c r="K432" s="7"/>
    </row>
    <row r="433" ht="15.75" customHeight="1">
      <c r="A433" s="5" t="str">
        <f t="shared" si="1"/>
        <v/>
      </c>
      <c r="B433" s="6"/>
      <c r="C433" s="7" t="str">
        <f t="shared" si="4"/>
        <v/>
      </c>
      <c r="D433" s="7"/>
      <c r="G433" s="7"/>
      <c r="H433" s="15" t="str">
        <f t="shared" si="2"/>
        <v/>
      </c>
      <c r="I433" s="15" t="str">
        <f t="shared" si="3"/>
        <v/>
      </c>
      <c r="J433" s="7"/>
      <c r="K433" s="7"/>
    </row>
    <row r="434" ht="15.75" customHeight="1">
      <c r="A434" s="5" t="str">
        <f t="shared" si="1"/>
        <v/>
      </c>
      <c r="B434" s="6"/>
      <c r="C434" s="7" t="str">
        <f t="shared" si="4"/>
        <v/>
      </c>
      <c r="D434" s="7"/>
      <c r="G434" s="7"/>
      <c r="H434" s="15" t="str">
        <f t="shared" si="2"/>
        <v/>
      </c>
      <c r="I434" s="15" t="str">
        <f t="shared" si="3"/>
        <v/>
      </c>
      <c r="J434" s="7"/>
      <c r="K434" s="7"/>
    </row>
    <row r="435" ht="15.75" customHeight="1">
      <c r="A435" s="5" t="str">
        <f t="shared" si="1"/>
        <v/>
      </c>
      <c r="B435" s="6"/>
      <c r="C435" s="7" t="str">
        <f t="shared" si="4"/>
        <v/>
      </c>
      <c r="D435" s="7"/>
      <c r="G435" s="7"/>
      <c r="H435" s="15" t="str">
        <f t="shared" si="2"/>
        <v/>
      </c>
      <c r="I435" s="15" t="str">
        <f t="shared" si="3"/>
        <v/>
      </c>
      <c r="J435" s="7"/>
      <c r="K435" s="7"/>
    </row>
    <row r="436" ht="15.75" customHeight="1">
      <c r="A436" s="5" t="str">
        <f t="shared" si="1"/>
        <v/>
      </c>
      <c r="B436" s="6"/>
      <c r="C436" s="7" t="str">
        <f t="shared" si="4"/>
        <v/>
      </c>
      <c r="D436" s="7"/>
      <c r="G436" s="7"/>
      <c r="H436" s="15" t="str">
        <f t="shared" si="2"/>
        <v/>
      </c>
      <c r="I436" s="15" t="str">
        <f t="shared" si="3"/>
        <v/>
      </c>
      <c r="J436" s="7"/>
      <c r="K436" s="7"/>
    </row>
    <row r="437" ht="15.75" customHeight="1">
      <c r="A437" s="5" t="str">
        <f t="shared" si="1"/>
        <v/>
      </c>
      <c r="B437" s="6"/>
      <c r="C437" s="7" t="str">
        <f t="shared" si="4"/>
        <v/>
      </c>
      <c r="D437" s="7"/>
      <c r="G437" s="7"/>
      <c r="H437" s="15" t="str">
        <f t="shared" si="2"/>
        <v/>
      </c>
      <c r="I437" s="15" t="str">
        <f t="shared" si="3"/>
        <v/>
      </c>
      <c r="J437" s="7"/>
      <c r="K437" s="7"/>
    </row>
    <row r="438" ht="15.75" customHeight="1">
      <c r="A438" s="5" t="str">
        <f t="shared" si="1"/>
        <v/>
      </c>
      <c r="B438" s="6"/>
      <c r="C438" s="7" t="str">
        <f t="shared" si="4"/>
        <v/>
      </c>
      <c r="D438" s="7"/>
      <c r="G438" s="7"/>
      <c r="H438" s="15" t="str">
        <f t="shared" si="2"/>
        <v/>
      </c>
      <c r="I438" s="15" t="str">
        <f t="shared" si="3"/>
        <v/>
      </c>
      <c r="J438" s="7"/>
      <c r="K438" s="7"/>
    </row>
    <row r="439" ht="15.75" customHeight="1">
      <c r="A439" s="5" t="str">
        <f t="shared" si="1"/>
        <v/>
      </c>
      <c r="B439" s="6"/>
      <c r="C439" s="7" t="str">
        <f t="shared" si="4"/>
        <v/>
      </c>
      <c r="D439" s="7"/>
      <c r="G439" s="7"/>
      <c r="H439" s="15" t="str">
        <f t="shared" si="2"/>
        <v/>
      </c>
      <c r="I439" s="15" t="str">
        <f t="shared" si="3"/>
        <v/>
      </c>
      <c r="J439" s="7"/>
      <c r="K439" s="7"/>
    </row>
    <row r="440" ht="15.75" customHeight="1">
      <c r="A440" s="5" t="str">
        <f t="shared" si="1"/>
        <v/>
      </c>
      <c r="B440" s="6"/>
      <c r="C440" s="7" t="str">
        <f t="shared" si="4"/>
        <v/>
      </c>
      <c r="D440" s="7"/>
      <c r="G440" s="7"/>
      <c r="H440" s="15" t="str">
        <f t="shared" si="2"/>
        <v/>
      </c>
      <c r="I440" s="15" t="str">
        <f t="shared" si="3"/>
        <v/>
      </c>
      <c r="J440" s="7"/>
      <c r="K440" s="7"/>
    </row>
    <row r="441" ht="15.75" customHeight="1">
      <c r="A441" s="5" t="str">
        <f t="shared" si="1"/>
        <v/>
      </c>
      <c r="B441" s="6"/>
      <c r="C441" s="7" t="str">
        <f t="shared" si="4"/>
        <v/>
      </c>
      <c r="D441" s="7"/>
      <c r="G441" s="7"/>
      <c r="H441" s="15" t="str">
        <f t="shared" si="2"/>
        <v/>
      </c>
      <c r="I441" s="15" t="str">
        <f t="shared" si="3"/>
        <v/>
      </c>
      <c r="J441" s="7"/>
      <c r="K441" s="7"/>
    </row>
    <row r="442" ht="15.75" customHeight="1">
      <c r="A442" s="5" t="str">
        <f t="shared" si="1"/>
        <v/>
      </c>
      <c r="B442" s="6"/>
      <c r="C442" s="7" t="str">
        <f t="shared" si="4"/>
        <v/>
      </c>
      <c r="D442" s="7"/>
      <c r="G442" s="7"/>
      <c r="H442" s="15" t="str">
        <f t="shared" si="2"/>
        <v/>
      </c>
      <c r="I442" s="15" t="str">
        <f t="shared" si="3"/>
        <v/>
      </c>
      <c r="J442" s="7"/>
      <c r="K442" s="7"/>
    </row>
    <row r="443" ht="15.75" customHeight="1">
      <c r="A443" s="5" t="str">
        <f t="shared" si="1"/>
        <v/>
      </c>
      <c r="B443" s="6"/>
      <c r="C443" s="7" t="str">
        <f t="shared" si="4"/>
        <v/>
      </c>
      <c r="D443" s="7"/>
      <c r="G443" s="7"/>
      <c r="H443" s="15" t="str">
        <f t="shared" si="2"/>
        <v/>
      </c>
      <c r="I443" s="15" t="str">
        <f t="shared" si="3"/>
        <v/>
      </c>
      <c r="J443" s="7"/>
      <c r="K443" s="7"/>
    </row>
    <row r="444" ht="15.75" customHeight="1">
      <c r="A444" s="5" t="str">
        <f t="shared" si="1"/>
        <v/>
      </c>
      <c r="B444" s="6"/>
      <c r="C444" s="7" t="str">
        <f t="shared" si="4"/>
        <v/>
      </c>
      <c r="D444" s="7"/>
      <c r="G444" s="7"/>
      <c r="H444" s="15" t="str">
        <f t="shared" si="2"/>
        <v/>
      </c>
      <c r="I444" s="15" t="str">
        <f t="shared" si="3"/>
        <v/>
      </c>
      <c r="J444" s="7"/>
      <c r="K444" s="7"/>
    </row>
    <row r="445" ht="15.75" customHeight="1">
      <c r="A445" s="5" t="str">
        <f t="shared" si="1"/>
        <v/>
      </c>
      <c r="B445" s="6"/>
      <c r="C445" s="7" t="str">
        <f t="shared" si="4"/>
        <v/>
      </c>
      <c r="D445" s="7"/>
      <c r="G445" s="7"/>
      <c r="H445" s="15" t="str">
        <f t="shared" si="2"/>
        <v/>
      </c>
      <c r="I445" s="15" t="str">
        <f t="shared" si="3"/>
        <v/>
      </c>
      <c r="J445" s="7"/>
      <c r="K445" s="7"/>
    </row>
    <row r="446" ht="15.75" customHeight="1">
      <c r="A446" s="5" t="str">
        <f t="shared" si="1"/>
        <v/>
      </c>
      <c r="B446" s="6"/>
      <c r="C446" s="7" t="str">
        <f t="shared" si="4"/>
        <v/>
      </c>
      <c r="D446" s="7"/>
      <c r="G446" s="7"/>
      <c r="H446" s="15" t="str">
        <f t="shared" si="2"/>
        <v/>
      </c>
      <c r="I446" s="15" t="str">
        <f t="shared" si="3"/>
        <v/>
      </c>
      <c r="J446" s="7"/>
      <c r="K446" s="7"/>
    </row>
    <row r="447" ht="15.75" customHeight="1">
      <c r="A447" s="5" t="str">
        <f t="shared" si="1"/>
        <v/>
      </c>
      <c r="B447" s="6"/>
      <c r="C447" s="7" t="str">
        <f t="shared" si="4"/>
        <v/>
      </c>
      <c r="D447" s="7"/>
      <c r="G447" s="7"/>
      <c r="H447" s="15" t="str">
        <f t="shared" si="2"/>
        <v/>
      </c>
      <c r="I447" s="15" t="str">
        <f t="shared" si="3"/>
        <v/>
      </c>
      <c r="J447" s="7"/>
      <c r="K447" s="7"/>
    </row>
    <row r="448" ht="15.75" customHeight="1">
      <c r="A448" s="5" t="str">
        <f t="shared" si="1"/>
        <v/>
      </c>
      <c r="B448" s="6"/>
      <c r="C448" s="7" t="str">
        <f t="shared" si="4"/>
        <v/>
      </c>
      <c r="D448" s="7"/>
      <c r="G448" s="7"/>
      <c r="H448" s="15" t="str">
        <f t="shared" si="2"/>
        <v/>
      </c>
      <c r="I448" s="15" t="str">
        <f t="shared" si="3"/>
        <v/>
      </c>
      <c r="J448" s="7"/>
      <c r="K448" s="7"/>
    </row>
    <row r="449" ht="15.75" customHeight="1">
      <c r="A449" s="5" t="str">
        <f t="shared" si="1"/>
        <v/>
      </c>
      <c r="B449" s="6"/>
      <c r="C449" s="7" t="str">
        <f t="shared" si="4"/>
        <v/>
      </c>
      <c r="D449" s="7"/>
      <c r="G449" s="7"/>
      <c r="H449" s="15" t="str">
        <f t="shared" si="2"/>
        <v/>
      </c>
      <c r="I449" s="15" t="str">
        <f t="shared" si="3"/>
        <v/>
      </c>
      <c r="J449" s="7"/>
      <c r="K449" s="7"/>
    </row>
    <row r="450" ht="15.75" customHeight="1">
      <c r="A450" s="5" t="str">
        <f t="shared" si="1"/>
        <v/>
      </c>
      <c r="B450" s="6"/>
      <c r="C450" s="7" t="str">
        <f t="shared" si="4"/>
        <v/>
      </c>
      <c r="D450" s="7"/>
      <c r="G450" s="7"/>
      <c r="H450" s="15" t="str">
        <f t="shared" si="2"/>
        <v/>
      </c>
      <c r="I450" s="15" t="str">
        <f t="shared" si="3"/>
        <v/>
      </c>
      <c r="J450" s="7"/>
      <c r="K450" s="7"/>
    </row>
    <row r="451" ht="15.75" customHeight="1">
      <c r="A451" s="5" t="str">
        <f t="shared" si="1"/>
        <v/>
      </c>
      <c r="B451" s="6"/>
      <c r="C451" s="7" t="str">
        <f t="shared" si="4"/>
        <v/>
      </c>
      <c r="D451" s="7"/>
      <c r="G451" s="7"/>
      <c r="H451" s="15" t="str">
        <f t="shared" si="2"/>
        <v/>
      </c>
      <c r="I451" s="15" t="str">
        <f t="shared" si="3"/>
        <v/>
      </c>
      <c r="J451" s="7"/>
      <c r="K451" s="7"/>
    </row>
    <row r="452" ht="15.75" customHeight="1">
      <c r="A452" s="5" t="str">
        <f t="shared" si="1"/>
        <v/>
      </c>
      <c r="B452" s="6"/>
      <c r="C452" s="7" t="str">
        <f t="shared" si="4"/>
        <v/>
      </c>
      <c r="D452" s="7"/>
      <c r="G452" s="7"/>
      <c r="H452" s="15" t="str">
        <f t="shared" si="2"/>
        <v/>
      </c>
      <c r="I452" s="15" t="str">
        <f t="shared" si="3"/>
        <v/>
      </c>
      <c r="J452" s="7"/>
      <c r="K452" s="7"/>
    </row>
    <row r="453" ht="15.75" customHeight="1">
      <c r="A453" s="5" t="str">
        <f t="shared" si="1"/>
        <v/>
      </c>
      <c r="B453" s="6"/>
      <c r="C453" s="7" t="str">
        <f t="shared" si="4"/>
        <v/>
      </c>
      <c r="D453" s="7"/>
      <c r="G453" s="7"/>
      <c r="H453" s="15" t="str">
        <f t="shared" si="2"/>
        <v/>
      </c>
      <c r="I453" s="15" t="str">
        <f t="shared" si="3"/>
        <v/>
      </c>
      <c r="J453" s="7"/>
      <c r="K453" s="7"/>
    </row>
    <row r="454" ht="15.75" customHeight="1">
      <c r="A454" s="5" t="str">
        <f t="shared" si="1"/>
        <v/>
      </c>
      <c r="B454" s="6"/>
      <c r="C454" s="7" t="str">
        <f t="shared" si="4"/>
        <v/>
      </c>
      <c r="D454" s="7"/>
      <c r="G454" s="7"/>
      <c r="H454" s="15" t="str">
        <f t="shared" si="2"/>
        <v/>
      </c>
      <c r="I454" s="15" t="str">
        <f t="shared" si="3"/>
        <v/>
      </c>
      <c r="J454" s="7"/>
      <c r="K454" s="7"/>
    </row>
    <row r="455" ht="15.75" customHeight="1">
      <c r="A455" s="5" t="str">
        <f t="shared" si="1"/>
        <v/>
      </c>
      <c r="B455" s="6"/>
      <c r="C455" s="7" t="str">
        <f t="shared" si="4"/>
        <v/>
      </c>
      <c r="D455" s="7"/>
      <c r="G455" s="7"/>
      <c r="H455" s="15" t="str">
        <f t="shared" si="2"/>
        <v/>
      </c>
      <c r="I455" s="15" t="str">
        <f t="shared" si="3"/>
        <v/>
      </c>
      <c r="J455" s="7"/>
      <c r="K455" s="7"/>
    </row>
    <row r="456" ht="15.75" customHeight="1">
      <c r="A456" s="5" t="str">
        <f t="shared" si="1"/>
        <v/>
      </c>
      <c r="B456" s="6"/>
      <c r="C456" s="7" t="str">
        <f t="shared" si="4"/>
        <v/>
      </c>
      <c r="D456" s="7"/>
      <c r="G456" s="7"/>
      <c r="H456" s="15" t="str">
        <f t="shared" si="2"/>
        <v/>
      </c>
      <c r="I456" s="15" t="str">
        <f t="shared" si="3"/>
        <v/>
      </c>
      <c r="J456" s="7"/>
      <c r="K456" s="7"/>
    </row>
    <row r="457" ht="15.75" customHeight="1">
      <c r="A457" s="5" t="str">
        <f t="shared" si="1"/>
        <v/>
      </c>
      <c r="B457" s="6"/>
      <c r="C457" s="7" t="str">
        <f t="shared" si="4"/>
        <v/>
      </c>
      <c r="D457" s="7"/>
      <c r="G457" s="7"/>
      <c r="H457" s="15" t="str">
        <f t="shared" si="2"/>
        <v/>
      </c>
      <c r="I457" s="15" t="str">
        <f t="shared" si="3"/>
        <v/>
      </c>
      <c r="J457" s="7"/>
      <c r="K457" s="7"/>
    </row>
    <row r="458" ht="15.75" customHeight="1">
      <c r="A458" s="5" t="str">
        <f t="shared" si="1"/>
        <v/>
      </c>
      <c r="B458" s="6"/>
      <c r="C458" s="7" t="str">
        <f t="shared" si="4"/>
        <v/>
      </c>
      <c r="D458" s="7"/>
      <c r="G458" s="7"/>
      <c r="H458" s="15" t="str">
        <f t="shared" si="2"/>
        <v/>
      </c>
      <c r="I458" s="15" t="str">
        <f t="shared" si="3"/>
        <v/>
      </c>
      <c r="J458" s="7"/>
      <c r="K458" s="7"/>
    </row>
    <row r="459" ht="15.75" customHeight="1">
      <c r="A459" s="5" t="str">
        <f t="shared" si="1"/>
        <v/>
      </c>
      <c r="B459" s="6"/>
      <c r="C459" s="7" t="str">
        <f t="shared" si="4"/>
        <v/>
      </c>
      <c r="D459" s="7"/>
      <c r="G459" s="7"/>
      <c r="H459" s="15" t="str">
        <f t="shared" si="2"/>
        <v/>
      </c>
      <c r="I459" s="15" t="str">
        <f t="shared" si="3"/>
        <v/>
      </c>
      <c r="J459" s="7"/>
      <c r="K459" s="7"/>
    </row>
    <row r="460" ht="15.75" customHeight="1">
      <c r="A460" s="5" t="str">
        <f t="shared" si="1"/>
        <v/>
      </c>
      <c r="B460" s="6"/>
      <c r="C460" s="7" t="str">
        <f t="shared" si="4"/>
        <v/>
      </c>
      <c r="D460" s="7"/>
      <c r="G460" s="7"/>
      <c r="H460" s="15" t="str">
        <f t="shared" si="2"/>
        <v/>
      </c>
      <c r="I460" s="15" t="str">
        <f t="shared" si="3"/>
        <v/>
      </c>
      <c r="J460" s="7"/>
      <c r="K460" s="7"/>
    </row>
    <row r="461" ht="15.75" customHeight="1">
      <c r="A461" s="5" t="str">
        <f t="shared" si="1"/>
        <v/>
      </c>
      <c r="B461" s="6"/>
      <c r="C461" s="7" t="str">
        <f t="shared" si="4"/>
        <v/>
      </c>
      <c r="D461" s="7"/>
      <c r="G461" s="7"/>
      <c r="H461" s="15" t="str">
        <f t="shared" si="2"/>
        <v/>
      </c>
      <c r="I461" s="15" t="str">
        <f t="shared" si="3"/>
        <v/>
      </c>
      <c r="J461" s="7"/>
      <c r="K461" s="7"/>
    </row>
    <row r="462" ht="15.75" customHeight="1">
      <c r="A462" s="5" t="str">
        <f t="shared" si="1"/>
        <v/>
      </c>
      <c r="B462" s="6"/>
      <c r="C462" s="7" t="str">
        <f t="shared" si="4"/>
        <v/>
      </c>
      <c r="D462" s="7"/>
      <c r="G462" s="7"/>
      <c r="H462" s="15" t="str">
        <f t="shared" si="2"/>
        <v/>
      </c>
      <c r="I462" s="15" t="str">
        <f t="shared" si="3"/>
        <v/>
      </c>
      <c r="J462" s="7"/>
      <c r="K462" s="7"/>
    </row>
    <row r="463" ht="15.75" customHeight="1">
      <c r="A463" s="5" t="str">
        <f t="shared" si="1"/>
        <v/>
      </c>
      <c r="B463" s="6"/>
      <c r="C463" s="7" t="str">
        <f t="shared" si="4"/>
        <v/>
      </c>
      <c r="D463" s="7"/>
      <c r="G463" s="7"/>
      <c r="H463" s="15" t="str">
        <f t="shared" si="2"/>
        <v/>
      </c>
      <c r="I463" s="15" t="str">
        <f t="shared" si="3"/>
        <v/>
      </c>
      <c r="J463" s="7"/>
      <c r="K463" s="7"/>
    </row>
    <row r="464" ht="15.75" customHeight="1">
      <c r="A464" s="5" t="str">
        <f t="shared" si="1"/>
        <v/>
      </c>
      <c r="B464" s="6"/>
      <c r="C464" s="7" t="str">
        <f t="shared" si="4"/>
        <v/>
      </c>
      <c r="D464" s="7"/>
      <c r="G464" s="7"/>
      <c r="H464" s="15" t="str">
        <f t="shared" si="2"/>
        <v/>
      </c>
      <c r="I464" s="15" t="str">
        <f t="shared" si="3"/>
        <v/>
      </c>
      <c r="J464" s="7"/>
      <c r="K464" s="7"/>
    </row>
    <row r="465" ht="15.75" customHeight="1">
      <c r="A465" s="5" t="str">
        <f t="shared" si="1"/>
        <v/>
      </c>
      <c r="B465" s="6"/>
      <c r="C465" s="7" t="str">
        <f t="shared" si="4"/>
        <v/>
      </c>
      <c r="D465" s="7"/>
      <c r="G465" s="7"/>
      <c r="H465" s="15" t="str">
        <f t="shared" si="2"/>
        <v/>
      </c>
      <c r="I465" s="15" t="str">
        <f t="shared" si="3"/>
        <v/>
      </c>
      <c r="J465" s="7"/>
      <c r="K465" s="7"/>
    </row>
    <row r="466" ht="15.75" customHeight="1">
      <c r="A466" s="5" t="str">
        <f t="shared" si="1"/>
        <v/>
      </c>
      <c r="B466" s="6"/>
      <c r="C466" s="7" t="str">
        <f t="shared" si="4"/>
        <v/>
      </c>
      <c r="D466" s="7"/>
      <c r="G466" s="7"/>
      <c r="H466" s="15" t="str">
        <f t="shared" si="2"/>
        <v/>
      </c>
      <c r="I466" s="15" t="str">
        <f t="shared" si="3"/>
        <v/>
      </c>
      <c r="J466" s="7"/>
      <c r="K466" s="7"/>
    </row>
    <row r="467" ht="15.75" customHeight="1">
      <c r="A467" s="5" t="str">
        <f t="shared" si="1"/>
        <v/>
      </c>
      <c r="B467" s="6"/>
      <c r="C467" s="7" t="str">
        <f t="shared" si="4"/>
        <v/>
      </c>
      <c r="D467" s="7"/>
      <c r="G467" s="7"/>
      <c r="H467" s="15" t="str">
        <f t="shared" si="2"/>
        <v/>
      </c>
      <c r="I467" s="15" t="str">
        <f t="shared" si="3"/>
        <v/>
      </c>
      <c r="J467" s="7"/>
      <c r="K467" s="7"/>
    </row>
    <row r="468" ht="15.75" customHeight="1">
      <c r="A468" s="5" t="str">
        <f t="shared" si="1"/>
        <v/>
      </c>
      <c r="B468" s="6"/>
      <c r="C468" s="7" t="str">
        <f t="shared" si="4"/>
        <v/>
      </c>
      <c r="D468" s="7"/>
      <c r="G468" s="7"/>
      <c r="H468" s="15" t="str">
        <f t="shared" si="2"/>
        <v/>
      </c>
      <c r="I468" s="15" t="str">
        <f t="shared" si="3"/>
        <v/>
      </c>
      <c r="J468" s="7"/>
      <c r="K468" s="7"/>
    </row>
    <row r="469" ht="15.75" customHeight="1">
      <c r="A469" s="5" t="str">
        <f t="shared" si="1"/>
        <v/>
      </c>
      <c r="B469" s="6"/>
      <c r="C469" s="7" t="str">
        <f t="shared" si="4"/>
        <v/>
      </c>
      <c r="D469" s="7"/>
      <c r="G469" s="7"/>
      <c r="H469" s="15" t="str">
        <f t="shared" si="2"/>
        <v/>
      </c>
      <c r="I469" s="15" t="str">
        <f t="shared" si="3"/>
        <v/>
      </c>
      <c r="J469" s="7"/>
      <c r="K469" s="7"/>
    </row>
    <row r="470" ht="15.75" customHeight="1">
      <c r="A470" s="5" t="str">
        <f t="shared" si="1"/>
        <v/>
      </c>
      <c r="B470" s="6"/>
      <c r="C470" s="7" t="str">
        <f t="shared" si="4"/>
        <v/>
      </c>
      <c r="D470" s="7"/>
      <c r="G470" s="7"/>
      <c r="H470" s="15" t="str">
        <f t="shared" si="2"/>
        <v/>
      </c>
      <c r="I470" s="15" t="str">
        <f t="shared" si="3"/>
        <v/>
      </c>
      <c r="J470" s="7"/>
      <c r="K470" s="7"/>
    </row>
    <row r="471" ht="15.75" customHeight="1">
      <c r="A471" s="5" t="str">
        <f t="shared" si="1"/>
        <v/>
      </c>
      <c r="B471" s="6"/>
      <c r="C471" s="7" t="str">
        <f t="shared" si="4"/>
        <v/>
      </c>
      <c r="D471" s="7"/>
      <c r="G471" s="7"/>
      <c r="H471" s="15" t="str">
        <f t="shared" si="2"/>
        <v/>
      </c>
      <c r="I471" s="15" t="str">
        <f t="shared" si="3"/>
        <v/>
      </c>
      <c r="J471" s="7"/>
      <c r="K471" s="7"/>
    </row>
    <row r="472" ht="15.75" customHeight="1">
      <c r="A472" s="5" t="str">
        <f t="shared" si="1"/>
        <v/>
      </c>
      <c r="B472" s="6"/>
      <c r="C472" s="7" t="str">
        <f t="shared" si="4"/>
        <v/>
      </c>
      <c r="D472" s="7"/>
      <c r="G472" s="7"/>
      <c r="H472" s="15" t="str">
        <f t="shared" si="2"/>
        <v/>
      </c>
      <c r="I472" s="15" t="str">
        <f t="shared" si="3"/>
        <v/>
      </c>
      <c r="J472" s="7"/>
      <c r="K472" s="7"/>
    </row>
    <row r="473" ht="15.75" customHeight="1">
      <c r="A473" s="5" t="str">
        <f t="shared" si="1"/>
        <v/>
      </c>
      <c r="B473" s="6"/>
      <c r="C473" s="7" t="str">
        <f t="shared" si="4"/>
        <v/>
      </c>
      <c r="D473" s="7"/>
      <c r="G473" s="7"/>
      <c r="H473" s="15" t="str">
        <f t="shared" si="2"/>
        <v/>
      </c>
      <c r="I473" s="15" t="str">
        <f t="shared" si="3"/>
        <v/>
      </c>
      <c r="J473" s="7"/>
      <c r="K473" s="7"/>
    </row>
    <row r="474" ht="15.75" customHeight="1">
      <c r="A474" s="5" t="str">
        <f t="shared" si="1"/>
        <v/>
      </c>
      <c r="B474" s="6"/>
      <c r="C474" s="7" t="str">
        <f t="shared" si="4"/>
        <v/>
      </c>
      <c r="D474" s="7"/>
      <c r="G474" s="7"/>
      <c r="H474" s="15" t="str">
        <f t="shared" si="2"/>
        <v/>
      </c>
      <c r="I474" s="15" t="str">
        <f t="shared" si="3"/>
        <v/>
      </c>
      <c r="J474" s="7"/>
      <c r="K474" s="7"/>
    </row>
    <row r="475" ht="15.75" customHeight="1">
      <c r="A475" s="5" t="str">
        <f t="shared" si="1"/>
        <v/>
      </c>
      <c r="B475" s="6"/>
      <c r="C475" s="7" t="str">
        <f t="shared" si="4"/>
        <v/>
      </c>
      <c r="D475" s="7"/>
      <c r="G475" s="7"/>
      <c r="H475" s="15" t="str">
        <f t="shared" si="2"/>
        <v/>
      </c>
      <c r="I475" s="15" t="str">
        <f t="shared" si="3"/>
        <v/>
      </c>
      <c r="J475" s="7"/>
      <c r="K475" s="7"/>
    </row>
    <row r="476" ht="15.75" customHeight="1">
      <c r="A476" s="5" t="str">
        <f t="shared" si="1"/>
        <v/>
      </c>
      <c r="B476" s="6"/>
      <c r="C476" s="7" t="str">
        <f t="shared" si="4"/>
        <v/>
      </c>
      <c r="D476" s="7"/>
      <c r="G476" s="7"/>
      <c r="H476" s="15" t="str">
        <f t="shared" si="2"/>
        <v/>
      </c>
      <c r="I476" s="15" t="str">
        <f t="shared" si="3"/>
        <v/>
      </c>
      <c r="J476" s="7"/>
      <c r="K476" s="7"/>
    </row>
    <row r="477" ht="15.75" customHeight="1">
      <c r="A477" s="5" t="str">
        <f t="shared" si="1"/>
        <v/>
      </c>
      <c r="B477" s="6"/>
      <c r="C477" s="7" t="str">
        <f t="shared" si="4"/>
        <v/>
      </c>
      <c r="D477" s="7"/>
      <c r="G477" s="7"/>
      <c r="H477" s="15" t="str">
        <f t="shared" si="2"/>
        <v/>
      </c>
      <c r="I477" s="15" t="str">
        <f t="shared" si="3"/>
        <v/>
      </c>
      <c r="J477" s="7"/>
      <c r="K477" s="7"/>
    </row>
    <row r="478" ht="15.75" customHeight="1">
      <c r="A478" s="5" t="str">
        <f t="shared" si="1"/>
        <v/>
      </c>
      <c r="B478" s="6"/>
      <c r="C478" s="7" t="str">
        <f t="shared" si="4"/>
        <v/>
      </c>
      <c r="D478" s="7"/>
      <c r="G478" s="7"/>
      <c r="H478" s="15" t="str">
        <f t="shared" si="2"/>
        <v/>
      </c>
      <c r="I478" s="15" t="str">
        <f t="shared" si="3"/>
        <v/>
      </c>
      <c r="J478" s="7"/>
      <c r="K478" s="7"/>
    </row>
    <row r="479" ht="15.75" customHeight="1">
      <c r="A479" s="5" t="str">
        <f t="shared" si="1"/>
        <v/>
      </c>
      <c r="B479" s="6"/>
      <c r="C479" s="7" t="str">
        <f t="shared" si="4"/>
        <v/>
      </c>
      <c r="D479" s="7"/>
      <c r="G479" s="7"/>
      <c r="H479" s="15" t="str">
        <f t="shared" si="2"/>
        <v/>
      </c>
      <c r="I479" s="15" t="str">
        <f t="shared" si="3"/>
        <v/>
      </c>
      <c r="J479" s="7"/>
      <c r="K479" s="7"/>
    </row>
    <row r="480" ht="15.75" customHeight="1">
      <c r="A480" s="5" t="str">
        <f t="shared" si="1"/>
        <v/>
      </c>
      <c r="B480" s="6"/>
      <c r="C480" s="7" t="str">
        <f t="shared" si="4"/>
        <v/>
      </c>
      <c r="D480" s="7"/>
      <c r="G480" s="7"/>
      <c r="H480" s="15" t="str">
        <f t="shared" si="2"/>
        <v/>
      </c>
      <c r="I480" s="15" t="str">
        <f t="shared" si="3"/>
        <v/>
      </c>
      <c r="J480" s="7"/>
      <c r="K480" s="7"/>
    </row>
    <row r="481" ht="15.75" customHeight="1">
      <c r="A481" s="5" t="str">
        <f t="shared" si="1"/>
        <v/>
      </c>
      <c r="B481" s="6"/>
      <c r="C481" s="7" t="str">
        <f t="shared" si="4"/>
        <v/>
      </c>
      <c r="D481" s="7"/>
      <c r="G481" s="7"/>
      <c r="H481" s="15" t="str">
        <f t="shared" si="2"/>
        <v/>
      </c>
      <c r="I481" s="15" t="str">
        <f t="shared" si="3"/>
        <v/>
      </c>
      <c r="J481" s="7"/>
      <c r="K481" s="7"/>
    </row>
    <row r="482" ht="15.75" customHeight="1">
      <c r="A482" s="5" t="str">
        <f t="shared" si="1"/>
        <v/>
      </c>
      <c r="B482" s="6"/>
      <c r="C482" s="7" t="str">
        <f t="shared" si="4"/>
        <v/>
      </c>
      <c r="D482" s="7"/>
      <c r="G482" s="7"/>
      <c r="H482" s="15" t="str">
        <f t="shared" si="2"/>
        <v/>
      </c>
      <c r="I482" s="15" t="str">
        <f t="shared" si="3"/>
        <v/>
      </c>
      <c r="J482" s="7"/>
      <c r="K482" s="7"/>
    </row>
    <row r="483" ht="15.75" customHeight="1">
      <c r="A483" s="5" t="str">
        <f t="shared" si="1"/>
        <v/>
      </c>
      <c r="B483" s="6"/>
      <c r="C483" s="7" t="str">
        <f t="shared" si="4"/>
        <v/>
      </c>
      <c r="D483" s="7"/>
      <c r="G483" s="7"/>
      <c r="H483" s="15" t="str">
        <f t="shared" si="2"/>
        <v/>
      </c>
      <c r="I483" s="15" t="str">
        <f t="shared" si="3"/>
        <v/>
      </c>
      <c r="J483" s="7"/>
      <c r="K483" s="7"/>
    </row>
    <row r="484" ht="15.75" customHeight="1">
      <c r="A484" s="5" t="str">
        <f t="shared" si="1"/>
        <v/>
      </c>
      <c r="B484" s="6"/>
      <c r="C484" s="7" t="str">
        <f t="shared" si="4"/>
        <v/>
      </c>
      <c r="D484" s="7"/>
      <c r="G484" s="7"/>
      <c r="H484" s="15" t="str">
        <f t="shared" si="2"/>
        <v/>
      </c>
      <c r="I484" s="15" t="str">
        <f t="shared" si="3"/>
        <v/>
      </c>
      <c r="J484" s="7"/>
      <c r="K484" s="7"/>
    </row>
    <row r="485" ht="15.75" customHeight="1">
      <c r="A485" s="5" t="str">
        <f t="shared" si="1"/>
        <v/>
      </c>
      <c r="B485" s="6"/>
      <c r="C485" s="7" t="str">
        <f t="shared" si="4"/>
        <v/>
      </c>
      <c r="D485" s="7"/>
      <c r="G485" s="7"/>
      <c r="H485" s="15" t="str">
        <f t="shared" si="2"/>
        <v/>
      </c>
      <c r="I485" s="15" t="str">
        <f t="shared" si="3"/>
        <v/>
      </c>
      <c r="J485" s="7"/>
      <c r="K485" s="7"/>
    </row>
    <row r="486" ht="15.75" customHeight="1">
      <c r="A486" s="5" t="str">
        <f t="shared" si="1"/>
        <v/>
      </c>
      <c r="B486" s="6"/>
      <c r="C486" s="7" t="str">
        <f t="shared" si="4"/>
        <v/>
      </c>
      <c r="D486" s="7"/>
      <c r="G486" s="7"/>
      <c r="H486" s="15" t="str">
        <f t="shared" si="2"/>
        <v/>
      </c>
      <c r="I486" s="15" t="str">
        <f t="shared" si="3"/>
        <v/>
      </c>
      <c r="J486" s="7"/>
      <c r="K486" s="7"/>
    </row>
    <row r="487" ht="15.75" customHeight="1">
      <c r="A487" s="5" t="str">
        <f t="shared" si="1"/>
        <v/>
      </c>
      <c r="B487" s="6"/>
      <c r="C487" s="7" t="str">
        <f t="shared" si="4"/>
        <v/>
      </c>
      <c r="D487" s="7"/>
      <c r="G487" s="7"/>
      <c r="H487" s="15" t="str">
        <f t="shared" si="2"/>
        <v/>
      </c>
      <c r="I487" s="15" t="str">
        <f t="shared" si="3"/>
        <v/>
      </c>
      <c r="J487" s="7"/>
      <c r="K487" s="7"/>
    </row>
    <row r="488" ht="15.75" customHeight="1">
      <c r="A488" s="5" t="str">
        <f t="shared" si="1"/>
        <v/>
      </c>
      <c r="B488" s="6"/>
      <c r="C488" s="7" t="str">
        <f t="shared" si="4"/>
        <v/>
      </c>
      <c r="D488" s="7"/>
      <c r="G488" s="7"/>
      <c r="H488" s="15" t="str">
        <f t="shared" si="2"/>
        <v/>
      </c>
      <c r="I488" s="15" t="str">
        <f t="shared" si="3"/>
        <v/>
      </c>
      <c r="J488" s="7"/>
      <c r="K488" s="7"/>
    </row>
    <row r="489" ht="15.75" customHeight="1">
      <c r="A489" s="5" t="str">
        <f t="shared" si="1"/>
        <v/>
      </c>
      <c r="B489" s="6"/>
      <c r="C489" s="7" t="str">
        <f t="shared" si="4"/>
        <v/>
      </c>
      <c r="D489" s="7"/>
      <c r="G489" s="7"/>
      <c r="H489" s="15" t="str">
        <f t="shared" si="2"/>
        <v/>
      </c>
      <c r="I489" s="15" t="str">
        <f t="shared" si="3"/>
        <v/>
      </c>
      <c r="J489" s="7"/>
      <c r="K489" s="7"/>
    </row>
    <row r="490" ht="15.75" customHeight="1">
      <c r="A490" s="5" t="str">
        <f t="shared" si="1"/>
        <v/>
      </c>
      <c r="B490" s="6"/>
      <c r="C490" s="7" t="str">
        <f t="shared" si="4"/>
        <v/>
      </c>
      <c r="D490" s="7"/>
      <c r="G490" s="7"/>
      <c r="H490" s="15" t="str">
        <f t="shared" si="2"/>
        <v/>
      </c>
      <c r="I490" s="15" t="str">
        <f t="shared" si="3"/>
        <v/>
      </c>
      <c r="J490" s="7"/>
      <c r="K490" s="7"/>
    </row>
    <row r="491" ht="15.75" customHeight="1">
      <c r="A491" s="5" t="str">
        <f t="shared" si="1"/>
        <v/>
      </c>
      <c r="B491" s="6"/>
      <c r="C491" s="7" t="str">
        <f t="shared" si="4"/>
        <v/>
      </c>
      <c r="D491" s="7"/>
      <c r="G491" s="7"/>
      <c r="H491" s="15" t="str">
        <f t="shared" si="2"/>
        <v/>
      </c>
      <c r="I491" s="15" t="str">
        <f t="shared" si="3"/>
        <v/>
      </c>
      <c r="J491" s="7"/>
      <c r="K491" s="7"/>
    </row>
    <row r="492" ht="15.75" customHeight="1">
      <c r="A492" s="5" t="str">
        <f t="shared" si="1"/>
        <v/>
      </c>
      <c r="B492" s="6"/>
      <c r="C492" s="7" t="str">
        <f t="shared" si="4"/>
        <v/>
      </c>
      <c r="D492" s="7"/>
      <c r="G492" s="7"/>
      <c r="H492" s="15" t="str">
        <f t="shared" si="2"/>
        <v/>
      </c>
      <c r="I492" s="15" t="str">
        <f t="shared" si="3"/>
        <v/>
      </c>
      <c r="J492" s="7"/>
      <c r="K492" s="7"/>
    </row>
    <row r="493" ht="15.75" customHeight="1">
      <c r="A493" s="5" t="str">
        <f t="shared" si="1"/>
        <v/>
      </c>
      <c r="B493" s="6"/>
      <c r="C493" s="7" t="str">
        <f t="shared" si="4"/>
        <v/>
      </c>
      <c r="D493" s="7"/>
      <c r="G493" s="7"/>
      <c r="H493" s="15" t="str">
        <f t="shared" si="2"/>
        <v/>
      </c>
      <c r="I493" s="15" t="str">
        <f t="shared" si="3"/>
        <v/>
      </c>
      <c r="J493" s="7"/>
      <c r="K493" s="7"/>
    </row>
    <row r="494" ht="15.75" customHeight="1">
      <c r="A494" s="5" t="str">
        <f t="shared" si="1"/>
        <v/>
      </c>
      <c r="B494" s="6"/>
      <c r="C494" s="7" t="str">
        <f t="shared" si="4"/>
        <v/>
      </c>
      <c r="D494" s="7"/>
      <c r="G494" s="7"/>
      <c r="H494" s="15" t="str">
        <f t="shared" si="2"/>
        <v/>
      </c>
      <c r="I494" s="15" t="str">
        <f t="shared" si="3"/>
        <v/>
      </c>
      <c r="J494" s="7"/>
      <c r="K494" s="7"/>
    </row>
    <row r="495" ht="15.75" customHeight="1">
      <c r="A495" s="5" t="str">
        <f t="shared" si="1"/>
        <v/>
      </c>
      <c r="B495" s="6"/>
      <c r="C495" s="7" t="str">
        <f t="shared" si="4"/>
        <v/>
      </c>
      <c r="D495" s="7"/>
      <c r="G495" s="7"/>
      <c r="H495" s="15" t="str">
        <f t="shared" si="2"/>
        <v/>
      </c>
      <c r="I495" s="15" t="str">
        <f t="shared" si="3"/>
        <v/>
      </c>
      <c r="J495" s="7"/>
      <c r="K495" s="7"/>
    </row>
    <row r="496" ht="15.75" customHeight="1">
      <c r="A496" s="5" t="str">
        <f t="shared" si="1"/>
        <v/>
      </c>
      <c r="B496" s="6"/>
      <c r="C496" s="7" t="str">
        <f t="shared" si="4"/>
        <v/>
      </c>
      <c r="D496" s="7"/>
      <c r="G496" s="7"/>
      <c r="H496" s="15" t="str">
        <f t="shared" si="2"/>
        <v/>
      </c>
      <c r="I496" s="15" t="str">
        <f t="shared" si="3"/>
        <v/>
      </c>
      <c r="J496" s="7"/>
      <c r="K496" s="7"/>
    </row>
    <row r="497" ht="15.75" customHeight="1">
      <c r="A497" s="5" t="str">
        <f t="shared" si="1"/>
        <v/>
      </c>
      <c r="B497" s="6"/>
      <c r="C497" s="7" t="str">
        <f t="shared" si="4"/>
        <v/>
      </c>
      <c r="D497" s="7"/>
      <c r="G497" s="7"/>
      <c r="H497" s="15" t="str">
        <f t="shared" si="2"/>
        <v/>
      </c>
      <c r="I497" s="15" t="str">
        <f t="shared" si="3"/>
        <v/>
      </c>
      <c r="J497" s="7"/>
      <c r="K497" s="7"/>
    </row>
    <row r="498" ht="15.75" customHeight="1">
      <c r="A498" s="5" t="str">
        <f t="shared" si="1"/>
        <v/>
      </c>
      <c r="B498" s="6"/>
      <c r="C498" s="7" t="str">
        <f t="shared" si="4"/>
        <v/>
      </c>
      <c r="D498" s="7"/>
      <c r="G498" s="7"/>
      <c r="H498" s="15" t="str">
        <f t="shared" si="2"/>
        <v/>
      </c>
      <c r="I498" s="15" t="str">
        <f t="shared" si="3"/>
        <v/>
      </c>
      <c r="J498" s="7"/>
      <c r="K498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29"/>
    <col customWidth="1" min="2" max="6" width="11.29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Col="1"/>
  <cols>
    <col customWidth="1" min="1" max="1" width="9.57"/>
    <col collapsed="1" customWidth="1" min="2" max="2" width="13.43"/>
    <col customWidth="1" hidden="1" min="3" max="3" width="11.29" outlineLevel="1"/>
    <col customWidth="1" min="4" max="4" width="21.57"/>
    <col customWidth="1" min="5" max="5" width="24.86"/>
    <col customWidth="1" min="6" max="6" width="19.86"/>
    <col customWidth="1" min="7" max="7" width="11.14"/>
    <col customWidth="1" min="8" max="8" width="8.71"/>
    <col customWidth="1" min="9" max="9" width="6.71"/>
    <col customWidth="1" min="10" max="10" width="13.0"/>
    <col customWidth="1" min="11" max="11" width="14.71"/>
    <col customWidth="1" min="12" max="12" width="11.43"/>
    <col customWidth="1" min="13" max="13" width="16.14"/>
    <col customWidth="1" min="14" max="14" width="9.14"/>
  </cols>
  <sheetData>
    <row r="1">
      <c r="A1" s="1" t="s">
        <v>523</v>
      </c>
      <c r="B1" s="3" t="s">
        <v>524</v>
      </c>
      <c r="C1" s="16" t="s">
        <v>525</v>
      </c>
      <c r="D1" s="1" t="s">
        <v>1</v>
      </c>
      <c r="E1" s="1" t="s">
        <v>2</v>
      </c>
      <c r="F1" s="1" t="s">
        <v>526</v>
      </c>
      <c r="G1" s="1" t="s">
        <v>527</v>
      </c>
      <c r="H1" s="1" t="s">
        <v>528</v>
      </c>
      <c r="I1" s="1" t="s">
        <v>529</v>
      </c>
      <c r="J1" s="1" t="s">
        <v>530</v>
      </c>
      <c r="K1" s="1" t="s">
        <v>23</v>
      </c>
      <c r="L1" s="4" t="s">
        <v>531</v>
      </c>
      <c r="M1" s="4" t="s">
        <v>532</v>
      </c>
      <c r="N1" s="1"/>
    </row>
    <row r="2">
      <c r="A2" s="14" t="str">
        <f t="shared" ref="A2:A1001" si="1">IF(D2&lt;&gt;"",ROW(D2)-ROW($D$1),"")</f>
        <v>1</v>
      </c>
      <c r="B2" s="17">
        <v>45752.0</v>
      </c>
      <c r="C2" s="18"/>
      <c r="D2" s="7" t="s">
        <v>9</v>
      </c>
      <c r="E2" s="7" t="str">
        <f t="array" ref="E2">XLOOKUP(D2,'Master Barang'!B:B,'Master Barang'!C:C,,0)</f>
        <v>009B/PHMETER</v>
      </c>
      <c r="F2" s="7" t="s">
        <v>533</v>
      </c>
      <c r="G2" s="19" t="str">
        <f>IFERROR(__xludf.DUMMYFUNCTION("IF(OR(E2="""",F2&lt;&gt;""Barang Datang""), """",
  IFERROR(
    INDEX(
      SORT(
        FILTER(Jadwal!F:F, Jadwal!C:C=E2),
        FILTER(Jadwal!E:E, Jadwal!C:C=E2),
        FALSE
      ),
      1
    ),
    ""TIDAK ADA JADWAL""
  )
)"),20.0)</f>
        <v>20</v>
      </c>
      <c r="H2" s="7" t="str">
        <f t="shared" ref="H2:H1001" si="2">if(and(J2="",K2="",G2=""),"", SUM(J2:K2))</f>
        <v>20</v>
      </c>
      <c r="J2" s="10">
        <v>20.0</v>
      </c>
      <c r="L2" s="11">
        <v>150000.0</v>
      </c>
      <c r="M2" s="13">
        <v>3000000.0</v>
      </c>
    </row>
    <row r="3">
      <c r="A3" s="14" t="str">
        <f t="shared" si="1"/>
        <v/>
      </c>
      <c r="B3" s="17"/>
      <c r="C3" s="18"/>
      <c r="D3" s="7"/>
      <c r="E3" s="7" t="str">
        <f t="array" ref="E3">XLOOKUP(D3,'Master Barang'!B:B,'Master Barang'!C:C,,0)</f>
        <v/>
      </c>
      <c r="F3" s="7"/>
      <c r="G3" s="19" t="str">
        <f>IFERROR(__xludf.DUMMYFUNCTION("IF(OR(E3="""",F3&lt;&gt;""Barang Datang""), """",
  IFERROR(
    INDEX(
      SORT(
        FILTER(Jadwal!F:F, Jadwal!C:C=E3),
        FILTER(Jadwal!E:E, Jadwal!C:C=E3),
        FALSE
      ),
      1
    ),
    ""TIDAK ADA JADWAL""
  )
)"),"")</f>
        <v/>
      </c>
      <c r="H3" s="7" t="str">
        <f t="shared" si="2"/>
        <v/>
      </c>
      <c r="L3" s="11"/>
      <c r="M3" s="13"/>
    </row>
    <row r="4">
      <c r="A4" s="14" t="str">
        <f t="shared" si="1"/>
        <v/>
      </c>
      <c r="B4" s="17"/>
      <c r="C4" s="18"/>
      <c r="D4" s="7"/>
      <c r="E4" s="7" t="str">
        <f t="array" ref="E4">XLOOKUP(D4,'Master Barang'!B:B,'Master Barang'!C:C,,0)</f>
        <v/>
      </c>
      <c r="F4" s="7"/>
      <c r="G4" s="19" t="str">
        <f>IFERROR(__xludf.DUMMYFUNCTION("IF(OR(E4="""",F4&lt;&gt;""Barang Datang""), """",
  IFERROR(
    INDEX(
      SORT(
        FILTER(Jadwal!F:F, Jadwal!C:C=E4),
        FILTER(Jadwal!E:E, Jadwal!C:C=E4),
        FALSE
      ),
      1
    ),
    ""TIDAK ADA JADWAL""
  )
)"),"")</f>
        <v/>
      </c>
      <c r="H4" s="7" t="str">
        <f t="shared" si="2"/>
        <v/>
      </c>
      <c r="L4" s="11"/>
      <c r="M4" s="13"/>
    </row>
    <row r="5">
      <c r="A5" s="14" t="str">
        <f t="shared" si="1"/>
        <v/>
      </c>
      <c r="B5" s="17"/>
      <c r="C5" s="18"/>
      <c r="D5" s="7"/>
      <c r="E5" s="7" t="str">
        <f t="array" ref="E5">XLOOKUP(D5,'Master Barang'!B:B,'Master Barang'!C:C,,0)</f>
        <v/>
      </c>
      <c r="F5" s="7"/>
      <c r="G5" s="19" t="str">
        <f>IFERROR(__xludf.DUMMYFUNCTION("IF(OR(E5="""",F5&lt;&gt;""Barang Datang""), """",
  IFERROR(
    INDEX(
      SORT(
        FILTER(Jadwal!F:F, Jadwal!C:C=E5),
        FILTER(Jadwal!E:E, Jadwal!C:C=E5),
        FALSE
      ),
      1
    ),
    ""TIDAK ADA JADWAL""
  )
)"),"")</f>
        <v/>
      </c>
      <c r="H5" s="7" t="str">
        <f t="shared" si="2"/>
        <v/>
      </c>
      <c r="L5" s="11"/>
      <c r="M5" s="13"/>
    </row>
    <row r="6">
      <c r="A6" s="14" t="str">
        <f t="shared" si="1"/>
        <v/>
      </c>
      <c r="B6" s="17"/>
      <c r="C6" s="18"/>
      <c r="D6" s="7"/>
      <c r="E6" s="7" t="str">
        <f t="array" ref="E6">XLOOKUP(D6,'Master Barang'!B:B,'Master Barang'!C:C,,0)</f>
        <v/>
      </c>
      <c r="F6" s="7"/>
      <c r="G6" s="19" t="str">
        <f>IFERROR(__xludf.DUMMYFUNCTION("IF(OR(E6="""",F6&lt;&gt;""Barang Datang""), """",
  IFERROR(
    INDEX(
      SORT(
        FILTER(Jadwal!F:F, Jadwal!C:C=E6),
        FILTER(Jadwal!E:E, Jadwal!C:C=E6),
        FALSE
      ),
      1
    ),
    ""TIDAK ADA JADWAL""
  )
)"),"")</f>
        <v/>
      </c>
      <c r="H6" s="7" t="str">
        <f t="shared" si="2"/>
        <v/>
      </c>
      <c r="L6" s="11"/>
      <c r="M6" s="13"/>
    </row>
    <row r="7">
      <c r="A7" s="14" t="str">
        <f t="shared" si="1"/>
        <v/>
      </c>
      <c r="B7" s="17"/>
      <c r="C7" s="18"/>
      <c r="D7" s="7"/>
      <c r="E7" s="7" t="str">
        <f t="array" ref="E7">XLOOKUP(D7,'Master Barang'!B:B,'Master Barang'!C:C,,0)</f>
        <v/>
      </c>
      <c r="F7" s="7"/>
      <c r="G7" s="19" t="str">
        <f>IFERROR(__xludf.DUMMYFUNCTION("IF(OR(E7="""",F7&lt;&gt;""Barang Datang""), """",
  IFERROR(
    INDEX(
      SORT(
        FILTER(Jadwal!F:F, Jadwal!C:C=E7),
        FILTER(Jadwal!E:E, Jadwal!C:C=E7),
        FALSE
      ),
      1
    ),
    ""TIDAK ADA JADWAL""
  )
)"),"")</f>
        <v/>
      </c>
      <c r="H7" s="7" t="str">
        <f t="shared" si="2"/>
        <v/>
      </c>
      <c r="L7" s="11"/>
      <c r="M7" s="13"/>
    </row>
    <row r="8">
      <c r="A8" s="14" t="str">
        <f t="shared" si="1"/>
        <v/>
      </c>
      <c r="B8" s="17"/>
      <c r="C8" s="18"/>
      <c r="D8" s="7"/>
      <c r="E8" s="7" t="str">
        <f t="array" ref="E8">XLOOKUP(D8,'Master Barang'!B:B,'Master Barang'!C:C,,0)</f>
        <v/>
      </c>
      <c r="F8" s="7"/>
      <c r="G8" s="19" t="str">
        <f>IFERROR(__xludf.DUMMYFUNCTION("IF(OR(E8="""",F8&lt;&gt;""Barang Datang""), """",
  IFERROR(
    INDEX(
      SORT(
        FILTER(Jadwal!F:F, Jadwal!C:C=E8),
        FILTER(Jadwal!E:E, Jadwal!C:C=E8),
        FALSE
      ),
      1
    ),
    ""TIDAK ADA JADWAL""
  )
)"),"")</f>
        <v/>
      </c>
      <c r="H8" s="7" t="str">
        <f t="shared" si="2"/>
        <v/>
      </c>
      <c r="L8" s="11"/>
      <c r="M8" s="13"/>
    </row>
    <row r="9">
      <c r="A9" s="14" t="str">
        <f t="shared" si="1"/>
        <v/>
      </c>
      <c r="B9" s="17"/>
      <c r="C9" s="18"/>
      <c r="D9" s="7"/>
      <c r="E9" s="7" t="str">
        <f t="array" ref="E9">XLOOKUP(D9,'Master Barang'!B:B,'Master Barang'!C:C,,0)</f>
        <v/>
      </c>
      <c r="F9" s="7"/>
      <c r="G9" s="19" t="str">
        <f>IFERROR(__xludf.DUMMYFUNCTION("IF(OR(E9="""",F9&lt;&gt;""Barang Datang""), """",
  IFERROR(
    INDEX(
      SORT(
        FILTER(Jadwal!F:F, Jadwal!C:C=E9),
        FILTER(Jadwal!E:E, Jadwal!C:C=E9),
        FALSE
      ),
      1
    ),
    ""TIDAK ADA JADWAL""
  )
)"),"")</f>
        <v/>
      </c>
      <c r="H9" s="7" t="str">
        <f t="shared" si="2"/>
        <v/>
      </c>
      <c r="L9" s="11"/>
      <c r="M9" s="13"/>
    </row>
    <row r="10">
      <c r="A10" s="14" t="str">
        <f t="shared" si="1"/>
        <v/>
      </c>
      <c r="B10" s="17"/>
      <c r="C10" s="18"/>
      <c r="D10" s="7"/>
      <c r="E10" s="7" t="str">
        <f t="array" ref="E10">XLOOKUP(D10,'Master Barang'!B:B,'Master Barang'!C:C,,0)</f>
        <v/>
      </c>
      <c r="F10" s="7"/>
      <c r="G10" s="19" t="str">
        <f>IFERROR(__xludf.DUMMYFUNCTION("IF(OR(E10="""",F10&lt;&gt;""Barang Datang""), """",
  IFERROR(
    INDEX(
      SORT(
        FILTER(Jadwal!F:F, Jadwal!C:C=E10),
        FILTER(Jadwal!E:E, Jadwal!C:C=E10),
        FALSE
      ),
      1
    ),
    ""TIDAK ADA JADWAL""
  )
)"),"")</f>
        <v/>
      </c>
      <c r="H10" s="7" t="str">
        <f t="shared" si="2"/>
        <v/>
      </c>
      <c r="L10" s="11"/>
      <c r="M10" s="13"/>
    </row>
    <row r="11">
      <c r="A11" s="14" t="str">
        <f t="shared" si="1"/>
        <v/>
      </c>
      <c r="B11" s="17"/>
      <c r="C11" s="18"/>
      <c r="D11" s="7"/>
      <c r="E11" s="7" t="str">
        <f t="array" ref="E11">XLOOKUP(D11,'Master Barang'!B:B,'Master Barang'!C:C,,0)</f>
        <v/>
      </c>
      <c r="F11" s="7"/>
      <c r="G11" s="19" t="str">
        <f>IFERROR(__xludf.DUMMYFUNCTION("IF(OR(E11="""",F11&lt;&gt;""Barang Datang""), """",
  IFERROR(
    INDEX(
      SORT(
        FILTER(Jadwal!F:F, Jadwal!C:C=E11),
        FILTER(Jadwal!E:E, Jadwal!C:C=E11),
        FALSE
      ),
      1
    ),
    ""TIDAK ADA JADWAL""
  )
)"),"")</f>
        <v/>
      </c>
      <c r="H11" s="7" t="str">
        <f t="shared" si="2"/>
        <v/>
      </c>
      <c r="L11" s="11"/>
      <c r="M11" s="20"/>
      <c r="N11" s="7"/>
    </row>
    <row r="12">
      <c r="A12" s="14" t="str">
        <f t="shared" si="1"/>
        <v/>
      </c>
      <c r="B12" s="17"/>
      <c r="C12" s="18"/>
      <c r="D12" s="7"/>
      <c r="E12" s="7" t="str">
        <f t="array" ref="E12">XLOOKUP(D12,'Master Barang'!B:B,'Master Barang'!C:C,,0)</f>
        <v/>
      </c>
      <c r="F12" s="7"/>
      <c r="G12" s="19" t="str">
        <f>IFERROR(__xludf.DUMMYFUNCTION("IF(OR(E12="""",F12&lt;&gt;""Barang Datang""), """",
  IFERROR(
    INDEX(
      SORT(
        FILTER(Jadwal!F:F, Jadwal!C:C=E12),
        FILTER(Jadwal!E:E, Jadwal!C:C=E12),
        FALSE
      ),
      1
    ),
    ""TIDAK ADA JADWAL""
  )
)"),"")</f>
        <v/>
      </c>
      <c r="H12" s="7" t="str">
        <f t="shared" si="2"/>
        <v/>
      </c>
      <c r="L12" s="11"/>
      <c r="M12" s="20"/>
      <c r="N12" s="7"/>
    </row>
    <row r="13">
      <c r="A13" s="14" t="str">
        <f t="shared" si="1"/>
        <v/>
      </c>
      <c r="B13" s="17"/>
      <c r="C13" s="18"/>
      <c r="D13" s="7"/>
      <c r="E13" s="7" t="str">
        <f t="array" ref="E13">XLOOKUP(D13,'Master Barang'!B:B,'Master Barang'!C:C,,0)</f>
        <v/>
      </c>
      <c r="F13" s="7"/>
      <c r="G13" s="19" t="str">
        <f>IFERROR(__xludf.DUMMYFUNCTION("IF(OR(E13="""",F13&lt;&gt;""Barang Datang""), """",
  IFERROR(
    INDEX(
      SORT(
        FILTER(Jadwal!F:F, Jadwal!C:C=E13),
        FILTER(Jadwal!E:E, Jadwal!C:C=E13),
        FALSE
      ),
      1
    ),
    ""TIDAK ADA JADWAL""
  )
)"),"")</f>
        <v/>
      </c>
      <c r="H13" s="7" t="str">
        <f t="shared" si="2"/>
        <v/>
      </c>
      <c r="L13" s="11"/>
      <c r="M13" s="20"/>
      <c r="N13" s="7"/>
    </row>
    <row r="14">
      <c r="A14" s="14" t="str">
        <f t="shared" si="1"/>
        <v/>
      </c>
      <c r="B14" s="17"/>
      <c r="C14" s="18"/>
      <c r="D14" s="7"/>
      <c r="E14" s="7" t="str">
        <f t="array" ref="E14">XLOOKUP(D14,'Master Barang'!B:B,'Master Barang'!C:C,,0)</f>
        <v/>
      </c>
      <c r="F14" s="7"/>
      <c r="G14" s="19" t="str">
        <f>IFERROR(__xludf.DUMMYFUNCTION("IF(OR(E14="""",F14&lt;&gt;""Barang Datang""), """",
  IFERROR(
    INDEX(
      SORT(
        FILTER(Jadwal!F:F, Jadwal!C:C=E14),
        FILTER(Jadwal!E:E, Jadwal!C:C=E14),
        FALSE
      ),
      1
    ),
    ""TIDAK ADA JADWAL""
  )
)"),"")</f>
        <v/>
      </c>
      <c r="H14" s="7" t="str">
        <f t="shared" si="2"/>
        <v/>
      </c>
      <c r="L14" s="11"/>
      <c r="M14" s="13"/>
    </row>
    <row r="15">
      <c r="A15" s="14" t="str">
        <f t="shared" si="1"/>
        <v/>
      </c>
      <c r="B15" s="17"/>
      <c r="C15" s="18"/>
      <c r="D15" s="7"/>
      <c r="E15" s="7" t="str">
        <f t="array" ref="E15">XLOOKUP(D15,'Master Barang'!B:B,'Master Barang'!C:C,,0)</f>
        <v/>
      </c>
      <c r="F15" s="7"/>
      <c r="G15" s="19" t="str">
        <f>IFERROR(__xludf.DUMMYFUNCTION("IF(OR(E15="""",F15&lt;&gt;""Barang Datang""), """",
  IFERROR(
    INDEX(
      SORT(
        FILTER(Jadwal!F:F, Jadwal!C:C=E15),
        FILTER(Jadwal!E:E, Jadwal!C:C=E15),
        FALSE
      ),
      1
    ),
    ""TIDAK ADA JADWAL""
  )
)"),"")</f>
        <v/>
      </c>
      <c r="H15" s="7" t="str">
        <f t="shared" si="2"/>
        <v/>
      </c>
      <c r="L15" s="11"/>
      <c r="M15" s="13"/>
    </row>
    <row r="16">
      <c r="A16" s="14" t="str">
        <f t="shared" si="1"/>
        <v/>
      </c>
      <c r="B16" s="17"/>
      <c r="C16" s="18"/>
      <c r="D16" s="7"/>
      <c r="E16" s="7" t="str">
        <f t="array" ref="E16">XLOOKUP(D16,'Master Barang'!B:B,'Master Barang'!C:C,,0)</f>
        <v/>
      </c>
      <c r="F16" s="7"/>
      <c r="G16" s="19" t="str">
        <f>IFERROR(__xludf.DUMMYFUNCTION("IF(OR(E16="""",F16&lt;&gt;""Barang Datang""), """",
  IFERROR(
    INDEX(
      SORT(
        FILTER(Jadwal!F:F, Jadwal!C:C=E16),
        FILTER(Jadwal!E:E, Jadwal!C:C=E16),
        FALSE
      ),
      1
    ),
    ""TIDAK ADA JADWAL""
  )
)"),"")</f>
        <v/>
      </c>
      <c r="H16" s="7" t="str">
        <f t="shared" si="2"/>
        <v/>
      </c>
      <c r="L16" s="11"/>
      <c r="M16" s="20"/>
      <c r="N16" s="7"/>
    </row>
    <row r="17">
      <c r="A17" s="14" t="str">
        <f t="shared" si="1"/>
        <v/>
      </c>
      <c r="B17" s="17"/>
      <c r="C17" s="18"/>
      <c r="D17" s="7"/>
      <c r="E17" s="7" t="str">
        <f t="array" ref="E17">XLOOKUP(D17,'Master Barang'!B:B,'Master Barang'!C:C,,0)</f>
        <v/>
      </c>
      <c r="F17" s="7"/>
      <c r="G17" s="19" t="str">
        <f>IFERROR(__xludf.DUMMYFUNCTION("IF(OR(E17="""",F17&lt;&gt;""Barang Datang""), """",
  IFERROR(
    INDEX(
      SORT(
        FILTER(Jadwal!F:F, Jadwal!C:C=E17),
        FILTER(Jadwal!E:E, Jadwal!C:C=E17),
        FALSE
      ),
      1
    ),
    ""TIDAK ADA JADWAL""
  )
)"),"")</f>
        <v/>
      </c>
      <c r="H17" s="7" t="str">
        <f t="shared" si="2"/>
        <v/>
      </c>
      <c r="L17" s="11"/>
      <c r="M17" s="20"/>
      <c r="N17" s="7"/>
    </row>
    <row r="18">
      <c r="A18" s="14" t="str">
        <f t="shared" si="1"/>
        <v/>
      </c>
      <c r="B18" s="17"/>
      <c r="C18" s="18"/>
      <c r="D18" s="21"/>
      <c r="E18" s="21" t="str">
        <f t="array" ref="E18">XLOOKUP(D18,'Master Barang'!B:B,'Master Barang'!C:C,,0)</f>
        <v/>
      </c>
      <c r="F18" s="21"/>
      <c r="G18" s="1" t="str">
        <f>IFERROR(__xludf.DUMMYFUNCTION("IF(OR(E18="""",F18&lt;&gt;""Barang Datang""), """",
  IFERROR(
    INDEX(
      SORT(
        FILTER(Jadwal!F:F, Jadwal!C:C=E18),
        FILTER(Jadwal!E:E, Jadwal!C:C=E18),
        FALSE
      ),
      1
    ),
    ""TIDAK ADA JADWAL""
  )
)"),"")</f>
        <v/>
      </c>
      <c r="H18" s="21" t="str">
        <f t="shared" si="2"/>
        <v/>
      </c>
      <c r="I18" s="21"/>
      <c r="J18" s="21"/>
      <c r="K18" s="21"/>
      <c r="L18" s="22"/>
      <c r="M18" s="23"/>
      <c r="N18" s="21"/>
    </row>
    <row r="19">
      <c r="A19" s="14" t="str">
        <f t="shared" si="1"/>
        <v/>
      </c>
      <c r="B19" s="17"/>
      <c r="C19" s="18"/>
      <c r="D19" s="7"/>
      <c r="E19" s="7" t="str">
        <f t="array" ref="E19">XLOOKUP(D19,'Master Barang'!B:B,'Master Barang'!C:C,,0)</f>
        <v/>
      </c>
      <c r="F19" s="7"/>
      <c r="G19" s="19" t="str">
        <f>IFERROR(__xludf.DUMMYFUNCTION("IF(OR(E19="""",F19&lt;&gt;""Barang Datang""), """",
  IFERROR(
    INDEX(
      SORT(
        FILTER(Jadwal!F:F, Jadwal!C:C=E19),
        FILTER(Jadwal!E:E, Jadwal!C:C=E19),
        FALSE
      ),
      1
    ),
    ""TIDAK ADA JADWAL""
  )
)"),"")</f>
        <v/>
      </c>
      <c r="H19" s="7" t="str">
        <f t="shared" si="2"/>
        <v/>
      </c>
      <c r="L19" s="11"/>
      <c r="M19" s="13"/>
    </row>
    <row r="20">
      <c r="A20" s="14" t="str">
        <f t="shared" si="1"/>
        <v/>
      </c>
      <c r="B20" s="17"/>
      <c r="C20" s="18"/>
      <c r="D20" s="7"/>
      <c r="E20" s="7" t="str">
        <f t="array" ref="E20">XLOOKUP(D20,'Master Barang'!B:B,'Master Barang'!C:C,,0)</f>
        <v/>
      </c>
      <c r="F20" s="7"/>
      <c r="G20" s="19" t="str">
        <f>IFERROR(__xludf.DUMMYFUNCTION("IF(OR(E20="""",F20&lt;&gt;""Barang Datang""), """",
  IFERROR(
    INDEX(
      SORT(
        FILTER(Jadwal!F:F, Jadwal!C:C=E20),
        FILTER(Jadwal!E:E, Jadwal!C:C=E20),
        FALSE
      ),
      1
    ),
    ""TIDAK ADA JADWAL""
  )
)"),"")</f>
        <v/>
      </c>
      <c r="H20" s="7" t="str">
        <f t="shared" si="2"/>
        <v/>
      </c>
      <c r="L20" s="11"/>
      <c r="M20" s="13"/>
    </row>
    <row r="21" ht="15.75" customHeight="1">
      <c r="A21" s="14" t="str">
        <f t="shared" si="1"/>
        <v/>
      </c>
      <c r="B21" s="17"/>
      <c r="C21" s="18"/>
      <c r="D21" s="7"/>
      <c r="E21" s="7" t="str">
        <f t="array" ref="E21">XLOOKUP(D21,'Master Barang'!B:B,'Master Barang'!C:C,,0)</f>
        <v/>
      </c>
      <c r="F21" s="7"/>
      <c r="G21" s="19" t="str">
        <f>IFERROR(__xludf.DUMMYFUNCTION("IF(OR(E21="""",F21&lt;&gt;""Barang Datang""), """",
  IFERROR(
    INDEX(
      SORT(
        FILTER(Jadwal!F:F, Jadwal!C:C=E21),
        FILTER(Jadwal!E:E, Jadwal!C:C=E21),
        FALSE
      ),
      1
    ),
    ""TIDAK ADA JADWAL""
  )
)"),"")</f>
        <v/>
      </c>
      <c r="H21" s="7" t="str">
        <f t="shared" si="2"/>
        <v/>
      </c>
      <c r="L21" s="11"/>
      <c r="M21" s="13"/>
    </row>
    <row r="22" ht="15.75" customHeight="1">
      <c r="A22" s="14" t="str">
        <f t="shared" si="1"/>
        <v/>
      </c>
      <c r="B22" s="17"/>
      <c r="C22" s="18"/>
      <c r="D22" s="7"/>
      <c r="E22" s="7" t="str">
        <f t="array" ref="E22">XLOOKUP(D22,'Master Barang'!B:B,'Master Barang'!C:C,,0)</f>
        <v/>
      </c>
      <c r="F22" s="7"/>
      <c r="G22" s="19" t="str">
        <f>IFERROR(__xludf.DUMMYFUNCTION("IF(OR(E22="""",F22&lt;&gt;""Barang Datang""), """",
  IFERROR(
    INDEX(
      SORT(
        FILTER(Jadwal!F:F, Jadwal!C:C=E22),
        FILTER(Jadwal!E:E, Jadwal!C:C=E22),
        FALSE
      ),
      1
    ),
    ""TIDAK ADA JADWAL""
  )
)"),"")</f>
        <v/>
      </c>
      <c r="H22" s="7" t="str">
        <f t="shared" si="2"/>
        <v/>
      </c>
      <c r="L22" s="11"/>
      <c r="M22" s="13"/>
    </row>
    <row r="23" ht="15.75" customHeight="1">
      <c r="A23" s="14" t="str">
        <f t="shared" si="1"/>
        <v/>
      </c>
      <c r="B23" s="17" t="str">
        <f t="shared" ref="B23:B1001" si="3">IF(D23&lt;&gt;"",TODAY(),"")</f>
        <v/>
      </c>
      <c r="C23" s="18" t="str">
        <f t="shared" ref="C23:C1001" si="4">IF(AND(D23&lt;&gt;"",A23&lt;&gt;"",B23&lt;&gt;""),NOW(),"")</f>
        <v/>
      </c>
      <c r="D23" s="7"/>
      <c r="E23" s="7" t="str">
        <f t="array" ref="E23">XLOOKUP(D23,'Master Barang'!B:B,'Master Barang'!C:C,,0)</f>
        <v/>
      </c>
      <c r="F23" s="7"/>
      <c r="G23" s="19" t="str">
        <f>IFERROR(__xludf.DUMMYFUNCTION("IF(OR(E23="""",F23&lt;&gt;""Barang Datang""), """",
  IFERROR(
    INDEX(
      SORT(
        FILTER(Jadwal!F:F, Jadwal!C:C=E23),
        FILTER(Jadwal!E:E, Jadwal!C:C=E23),
        FALSE
      ),
      1
    ),
    ""TIDAK ADA JADWAL""
  )
)"),"")</f>
        <v/>
      </c>
      <c r="H23" s="7" t="str">
        <f t="shared" si="2"/>
        <v/>
      </c>
      <c r="L23" s="11"/>
      <c r="M23" s="13"/>
    </row>
    <row r="24" ht="15.75" customHeight="1">
      <c r="A24" s="14" t="str">
        <f t="shared" si="1"/>
        <v/>
      </c>
      <c r="B24" s="17" t="str">
        <f t="shared" si="3"/>
        <v/>
      </c>
      <c r="C24" s="18" t="str">
        <f t="shared" si="4"/>
        <v/>
      </c>
      <c r="D24" s="7"/>
      <c r="E24" s="7" t="str">
        <f t="array" ref="E24">XLOOKUP(D24,'Master Barang'!B:B,'Master Barang'!C:C,,0)</f>
        <v/>
      </c>
      <c r="F24" s="7"/>
      <c r="G24" s="19" t="str">
        <f>IFERROR(__xludf.DUMMYFUNCTION("IF(OR(E24="""",F24&lt;&gt;""Barang Datang""), """",
  IFERROR(
    INDEX(
      SORT(
        FILTER(Jadwal!F:F, Jadwal!C:C=E24),
        FILTER(Jadwal!E:E, Jadwal!C:C=E24),
        FALSE
      ),
      1
    ),
    ""TIDAK ADA JADWAL""
  )
)"),"")</f>
        <v/>
      </c>
      <c r="H24" s="7" t="str">
        <f t="shared" si="2"/>
        <v/>
      </c>
      <c r="L24" s="11"/>
      <c r="M24" s="13"/>
    </row>
    <row r="25" ht="15.75" customHeight="1">
      <c r="A25" s="14" t="str">
        <f t="shared" si="1"/>
        <v/>
      </c>
      <c r="B25" s="17" t="str">
        <f t="shared" si="3"/>
        <v/>
      </c>
      <c r="C25" s="18" t="str">
        <f t="shared" si="4"/>
        <v/>
      </c>
      <c r="D25" s="7"/>
      <c r="E25" s="7" t="str">
        <f t="array" ref="E25">XLOOKUP(D25,'Master Barang'!B:B,'Master Barang'!C:C,,0)</f>
        <v/>
      </c>
      <c r="F25" s="7"/>
      <c r="G25" s="19" t="str">
        <f>IFERROR(__xludf.DUMMYFUNCTION("IF(OR(E25="""",F25&lt;&gt;""Barang Datang""), """",
  IFERROR(
    INDEX(
      SORT(
        FILTER(Jadwal!F:F, Jadwal!C:C=E25),
        FILTER(Jadwal!E:E, Jadwal!C:C=E25),
        FALSE
      ),
      1
    ),
    ""TIDAK ADA JADWAL""
  )
)"),"")</f>
        <v/>
      </c>
      <c r="H25" s="7" t="str">
        <f t="shared" si="2"/>
        <v/>
      </c>
      <c r="L25" s="11"/>
      <c r="M25" s="13"/>
    </row>
    <row r="26" ht="15.75" customHeight="1">
      <c r="A26" s="14" t="str">
        <f t="shared" si="1"/>
        <v/>
      </c>
      <c r="B26" s="17" t="str">
        <f t="shared" si="3"/>
        <v/>
      </c>
      <c r="C26" s="18" t="str">
        <f t="shared" si="4"/>
        <v/>
      </c>
      <c r="D26" s="7"/>
      <c r="E26" s="7" t="str">
        <f t="array" ref="E26">XLOOKUP(D26,'Master Barang'!B:B,'Master Barang'!C:C,,0)</f>
        <v/>
      </c>
      <c r="F26" s="7"/>
      <c r="G26" s="19" t="str">
        <f>IFERROR(__xludf.DUMMYFUNCTION("IF(OR(E26="""",F26&lt;&gt;""Barang Datang""), """",
  IFERROR(
    INDEX(
      SORT(
        FILTER(Jadwal!F:F, Jadwal!C:C=E26),
        FILTER(Jadwal!E:E, Jadwal!C:C=E26),
        FALSE
      ),
      1
    ),
    ""TIDAK ADA JADWAL""
  )
)"),"")</f>
        <v/>
      </c>
      <c r="H26" s="7" t="str">
        <f t="shared" si="2"/>
        <v/>
      </c>
      <c r="L26" s="11"/>
      <c r="M26" s="13"/>
    </row>
    <row r="27" ht="15.75" customHeight="1">
      <c r="A27" s="14" t="str">
        <f t="shared" si="1"/>
        <v/>
      </c>
      <c r="B27" s="17" t="str">
        <f t="shared" si="3"/>
        <v/>
      </c>
      <c r="C27" s="18" t="str">
        <f t="shared" si="4"/>
        <v/>
      </c>
      <c r="D27" s="7"/>
      <c r="E27" s="7" t="str">
        <f t="array" ref="E27">XLOOKUP(D27,'Master Barang'!B:B,'Master Barang'!C:C,,0)</f>
        <v/>
      </c>
      <c r="F27" s="7"/>
      <c r="G27" s="19" t="str">
        <f>IFERROR(__xludf.DUMMYFUNCTION("IF(OR(E27="""",F27&lt;&gt;""Barang Datang""), """",
  IFERROR(
    INDEX(
      SORT(
        FILTER(Jadwal!F:F, Jadwal!C:C=E27),
        FILTER(Jadwal!E:E, Jadwal!C:C=E27),
        FALSE
      ),
      1
    ),
    ""TIDAK ADA JADWAL""
  )
)"),"")</f>
        <v/>
      </c>
      <c r="H27" s="7" t="str">
        <f t="shared" si="2"/>
        <v/>
      </c>
      <c r="L27" s="11"/>
      <c r="M27" s="13"/>
    </row>
    <row r="28" ht="15.75" customHeight="1">
      <c r="A28" s="14" t="str">
        <f t="shared" si="1"/>
        <v/>
      </c>
      <c r="B28" s="17" t="str">
        <f t="shared" si="3"/>
        <v/>
      </c>
      <c r="C28" s="18" t="str">
        <f t="shared" si="4"/>
        <v/>
      </c>
      <c r="D28" s="7"/>
      <c r="E28" s="7" t="str">
        <f t="array" ref="E28">XLOOKUP(D28,'Master Barang'!B:B,'Master Barang'!C:C,,0)</f>
        <v/>
      </c>
      <c r="F28" s="7"/>
      <c r="G28" s="19" t="str">
        <f>IFERROR(__xludf.DUMMYFUNCTION("IF(OR(E28="""",F28&lt;&gt;""Barang Datang""), """",
  IFERROR(
    INDEX(
      SORT(
        FILTER(Jadwal!F:F, Jadwal!C:C=E28),
        FILTER(Jadwal!E:E, Jadwal!C:C=E28),
        FALSE
      ),
      1
    ),
    ""TIDAK ADA JADWAL""
  )
)"),"")</f>
        <v/>
      </c>
      <c r="H28" s="7" t="str">
        <f t="shared" si="2"/>
        <v/>
      </c>
      <c r="L28" s="11"/>
      <c r="M28" s="13"/>
    </row>
    <row r="29" ht="15.75" customHeight="1">
      <c r="A29" s="14" t="str">
        <f t="shared" si="1"/>
        <v/>
      </c>
      <c r="B29" s="17" t="str">
        <f t="shared" si="3"/>
        <v/>
      </c>
      <c r="C29" s="18" t="str">
        <f t="shared" si="4"/>
        <v/>
      </c>
      <c r="D29" s="7"/>
      <c r="E29" s="7" t="str">
        <f t="array" ref="E29">XLOOKUP(D29,'Master Barang'!B:B,'Master Barang'!C:C,,0)</f>
        <v/>
      </c>
      <c r="F29" s="7"/>
      <c r="G29" s="19" t="str">
        <f>IFERROR(__xludf.DUMMYFUNCTION("IF(OR(E29="""",F29&lt;&gt;""Barang Datang""), """",
  IFERROR(
    INDEX(
      SORT(
        FILTER(Jadwal!F:F, Jadwal!C:C=E29),
        FILTER(Jadwal!E:E, Jadwal!C:C=E29),
        FALSE
      ),
      1
    ),
    ""TIDAK ADA JADWAL""
  )
)"),"")</f>
        <v/>
      </c>
      <c r="H29" s="7" t="str">
        <f t="shared" si="2"/>
        <v/>
      </c>
      <c r="L29" s="11"/>
      <c r="M29" s="13"/>
    </row>
    <row r="30" ht="15.75" customHeight="1">
      <c r="A30" s="14" t="str">
        <f t="shared" si="1"/>
        <v/>
      </c>
      <c r="B30" s="17" t="str">
        <f t="shared" si="3"/>
        <v/>
      </c>
      <c r="C30" s="18" t="str">
        <f t="shared" si="4"/>
        <v/>
      </c>
      <c r="D30" s="7"/>
      <c r="E30" s="7" t="str">
        <f t="array" ref="E30">XLOOKUP(D30,'Master Barang'!B:B,'Master Barang'!C:C,,0)</f>
        <v/>
      </c>
      <c r="F30" s="7"/>
      <c r="G30" s="19" t="str">
        <f>IFERROR(__xludf.DUMMYFUNCTION("IF(OR(E30="""",F30&lt;&gt;""Barang Datang""), """",
  IFERROR(
    INDEX(
      SORT(
        FILTER(Jadwal!F:F, Jadwal!C:C=E30),
        FILTER(Jadwal!E:E, Jadwal!C:C=E30),
        FALSE
      ),
      1
    ),
    ""TIDAK ADA JADWAL""
  )
)"),"")</f>
        <v/>
      </c>
      <c r="H30" s="7" t="str">
        <f t="shared" si="2"/>
        <v/>
      </c>
      <c r="L30" s="11"/>
      <c r="M30" s="13"/>
    </row>
    <row r="31" ht="15.75" customHeight="1">
      <c r="A31" s="14" t="str">
        <f t="shared" si="1"/>
        <v/>
      </c>
      <c r="B31" s="17" t="str">
        <f t="shared" si="3"/>
        <v/>
      </c>
      <c r="C31" s="18" t="str">
        <f t="shared" si="4"/>
        <v/>
      </c>
      <c r="D31" s="7"/>
      <c r="E31" s="7" t="str">
        <f t="array" ref="E31">XLOOKUP(D31,'Master Barang'!B:B,'Master Barang'!C:C,,0)</f>
        <v/>
      </c>
      <c r="F31" s="7"/>
      <c r="G31" s="19" t="str">
        <f>IFERROR(__xludf.DUMMYFUNCTION("IF(OR(E31="""",F31&lt;&gt;""Barang Datang""), """",
  IFERROR(
    INDEX(
      SORT(
        FILTER(Jadwal!F:F, Jadwal!C:C=E31),
        FILTER(Jadwal!E:E, Jadwal!C:C=E31),
        FALSE
      ),
      1
    ),
    ""TIDAK ADA JADWAL""
  )
)"),"")</f>
        <v/>
      </c>
      <c r="H31" s="7" t="str">
        <f t="shared" si="2"/>
        <v/>
      </c>
      <c r="L31" s="11"/>
      <c r="M31" s="13"/>
    </row>
    <row r="32" ht="15.75" customHeight="1">
      <c r="A32" s="14" t="str">
        <f t="shared" si="1"/>
        <v/>
      </c>
      <c r="B32" s="17" t="str">
        <f t="shared" si="3"/>
        <v/>
      </c>
      <c r="C32" s="18" t="str">
        <f t="shared" si="4"/>
        <v/>
      </c>
      <c r="D32" s="7"/>
      <c r="E32" s="7" t="str">
        <f t="array" ref="E32">XLOOKUP(D32,'Master Barang'!B:B,'Master Barang'!C:C,,0)</f>
        <v/>
      </c>
      <c r="F32" s="7"/>
      <c r="G32" s="19" t="str">
        <f>IFERROR(__xludf.DUMMYFUNCTION("IF(OR(E32="""",F32&lt;&gt;""Barang Datang""), """",
  IFERROR(
    INDEX(
      SORT(
        FILTER(Jadwal!F:F, Jadwal!C:C=E32),
        FILTER(Jadwal!E:E, Jadwal!C:C=E32),
        FALSE
      ),
      1
    ),
    ""TIDAK ADA JADWAL""
  )
)"),"")</f>
        <v/>
      </c>
      <c r="H32" s="7" t="str">
        <f t="shared" si="2"/>
        <v/>
      </c>
      <c r="L32" s="11"/>
      <c r="M32" s="13"/>
    </row>
    <row r="33" ht="15.75" customHeight="1">
      <c r="A33" s="14" t="str">
        <f t="shared" si="1"/>
        <v/>
      </c>
      <c r="B33" s="17" t="str">
        <f t="shared" si="3"/>
        <v/>
      </c>
      <c r="C33" s="18" t="str">
        <f t="shared" si="4"/>
        <v/>
      </c>
      <c r="D33" s="7"/>
      <c r="E33" s="7" t="str">
        <f t="array" ref="E33">XLOOKUP(D33,'Master Barang'!B:B,'Master Barang'!C:C,,0)</f>
        <v/>
      </c>
      <c r="F33" s="7"/>
      <c r="G33" s="19" t="str">
        <f>IFERROR(__xludf.DUMMYFUNCTION("IF(OR(E33="""",F33&lt;&gt;""Barang Datang""), """",
  IFERROR(
    INDEX(
      SORT(
        FILTER(Jadwal!F:F, Jadwal!C:C=E33),
        FILTER(Jadwal!E:E, Jadwal!C:C=E33),
        FALSE
      ),
      1
    ),
    ""TIDAK ADA JADWAL""
  )
)"),"")</f>
        <v/>
      </c>
      <c r="H33" s="7" t="str">
        <f t="shared" si="2"/>
        <v/>
      </c>
      <c r="L33" s="11"/>
      <c r="M33" s="13"/>
    </row>
    <row r="34" ht="15.75" customHeight="1">
      <c r="A34" s="14" t="str">
        <f t="shared" si="1"/>
        <v/>
      </c>
      <c r="B34" s="17" t="str">
        <f t="shared" si="3"/>
        <v/>
      </c>
      <c r="C34" s="18" t="str">
        <f t="shared" si="4"/>
        <v/>
      </c>
      <c r="D34" s="7"/>
      <c r="E34" s="7" t="str">
        <f t="array" ref="E34">XLOOKUP(D34,'Master Barang'!B:B,'Master Barang'!C:C,,0)</f>
        <v/>
      </c>
      <c r="F34" s="7"/>
      <c r="G34" s="19" t="str">
        <f>IFERROR(__xludf.DUMMYFUNCTION("IF(OR(E34="""",F34&lt;&gt;""Barang Datang""), """",
  IFERROR(
    INDEX(
      SORT(
        FILTER(Jadwal!F:F, Jadwal!C:C=E34),
        FILTER(Jadwal!E:E, Jadwal!C:C=E34),
        FALSE
      ),
      1
    ),
    ""TIDAK ADA JADWAL""
  )
)"),"")</f>
        <v/>
      </c>
      <c r="H34" s="7" t="str">
        <f t="shared" si="2"/>
        <v/>
      </c>
      <c r="L34" s="11"/>
      <c r="M34" s="13"/>
    </row>
    <row r="35" ht="15.75" customHeight="1">
      <c r="A35" s="14" t="str">
        <f t="shared" si="1"/>
        <v/>
      </c>
      <c r="B35" s="17" t="str">
        <f t="shared" si="3"/>
        <v/>
      </c>
      <c r="C35" s="18" t="str">
        <f t="shared" si="4"/>
        <v/>
      </c>
      <c r="D35" s="7"/>
      <c r="E35" s="7" t="str">
        <f t="array" ref="E35">XLOOKUP(D35,'Master Barang'!B:B,'Master Barang'!C:C,,0)</f>
        <v/>
      </c>
      <c r="F35" s="7"/>
      <c r="G35" s="19" t="str">
        <f>IFERROR(__xludf.DUMMYFUNCTION("IF(OR(E35="""",F35&lt;&gt;""Barang Datang""), """",
  IFERROR(
    INDEX(
      SORT(
        FILTER(Jadwal!F:F, Jadwal!C:C=E35),
        FILTER(Jadwal!E:E, Jadwal!C:C=E35),
        FALSE
      ),
      1
    ),
    ""TIDAK ADA JADWAL""
  )
)"),"")</f>
        <v/>
      </c>
      <c r="H35" s="7" t="str">
        <f t="shared" si="2"/>
        <v/>
      </c>
      <c r="L35" s="11"/>
      <c r="M35" s="13"/>
    </row>
    <row r="36" ht="15.75" customHeight="1">
      <c r="A36" s="14" t="str">
        <f t="shared" si="1"/>
        <v/>
      </c>
      <c r="B36" s="17" t="str">
        <f t="shared" si="3"/>
        <v/>
      </c>
      <c r="C36" s="18" t="str">
        <f t="shared" si="4"/>
        <v/>
      </c>
      <c r="D36" s="7"/>
      <c r="E36" s="7" t="str">
        <f t="array" ref="E36">XLOOKUP(D36,'Master Barang'!B:B,'Master Barang'!C:C,,0)</f>
        <v/>
      </c>
      <c r="F36" s="7"/>
      <c r="G36" s="19" t="str">
        <f>IFERROR(__xludf.DUMMYFUNCTION("IF(OR(E36="""",F36&lt;&gt;""Barang Datang""), """",
  IFERROR(
    INDEX(
      SORT(
        FILTER(Jadwal!F:F, Jadwal!C:C=E36),
        FILTER(Jadwal!E:E, Jadwal!C:C=E36),
        FALSE
      ),
      1
    ),
    ""TIDAK ADA JADWAL""
  )
)"),"")</f>
        <v/>
      </c>
      <c r="H36" s="7" t="str">
        <f t="shared" si="2"/>
        <v/>
      </c>
      <c r="L36" s="11"/>
      <c r="M36" s="13"/>
    </row>
    <row r="37" ht="15.75" customHeight="1">
      <c r="A37" s="14" t="str">
        <f t="shared" si="1"/>
        <v/>
      </c>
      <c r="B37" s="17" t="str">
        <f t="shared" si="3"/>
        <v/>
      </c>
      <c r="C37" s="18" t="str">
        <f t="shared" si="4"/>
        <v/>
      </c>
      <c r="D37" s="7"/>
      <c r="E37" s="7" t="str">
        <f t="array" ref="E37">XLOOKUP(D37,'Master Barang'!B:B,'Master Barang'!C:C,,0)</f>
        <v/>
      </c>
      <c r="F37" s="7"/>
      <c r="G37" s="19" t="str">
        <f>IFERROR(__xludf.DUMMYFUNCTION("IF(OR(E37="""",F37&lt;&gt;""Barang Datang""), """",
  IFERROR(
    INDEX(
      SORT(
        FILTER(Jadwal!F:F, Jadwal!C:C=E37),
        FILTER(Jadwal!E:E, Jadwal!C:C=E37),
        FALSE
      ),
      1
    ),
    ""TIDAK ADA JADWAL""
  )
)"),"")</f>
        <v/>
      </c>
      <c r="H37" s="7" t="str">
        <f t="shared" si="2"/>
        <v/>
      </c>
      <c r="L37" s="11"/>
      <c r="M37" s="13"/>
    </row>
    <row r="38" ht="15.75" customHeight="1">
      <c r="A38" s="14" t="str">
        <f t="shared" si="1"/>
        <v/>
      </c>
      <c r="B38" s="17" t="str">
        <f t="shared" si="3"/>
        <v/>
      </c>
      <c r="C38" s="18" t="str">
        <f t="shared" si="4"/>
        <v/>
      </c>
      <c r="D38" s="7"/>
      <c r="E38" s="7" t="str">
        <f t="array" ref="E38">XLOOKUP(D38,'Master Barang'!B:B,'Master Barang'!C:C,,0)</f>
        <v/>
      </c>
      <c r="F38" s="7"/>
      <c r="G38" s="19" t="str">
        <f>IFERROR(__xludf.DUMMYFUNCTION("IF(OR(E38="""",F38&lt;&gt;""Barang Datang""), """",
  IFERROR(
    INDEX(
      SORT(
        FILTER(Jadwal!F:F, Jadwal!C:C=E38),
        FILTER(Jadwal!E:E, Jadwal!C:C=E38),
        FALSE
      ),
      1
    ),
    ""TIDAK ADA JADWAL""
  )
)"),"")</f>
        <v/>
      </c>
      <c r="H38" s="7" t="str">
        <f t="shared" si="2"/>
        <v/>
      </c>
      <c r="L38" s="11"/>
      <c r="M38" s="13"/>
    </row>
    <row r="39" ht="15.75" customHeight="1">
      <c r="A39" s="14" t="str">
        <f t="shared" si="1"/>
        <v/>
      </c>
      <c r="B39" s="17" t="str">
        <f t="shared" si="3"/>
        <v/>
      </c>
      <c r="C39" s="18" t="str">
        <f t="shared" si="4"/>
        <v/>
      </c>
      <c r="D39" s="7"/>
      <c r="E39" s="7" t="str">
        <f t="array" ref="E39">XLOOKUP(D39,'Master Barang'!B:B,'Master Barang'!C:C,,0)</f>
        <v/>
      </c>
      <c r="F39" s="7"/>
      <c r="G39" s="19" t="str">
        <f>IFERROR(__xludf.DUMMYFUNCTION("IF(OR(E39="""",F39&lt;&gt;""Barang Datang""), """",
  IFERROR(
    INDEX(
      SORT(
        FILTER(Jadwal!F:F, Jadwal!C:C=E39),
        FILTER(Jadwal!E:E, Jadwal!C:C=E39),
        FALSE
      ),
      1
    ),
    ""TIDAK ADA JADWAL""
  )
)"),"")</f>
        <v/>
      </c>
      <c r="H39" s="7" t="str">
        <f t="shared" si="2"/>
        <v/>
      </c>
      <c r="L39" s="11"/>
      <c r="M39" s="13"/>
    </row>
    <row r="40" ht="15.75" customHeight="1">
      <c r="A40" s="14" t="str">
        <f t="shared" si="1"/>
        <v/>
      </c>
      <c r="B40" s="17" t="str">
        <f t="shared" si="3"/>
        <v/>
      </c>
      <c r="C40" s="18" t="str">
        <f t="shared" si="4"/>
        <v/>
      </c>
      <c r="D40" s="7"/>
      <c r="E40" s="7" t="str">
        <f t="array" ref="E40">XLOOKUP(D40,'Master Barang'!B:B,'Master Barang'!C:C,,0)</f>
        <v/>
      </c>
      <c r="F40" s="7"/>
      <c r="G40" s="19" t="str">
        <f>IFERROR(__xludf.DUMMYFUNCTION("IF(OR(E40="""",F40&lt;&gt;""Barang Datang""), """",
  IFERROR(
    INDEX(
      SORT(
        FILTER(Jadwal!F:F, Jadwal!C:C=E40),
        FILTER(Jadwal!E:E, Jadwal!C:C=E40),
        FALSE
      ),
      1
    ),
    ""TIDAK ADA JADWAL""
  )
)"),"")</f>
        <v/>
      </c>
      <c r="H40" s="7" t="str">
        <f t="shared" si="2"/>
        <v/>
      </c>
      <c r="L40" s="11"/>
      <c r="M40" s="13"/>
    </row>
    <row r="41" ht="15.75" customHeight="1">
      <c r="A41" s="14" t="str">
        <f t="shared" si="1"/>
        <v/>
      </c>
      <c r="B41" s="17" t="str">
        <f t="shared" si="3"/>
        <v/>
      </c>
      <c r="C41" s="18" t="str">
        <f t="shared" si="4"/>
        <v/>
      </c>
      <c r="D41" s="7"/>
      <c r="E41" s="7" t="str">
        <f t="array" ref="E41">XLOOKUP(D41,'Master Barang'!B:B,'Master Barang'!C:C,,0)</f>
        <v/>
      </c>
      <c r="F41" s="7"/>
      <c r="G41" s="19" t="str">
        <f>IFERROR(__xludf.DUMMYFUNCTION("IF(OR(E41="""",F41&lt;&gt;""Barang Datang""), """",
  IFERROR(
    INDEX(
      SORT(
        FILTER(Jadwal!F:F, Jadwal!C:C=E41),
        FILTER(Jadwal!E:E, Jadwal!C:C=E41),
        FALSE
      ),
      1
    ),
    ""TIDAK ADA JADWAL""
  )
)"),"")</f>
        <v/>
      </c>
      <c r="H41" s="7" t="str">
        <f t="shared" si="2"/>
        <v/>
      </c>
      <c r="L41" s="11"/>
      <c r="M41" s="13"/>
    </row>
    <row r="42" ht="15.75" customHeight="1">
      <c r="A42" s="14" t="str">
        <f t="shared" si="1"/>
        <v/>
      </c>
      <c r="B42" s="17" t="str">
        <f t="shared" si="3"/>
        <v/>
      </c>
      <c r="C42" s="18" t="str">
        <f t="shared" si="4"/>
        <v/>
      </c>
      <c r="D42" s="7"/>
      <c r="E42" s="7" t="str">
        <f t="array" ref="E42">XLOOKUP(D42,'Master Barang'!B:B,'Master Barang'!C:C,,0)</f>
        <v/>
      </c>
      <c r="F42" s="7"/>
      <c r="G42" s="19" t="str">
        <f>IFERROR(__xludf.DUMMYFUNCTION("IF(OR(E42="""",F42&lt;&gt;""Barang Datang""), """",
  IFERROR(
    INDEX(
      SORT(
        FILTER(Jadwal!F:F, Jadwal!C:C=E42),
        FILTER(Jadwal!E:E, Jadwal!C:C=E42),
        FALSE
      ),
      1
    ),
    ""TIDAK ADA JADWAL""
  )
)"),"")</f>
        <v/>
      </c>
      <c r="H42" s="7" t="str">
        <f t="shared" si="2"/>
        <v/>
      </c>
      <c r="L42" s="11"/>
      <c r="M42" s="13"/>
    </row>
    <row r="43" ht="15.75" customHeight="1">
      <c r="A43" s="14" t="str">
        <f t="shared" si="1"/>
        <v/>
      </c>
      <c r="B43" s="17" t="str">
        <f t="shared" si="3"/>
        <v/>
      </c>
      <c r="C43" s="18" t="str">
        <f t="shared" si="4"/>
        <v/>
      </c>
      <c r="D43" s="7"/>
      <c r="E43" s="7" t="str">
        <f t="array" ref="E43">XLOOKUP(D43,'Master Barang'!B:B,'Master Barang'!C:C,,0)</f>
        <v/>
      </c>
      <c r="F43" s="7"/>
      <c r="G43" s="19" t="str">
        <f>IFERROR(__xludf.DUMMYFUNCTION("IF(OR(E43="""",F43&lt;&gt;""Barang Datang""), """",
  IFERROR(
    INDEX(
      SORT(
        FILTER(Jadwal!F:F, Jadwal!C:C=E43),
        FILTER(Jadwal!E:E, Jadwal!C:C=E43),
        FALSE
      ),
      1
    ),
    ""TIDAK ADA JADWAL""
  )
)"),"")</f>
        <v/>
      </c>
      <c r="H43" s="7" t="str">
        <f t="shared" si="2"/>
        <v/>
      </c>
      <c r="L43" s="11"/>
      <c r="M43" s="13"/>
    </row>
    <row r="44" ht="15.75" customHeight="1">
      <c r="A44" s="14" t="str">
        <f t="shared" si="1"/>
        <v/>
      </c>
      <c r="B44" s="17" t="str">
        <f t="shared" si="3"/>
        <v/>
      </c>
      <c r="C44" s="18" t="str">
        <f t="shared" si="4"/>
        <v/>
      </c>
      <c r="D44" s="7"/>
      <c r="E44" s="7" t="str">
        <f t="array" ref="E44">XLOOKUP(D44,'Master Barang'!B:B,'Master Barang'!C:C,,0)</f>
        <v/>
      </c>
      <c r="F44" s="7"/>
      <c r="G44" s="19" t="str">
        <f>IFERROR(__xludf.DUMMYFUNCTION("IF(OR(E44="""",F44&lt;&gt;""Barang Datang""), """",
  IFERROR(
    INDEX(
      SORT(
        FILTER(Jadwal!F:F, Jadwal!C:C=E44),
        FILTER(Jadwal!E:E, Jadwal!C:C=E44),
        FALSE
      ),
      1
    ),
    ""TIDAK ADA JADWAL""
  )
)"),"")</f>
        <v/>
      </c>
      <c r="H44" s="7" t="str">
        <f t="shared" si="2"/>
        <v/>
      </c>
      <c r="L44" s="11"/>
      <c r="M44" s="13"/>
    </row>
    <row r="45" ht="15.75" customHeight="1">
      <c r="A45" s="14" t="str">
        <f t="shared" si="1"/>
        <v/>
      </c>
      <c r="B45" s="17" t="str">
        <f t="shared" si="3"/>
        <v/>
      </c>
      <c r="C45" s="18" t="str">
        <f t="shared" si="4"/>
        <v/>
      </c>
      <c r="D45" s="7"/>
      <c r="E45" s="7" t="str">
        <f t="array" ref="E45">XLOOKUP(D45,'Master Barang'!B:B,'Master Barang'!C:C,,0)</f>
        <v/>
      </c>
      <c r="F45" s="7"/>
      <c r="G45" s="19" t="str">
        <f>IFERROR(__xludf.DUMMYFUNCTION("IF(OR(E45="""",F45&lt;&gt;""Barang Datang""), """",
  IFERROR(
    INDEX(
      SORT(
        FILTER(Jadwal!F:F, Jadwal!C:C=E45),
        FILTER(Jadwal!E:E, Jadwal!C:C=E45),
        FALSE
      ),
      1
    ),
    ""TIDAK ADA JADWAL""
  )
)"),"")</f>
        <v/>
      </c>
      <c r="H45" s="7" t="str">
        <f t="shared" si="2"/>
        <v/>
      </c>
      <c r="L45" s="13"/>
      <c r="M45" s="13"/>
    </row>
    <row r="46" ht="15.75" customHeight="1">
      <c r="A46" s="14" t="str">
        <f t="shared" si="1"/>
        <v/>
      </c>
      <c r="B46" s="17" t="str">
        <f t="shared" si="3"/>
        <v/>
      </c>
      <c r="C46" s="18" t="str">
        <f t="shared" si="4"/>
        <v/>
      </c>
      <c r="D46" s="7"/>
      <c r="E46" s="7" t="str">
        <f t="array" ref="E46">XLOOKUP(D46,'Master Barang'!B:B,'Master Barang'!C:C,,0)</f>
        <v/>
      </c>
      <c r="F46" s="7"/>
      <c r="G46" s="19" t="str">
        <f>IFERROR(__xludf.DUMMYFUNCTION("IF(OR(E46="""",F46&lt;&gt;""Barang Datang""), """",
  IFERROR(
    INDEX(
      SORT(
        FILTER(Jadwal!F:F, Jadwal!C:C=E46),
        FILTER(Jadwal!E:E, Jadwal!C:C=E46),
        FALSE
      ),
      1
    ),
    ""TIDAK ADA JADWAL""
  )
)"),"")</f>
        <v/>
      </c>
      <c r="H46" s="7" t="str">
        <f t="shared" si="2"/>
        <v/>
      </c>
      <c r="L46" s="13"/>
      <c r="M46" s="13"/>
    </row>
    <row r="47" ht="15.75" customHeight="1">
      <c r="A47" s="14" t="str">
        <f t="shared" si="1"/>
        <v/>
      </c>
      <c r="B47" s="17" t="str">
        <f t="shared" si="3"/>
        <v/>
      </c>
      <c r="C47" s="18" t="str">
        <f t="shared" si="4"/>
        <v/>
      </c>
      <c r="D47" s="7"/>
      <c r="E47" s="7" t="str">
        <f t="array" ref="E47">XLOOKUP(D47,'Master Barang'!B:B,'Master Barang'!C:C,,0)</f>
        <v/>
      </c>
      <c r="F47" s="7"/>
      <c r="G47" s="19" t="str">
        <f>IFERROR(__xludf.DUMMYFUNCTION("IF(OR(E47="""",F47&lt;&gt;""Barang Datang""), """",
  IFERROR(
    INDEX(
      SORT(
        FILTER(Jadwal!F:F, Jadwal!C:C=E47),
        FILTER(Jadwal!E:E, Jadwal!C:C=E47),
        FALSE
      ),
      1
    ),
    ""TIDAK ADA JADWAL""
  )
)"),"")</f>
        <v/>
      </c>
      <c r="H47" s="7" t="str">
        <f t="shared" si="2"/>
        <v/>
      </c>
      <c r="L47" s="13"/>
      <c r="M47" s="13"/>
    </row>
    <row r="48" ht="15.75" customHeight="1">
      <c r="A48" s="14" t="str">
        <f t="shared" si="1"/>
        <v/>
      </c>
      <c r="B48" s="17" t="str">
        <f t="shared" si="3"/>
        <v/>
      </c>
      <c r="C48" s="18" t="str">
        <f t="shared" si="4"/>
        <v/>
      </c>
      <c r="D48" s="7"/>
      <c r="E48" s="7" t="str">
        <f t="array" ref="E48">XLOOKUP(D48,'Master Barang'!B:B,'Master Barang'!C:C,,0)</f>
        <v/>
      </c>
      <c r="F48" s="7"/>
      <c r="G48" s="19" t="str">
        <f>IFERROR(__xludf.DUMMYFUNCTION("IF(OR(E48="""",F48&lt;&gt;""Barang Datang""), """",
  IFERROR(
    INDEX(
      SORT(
        FILTER(Jadwal!F:F, Jadwal!C:C=E48),
        FILTER(Jadwal!E:E, Jadwal!C:C=E48),
        FALSE
      ),
      1
    ),
    ""TIDAK ADA JADWAL""
  )
)"),"")</f>
        <v/>
      </c>
      <c r="H48" s="7" t="str">
        <f t="shared" si="2"/>
        <v/>
      </c>
      <c r="L48" s="13"/>
      <c r="M48" s="13"/>
    </row>
    <row r="49" ht="15.75" customHeight="1">
      <c r="A49" s="14" t="str">
        <f t="shared" si="1"/>
        <v/>
      </c>
      <c r="B49" s="17" t="str">
        <f t="shared" si="3"/>
        <v/>
      </c>
      <c r="C49" s="18" t="str">
        <f t="shared" si="4"/>
        <v/>
      </c>
      <c r="D49" s="7"/>
      <c r="E49" s="7" t="str">
        <f t="array" ref="E49">XLOOKUP(D49,'Master Barang'!B:B,'Master Barang'!C:C,,0)</f>
        <v/>
      </c>
      <c r="F49" s="7"/>
      <c r="G49" s="19" t="str">
        <f>IFERROR(__xludf.DUMMYFUNCTION("IF(OR(E49="""",F49&lt;&gt;""Barang Datang""), """",
  IFERROR(
    INDEX(
      SORT(
        FILTER(Jadwal!F:F, Jadwal!C:C=E49),
        FILTER(Jadwal!E:E, Jadwal!C:C=E49),
        FALSE
      ),
      1
    ),
    ""TIDAK ADA JADWAL""
  )
)"),"")</f>
        <v/>
      </c>
      <c r="H49" s="7" t="str">
        <f t="shared" si="2"/>
        <v/>
      </c>
      <c r="L49" s="13"/>
      <c r="M49" s="13"/>
    </row>
    <row r="50" ht="15.75" customHeight="1">
      <c r="A50" s="14" t="str">
        <f t="shared" si="1"/>
        <v/>
      </c>
      <c r="B50" s="17" t="str">
        <f t="shared" si="3"/>
        <v/>
      </c>
      <c r="C50" s="18" t="str">
        <f t="shared" si="4"/>
        <v/>
      </c>
      <c r="D50" s="7"/>
      <c r="E50" s="7" t="str">
        <f t="array" ref="E50">XLOOKUP(D50,'Master Barang'!B:B,'Master Barang'!C:C,,0)</f>
        <v/>
      </c>
      <c r="F50" s="7"/>
      <c r="G50" s="19" t="str">
        <f>IFERROR(__xludf.DUMMYFUNCTION("IF(OR(E50="""",F50&lt;&gt;""Barang Datang""), """",
  IFERROR(
    INDEX(
      SORT(
        FILTER(Jadwal!F:F, Jadwal!C:C=E50),
        FILTER(Jadwal!E:E, Jadwal!C:C=E50),
        FALSE
      ),
      1
    ),
    ""TIDAK ADA JADWAL""
  )
)"),"")</f>
        <v/>
      </c>
      <c r="H50" s="7" t="str">
        <f t="shared" si="2"/>
        <v/>
      </c>
      <c r="L50" s="13"/>
      <c r="M50" s="13"/>
    </row>
    <row r="51" ht="15.75" customHeight="1">
      <c r="A51" s="14" t="str">
        <f t="shared" si="1"/>
        <v/>
      </c>
      <c r="B51" s="17" t="str">
        <f t="shared" si="3"/>
        <v/>
      </c>
      <c r="C51" s="18" t="str">
        <f t="shared" si="4"/>
        <v/>
      </c>
      <c r="D51" s="7"/>
      <c r="E51" s="7" t="str">
        <f t="array" ref="E51">XLOOKUP(D51,'Master Barang'!B:B,'Master Barang'!C:C,,0)</f>
        <v/>
      </c>
      <c r="F51" s="7"/>
      <c r="G51" s="19" t="str">
        <f>IFERROR(__xludf.DUMMYFUNCTION("IF(OR(E51="""",F51&lt;&gt;""Barang Datang""), """",
  IFERROR(
    INDEX(
      SORT(
        FILTER(Jadwal!F:F, Jadwal!C:C=E51),
        FILTER(Jadwal!E:E, Jadwal!C:C=E51),
        FALSE
      ),
      1
    ),
    ""TIDAK ADA JADWAL""
  )
)"),"")</f>
        <v/>
      </c>
      <c r="H51" s="7" t="str">
        <f t="shared" si="2"/>
        <v/>
      </c>
      <c r="L51" s="13"/>
      <c r="M51" s="13"/>
    </row>
    <row r="52" ht="15.75" customHeight="1">
      <c r="A52" s="14" t="str">
        <f t="shared" si="1"/>
        <v/>
      </c>
      <c r="B52" s="17" t="str">
        <f t="shared" si="3"/>
        <v/>
      </c>
      <c r="C52" s="18" t="str">
        <f t="shared" si="4"/>
        <v/>
      </c>
      <c r="D52" s="7"/>
      <c r="E52" s="7" t="str">
        <f t="array" ref="E52">XLOOKUP(D52,'Master Barang'!B:B,'Master Barang'!C:C,,0)</f>
        <v/>
      </c>
      <c r="F52" s="7"/>
      <c r="G52" s="19" t="str">
        <f>IFERROR(__xludf.DUMMYFUNCTION("IF(OR(E52="""",F52&lt;&gt;""Barang Datang""), """",
  IFERROR(
    INDEX(
      SORT(
        FILTER(Jadwal!F:F, Jadwal!C:C=E52),
        FILTER(Jadwal!E:E, Jadwal!C:C=E52),
        FALSE
      ),
      1
    ),
    ""TIDAK ADA JADWAL""
  )
)"),"")</f>
        <v/>
      </c>
      <c r="H52" s="7" t="str">
        <f t="shared" si="2"/>
        <v/>
      </c>
      <c r="L52" s="13"/>
      <c r="M52" s="13"/>
    </row>
    <row r="53" ht="15.75" customHeight="1">
      <c r="A53" s="14" t="str">
        <f t="shared" si="1"/>
        <v/>
      </c>
      <c r="B53" s="17" t="str">
        <f t="shared" si="3"/>
        <v/>
      </c>
      <c r="C53" s="18" t="str">
        <f t="shared" si="4"/>
        <v/>
      </c>
      <c r="D53" s="7"/>
      <c r="E53" s="7" t="str">
        <f t="array" ref="E53">XLOOKUP(D53,'Master Barang'!B:B,'Master Barang'!C:C,,0)</f>
        <v/>
      </c>
      <c r="F53" s="7"/>
      <c r="G53" s="19" t="str">
        <f>IFERROR(__xludf.DUMMYFUNCTION("IF(OR(E53="""",F53&lt;&gt;""Barang Datang""), """",
  IFERROR(
    INDEX(
      SORT(
        FILTER(Jadwal!F:F, Jadwal!C:C=E53),
        FILTER(Jadwal!E:E, Jadwal!C:C=E53),
        FALSE
      ),
      1
    ),
    ""TIDAK ADA JADWAL""
  )
)"),"")</f>
        <v/>
      </c>
      <c r="H53" s="7" t="str">
        <f t="shared" si="2"/>
        <v/>
      </c>
      <c r="L53" s="13"/>
      <c r="M53" s="13"/>
    </row>
    <row r="54" ht="15.75" customHeight="1">
      <c r="A54" s="14" t="str">
        <f t="shared" si="1"/>
        <v/>
      </c>
      <c r="B54" s="17" t="str">
        <f t="shared" si="3"/>
        <v/>
      </c>
      <c r="C54" s="18" t="str">
        <f t="shared" si="4"/>
        <v/>
      </c>
      <c r="D54" s="7"/>
      <c r="E54" s="7" t="str">
        <f t="array" ref="E54">XLOOKUP(D54,'Master Barang'!B:B,'Master Barang'!C:C,,0)</f>
        <v/>
      </c>
      <c r="F54" s="7"/>
      <c r="G54" s="19" t="str">
        <f>IFERROR(__xludf.DUMMYFUNCTION("IF(OR(E54="""",F54&lt;&gt;""Barang Datang""), """",
  IFERROR(
    INDEX(
      SORT(
        FILTER(Jadwal!F:F, Jadwal!C:C=E54),
        FILTER(Jadwal!E:E, Jadwal!C:C=E54),
        FALSE
      ),
      1
    ),
    ""TIDAK ADA JADWAL""
  )
)"),"")</f>
        <v/>
      </c>
      <c r="H54" s="7" t="str">
        <f t="shared" si="2"/>
        <v/>
      </c>
      <c r="L54" s="13"/>
      <c r="M54" s="13"/>
    </row>
    <row r="55" ht="15.75" customHeight="1">
      <c r="A55" s="14" t="str">
        <f t="shared" si="1"/>
        <v/>
      </c>
      <c r="B55" s="17" t="str">
        <f t="shared" si="3"/>
        <v/>
      </c>
      <c r="C55" s="18" t="str">
        <f t="shared" si="4"/>
        <v/>
      </c>
      <c r="D55" s="7"/>
      <c r="E55" s="7" t="str">
        <f t="array" ref="E55">XLOOKUP(D55,'Master Barang'!B:B,'Master Barang'!C:C,,0)</f>
        <v/>
      </c>
      <c r="F55" s="7"/>
      <c r="G55" s="19" t="str">
        <f>IFERROR(__xludf.DUMMYFUNCTION("IF(OR(E55="""",F55&lt;&gt;""Barang Datang""), """",
  IFERROR(
    INDEX(
      SORT(
        FILTER(Jadwal!F:F, Jadwal!C:C=E55),
        FILTER(Jadwal!E:E, Jadwal!C:C=E55),
        FALSE
      ),
      1
    ),
    ""TIDAK ADA JADWAL""
  )
)"),"")</f>
        <v/>
      </c>
      <c r="H55" s="7" t="str">
        <f t="shared" si="2"/>
        <v/>
      </c>
      <c r="L55" s="13"/>
      <c r="M55" s="13"/>
    </row>
    <row r="56" ht="15.75" customHeight="1">
      <c r="A56" s="14" t="str">
        <f t="shared" si="1"/>
        <v/>
      </c>
      <c r="B56" s="17" t="str">
        <f t="shared" si="3"/>
        <v/>
      </c>
      <c r="C56" s="18" t="str">
        <f t="shared" si="4"/>
        <v/>
      </c>
      <c r="D56" s="7"/>
      <c r="E56" s="7" t="str">
        <f t="array" ref="E56">XLOOKUP(D56,'Master Barang'!B:B,'Master Barang'!C:C,,0)</f>
        <v/>
      </c>
      <c r="F56" s="7"/>
      <c r="G56" s="19" t="str">
        <f>IFERROR(__xludf.DUMMYFUNCTION("IF(OR(E56="""",F56&lt;&gt;""Barang Datang""), """",
  IFERROR(
    INDEX(
      SORT(
        FILTER(Jadwal!F:F, Jadwal!C:C=E56),
        FILTER(Jadwal!E:E, Jadwal!C:C=E56),
        FALSE
      ),
      1
    ),
    ""TIDAK ADA JADWAL""
  )
)"),"")</f>
        <v/>
      </c>
      <c r="H56" s="7" t="str">
        <f t="shared" si="2"/>
        <v/>
      </c>
      <c r="L56" s="13"/>
      <c r="M56" s="13"/>
    </row>
    <row r="57" ht="15.75" customHeight="1">
      <c r="A57" s="14" t="str">
        <f t="shared" si="1"/>
        <v/>
      </c>
      <c r="B57" s="17" t="str">
        <f t="shared" si="3"/>
        <v/>
      </c>
      <c r="C57" s="18" t="str">
        <f t="shared" si="4"/>
        <v/>
      </c>
      <c r="D57" s="7"/>
      <c r="E57" s="7" t="str">
        <f t="array" ref="E57">XLOOKUP(D57,'Master Barang'!B:B,'Master Barang'!C:C,,0)</f>
        <v/>
      </c>
      <c r="F57" s="7"/>
      <c r="G57" s="19" t="str">
        <f>IFERROR(__xludf.DUMMYFUNCTION("IF(OR(E57="""",F57&lt;&gt;""Barang Datang""), """",
  IFERROR(
    INDEX(
      SORT(
        FILTER(Jadwal!F:F, Jadwal!C:C=E57),
        FILTER(Jadwal!E:E, Jadwal!C:C=E57),
        FALSE
      ),
      1
    ),
    ""TIDAK ADA JADWAL""
  )
)"),"")</f>
        <v/>
      </c>
      <c r="H57" s="7" t="str">
        <f t="shared" si="2"/>
        <v/>
      </c>
      <c r="L57" s="13"/>
      <c r="M57" s="13"/>
    </row>
    <row r="58" ht="15.75" customHeight="1">
      <c r="A58" s="14" t="str">
        <f t="shared" si="1"/>
        <v/>
      </c>
      <c r="B58" s="17" t="str">
        <f t="shared" si="3"/>
        <v/>
      </c>
      <c r="C58" s="18" t="str">
        <f t="shared" si="4"/>
        <v/>
      </c>
      <c r="D58" s="7"/>
      <c r="E58" s="7" t="str">
        <f t="array" ref="E58">XLOOKUP(D58,'Master Barang'!B:B,'Master Barang'!C:C,,0)</f>
        <v/>
      </c>
      <c r="F58" s="7"/>
      <c r="G58" s="19" t="str">
        <f>IFERROR(__xludf.DUMMYFUNCTION("IF(OR(E58="""",F58&lt;&gt;""Barang Datang""), """",
  IFERROR(
    INDEX(
      SORT(
        FILTER(Jadwal!F:F, Jadwal!C:C=E58),
        FILTER(Jadwal!E:E, Jadwal!C:C=E58),
        FALSE
      ),
      1
    ),
    ""TIDAK ADA JADWAL""
  )
)"),"")</f>
        <v/>
      </c>
      <c r="H58" s="7" t="str">
        <f t="shared" si="2"/>
        <v/>
      </c>
      <c r="L58" s="13"/>
      <c r="M58" s="13"/>
    </row>
    <row r="59" ht="15.75" customHeight="1">
      <c r="A59" s="14" t="str">
        <f t="shared" si="1"/>
        <v/>
      </c>
      <c r="B59" s="17" t="str">
        <f t="shared" si="3"/>
        <v/>
      </c>
      <c r="C59" s="18" t="str">
        <f t="shared" si="4"/>
        <v/>
      </c>
      <c r="D59" s="7"/>
      <c r="E59" s="7" t="str">
        <f t="array" ref="E59">XLOOKUP(D59,'Master Barang'!B:B,'Master Barang'!C:C,,0)</f>
        <v/>
      </c>
      <c r="F59" s="7"/>
      <c r="G59" s="19" t="str">
        <f>IFERROR(__xludf.DUMMYFUNCTION("IF(OR(E59="""",F59&lt;&gt;""Barang Datang""), """",
  IFERROR(
    INDEX(
      SORT(
        FILTER(Jadwal!F:F, Jadwal!C:C=E59),
        FILTER(Jadwal!E:E, Jadwal!C:C=E59),
        FALSE
      ),
      1
    ),
    ""TIDAK ADA JADWAL""
  )
)"),"")</f>
        <v/>
      </c>
      <c r="H59" s="7" t="str">
        <f t="shared" si="2"/>
        <v/>
      </c>
      <c r="L59" s="13"/>
      <c r="M59" s="13"/>
    </row>
    <row r="60" ht="15.75" customHeight="1">
      <c r="A60" s="14" t="str">
        <f t="shared" si="1"/>
        <v/>
      </c>
      <c r="B60" s="17" t="str">
        <f t="shared" si="3"/>
        <v/>
      </c>
      <c r="C60" s="18" t="str">
        <f t="shared" si="4"/>
        <v/>
      </c>
      <c r="D60" s="7"/>
      <c r="E60" s="7" t="str">
        <f t="array" ref="E60">XLOOKUP(D60,'Master Barang'!B:B,'Master Barang'!C:C,,0)</f>
        <v/>
      </c>
      <c r="F60" s="7"/>
      <c r="G60" s="19" t="str">
        <f>IFERROR(__xludf.DUMMYFUNCTION("IF(OR(E60="""",F60&lt;&gt;""Barang Datang""), """",
  IFERROR(
    INDEX(
      SORT(
        FILTER(Jadwal!F:F, Jadwal!C:C=E60),
        FILTER(Jadwal!E:E, Jadwal!C:C=E60),
        FALSE
      ),
      1
    ),
    ""TIDAK ADA JADWAL""
  )
)"),"")</f>
        <v/>
      </c>
      <c r="H60" s="7" t="str">
        <f t="shared" si="2"/>
        <v/>
      </c>
      <c r="L60" s="13"/>
      <c r="M60" s="13"/>
    </row>
    <row r="61" ht="15.75" customHeight="1">
      <c r="A61" s="14" t="str">
        <f t="shared" si="1"/>
        <v/>
      </c>
      <c r="B61" s="17" t="str">
        <f t="shared" si="3"/>
        <v/>
      </c>
      <c r="C61" s="18" t="str">
        <f t="shared" si="4"/>
        <v/>
      </c>
      <c r="D61" s="7"/>
      <c r="E61" s="7" t="str">
        <f t="array" ref="E61">XLOOKUP(D61,'Master Barang'!B:B,'Master Barang'!C:C,,0)</f>
        <v/>
      </c>
      <c r="F61" s="7"/>
      <c r="G61" s="19" t="str">
        <f>IFERROR(__xludf.DUMMYFUNCTION("IF(OR(E61="""",F61&lt;&gt;""Barang Datang""), """",
  IFERROR(
    INDEX(
      SORT(
        FILTER(Jadwal!F:F, Jadwal!C:C=E61),
        FILTER(Jadwal!E:E, Jadwal!C:C=E61),
        FALSE
      ),
      1
    ),
    ""TIDAK ADA JADWAL""
  )
)"),"")</f>
        <v/>
      </c>
      <c r="H61" s="7" t="str">
        <f t="shared" si="2"/>
        <v/>
      </c>
      <c r="L61" s="13"/>
      <c r="M61" s="13"/>
    </row>
    <row r="62" ht="15.75" customHeight="1">
      <c r="A62" s="14" t="str">
        <f t="shared" si="1"/>
        <v/>
      </c>
      <c r="B62" s="17" t="str">
        <f t="shared" si="3"/>
        <v/>
      </c>
      <c r="C62" s="18" t="str">
        <f t="shared" si="4"/>
        <v/>
      </c>
      <c r="D62" s="7"/>
      <c r="E62" s="7" t="str">
        <f t="array" ref="E62">XLOOKUP(D62,'Master Barang'!B:B,'Master Barang'!C:C,,0)</f>
        <v/>
      </c>
      <c r="F62" s="7"/>
      <c r="G62" s="19" t="str">
        <f>IFERROR(__xludf.DUMMYFUNCTION("IF(OR(E62="""",F62&lt;&gt;""Barang Datang""), """",
  IFERROR(
    INDEX(
      SORT(
        FILTER(Jadwal!F:F, Jadwal!C:C=E62),
        FILTER(Jadwal!E:E, Jadwal!C:C=E62),
        FALSE
      ),
      1
    ),
    ""TIDAK ADA JADWAL""
  )
)"),"")</f>
        <v/>
      </c>
      <c r="H62" s="7" t="str">
        <f t="shared" si="2"/>
        <v/>
      </c>
      <c r="L62" s="13"/>
      <c r="M62" s="13"/>
    </row>
    <row r="63" ht="15.75" customHeight="1">
      <c r="A63" s="14" t="str">
        <f t="shared" si="1"/>
        <v/>
      </c>
      <c r="B63" s="17" t="str">
        <f t="shared" si="3"/>
        <v/>
      </c>
      <c r="C63" s="18" t="str">
        <f t="shared" si="4"/>
        <v/>
      </c>
      <c r="D63" s="7"/>
      <c r="E63" s="7" t="str">
        <f t="array" ref="E63">XLOOKUP(D63,'Master Barang'!B:B,'Master Barang'!C:C,,0)</f>
        <v/>
      </c>
      <c r="F63" s="7"/>
      <c r="G63" s="19" t="str">
        <f>IFERROR(__xludf.DUMMYFUNCTION("IF(OR(E63="""",F63&lt;&gt;""Barang Datang""), """",
  IFERROR(
    INDEX(
      SORT(
        FILTER(Jadwal!F:F, Jadwal!C:C=E63),
        FILTER(Jadwal!E:E, Jadwal!C:C=E63),
        FALSE
      ),
      1
    ),
    ""TIDAK ADA JADWAL""
  )
)"),"")</f>
        <v/>
      </c>
      <c r="H63" s="7" t="str">
        <f t="shared" si="2"/>
        <v/>
      </c>
      <c r="L63" s="13"/>
      <c r="M63" s="13"/>
    </row>
    <row r="64" ht="15.75" customHeight="1">
      <c r="A64" s="14" t="str">
        <f t="shared" si="1"/>
        <v/>
      </c>
      <c r="B64" s="17" t="str">
        <f t="shared" si="3"/>
        <v/>
      </c>
      <c r="C64" s="18" t="str">
        <f t="shared" si="4"/>
        <v/>
      </c>
      <c r="D64" s="7"/>
      <c r="E64" s="7" t="str">
        <f t="array" ref="E64">XLOOKUP(D64,'Master Barang'!B:B,'Master Barang'!C:C,,0)</f>
        <v/>
      </c>
      <c r="F64" s="7"/>
      <c r="G64" s="19" t="str">
        <f>IFERROR(__xludf.DUMMYFUNCTION("IF(OR(E64="""",F64&lt;&gt;""Barang Datang""), """",
  IFERROR(
    INDEX(
      SORT(
        FILTER(Jadwal!F:F, Jadwal!C:C=E64),
        FILTER(Jadwal!E:E, Jadwal!C:C=E64),
        FALSE
      ),
      1
    ),
    ""TIDAK ADA JADWAL""
  )
)"),"")</f>
        <v/>
      </c>
      <c r="H64" s="7" t="str">
        <f t="shared" si="2"/>
        <v/>
      </c>
      <c r="L64" s="13"/>
      <c r="M64" s="13"/>
    </row>
    <row r="65" ht="15.75" customHeight="1">
      <c r="A65" s="14" t="str">
        <f t="shared" si="1"/>
        <v/>
      </c>
      <c r="B65" s="17" t="str">
        <f t="shared" si="3"/>
        <v/>
      </c>
      <c r="C65" s="18" t="str">
        <f t="shared" si="4"/>
        <v/>
      </c>
      <c r="D65" s="7"/>
      <c r="E65" s="7" t="str">
        <f t="array" ref="E65">XLOOKUP(D65,'Master Barang'!B:B,'Master Barang'!C:C,,0)</f>
        <v/>
      </c>
      <c r="F65" s="7"/>
      <c r="G65" s="19" t="str">
        <f>IFERROR(__xludf.DUMMYFUNCTION("IF(OR(E65="""",F65&lt;&gt;""Barang Datang""), """",
  IFERROR(
    INDEX(
      SORT(
        FILTER(Jadwal!F:F, Jadwal!C:C=E65),
        FILTER(Jadwal!E:E, Jadwal!C:C=E65),
        FALSE
      ),
      1
    ),
    ""TIDAK ADA JADWAL""
  )
)"),"")</f>
        <v/>
      </c>
      <c r="H65" s="7" t="str">
        <f t="shared" si="2"/>
        <v/>
      </c>
      <c r="L65" s="13"/>
      <c r="M65" s="13"/>
    </row>
    <row r="66" ht="15.75" customHeight="1">
      <c r="A66" s="14" t="str">
        <f t="shared" si="1"/>
        <v/>
      </c>
      <c r="B66" s="17" t="str">
        <f t="shared" si="3"/>
        <v/>
      </c>
      <c r="C66" s="18" t="str">
        <f t="shared" si="4"/>
        <v/>
      </c>
      <c r="D66" s="7"/>
      <c r="E66" s="7" t="str">
        <f t="array" ref="E66">XLOOKUP(D66,'Master Barang'!B:B,'Master Barang'!C:C,,0)</f>
        <v/>
      </c>
      <c r="F66" s="7"/>
      <c r="G66" s="19" t="str">
        <f>IFERROR(__xludf.DUMMYFUNCTION("IF(OR(E66="""",F66&lt;&gt;""Barang Datang""), """",
  IFERROR(
    INDEX(
      SORT(
        FILTER(Jadwal!F:F, Jadwal!C:C=E66),
        FILTER(Jadwal!E:E, Jadwal!C:C=E66),
        FALSE
      ),
      1
    ),
    ""TIDAK ADA JADWAL""
  )
)"),"")</f>
        <v/>
      </c>
      <c r="H66" s="7" t="str">
        <f t="shared" si="2"/>
        <v/>
      </c>
      <c r="L66" s="13"/>
      <c r="M66" s="13"/>
    </row>
    <row r="67" ht="15.75" customHeight="1">
      <c r="A67" s="14" t="str">
        <f t="shared" si="1"/>
        <v/>
      </c>
      <c r="B67" s="17" t="str">
        <f t="shared" si="3"/>
        <v/>
      </c>
      <c r="C67" s="18" t="str">
        <f t="shared" si="4"/>
        <v/>
      </c>
      <c r="D67" s="7"/>
      <c r="E67" s="7" t="str">
        <f t="array" ref="E67">XLOOKUP(D67,'Master Barang'!B:B,'Master Barang'!C:C,,0)</f>
        <v/>
      </c>
      <c r="F67" s="7"/>
      <c r="G67" s="19" t="str">
        <f>IFERROR(__xludf.DUMMYFUNCTION("IF(OR(E67="""",F67&lt;&gt;""Barang Datang""), """",
  IFERROR(
    INDEX(
      SORT(
        FILTER(Jadwal!F:F, Jadwal!C:C=E67),
        FILTER(Jadwal!E:E, Jadwal!C:C=E67),
        FALSE
      ),
      1
    ),
    ""TIDAK ADA JADWAL""
  )
)"),"")</f>
        <v/>
      </c>
      <c r="H67" s="7" t="str">
        <f t="shared" si="2"/>
        <v/>
      </c>
      <c r="L67" s="13"/>
      <c r="M67" s="13"/>
    </row>
    <row r="68" ht="15.75" customHeight="1">
      <c r="A68" s="14" t="str">
        <f t="shared" si="1"/>
        <v/>
      </c>
      <c r="B68" s="17" t="str">
        <f t="shared" si="3"/>
        <v/>
      </c>
      <c r="C68" s="18" t="str">
        <f t="shared" si="4"/>
        <v/>
      </c>
      <c r="D68" s="7"/>
      <c r="E68" s="7" t="str">
        <f t="array" ref="E68">XLOOKUP(D68,'Master Barang'!B:B,'Master Barang'!C:C,,0)</f>
        <v/>
      </c>
      <c r="F68" s="7"/>
      <c r="G68" s="19" t="str">
        <f>IFERROR(__xludf.DUMMYFUNCTION("IF(OR(E68="""",F68&lt;&gt;""Barang Datang""), """",
  IFERROR(
    INDEX(
      SORT(
        FILTER(Jadwal!F:F, Jadwal!C:C=E68),
        FILTER(Jadwal!E:E, Jadwal!C:C=E68),
        FALSE
      ),
      1
    ),
    ""TIDAK ADA JADWAL""
  )
)"),"")</f>
        <v/>
      </c>
      <c r="H68" s="7" t="str">
        <f t="shared" si="2"/>
        <v/>
      </c>
      <c r="L68" s="13"/>
      <c r="M68" s="13"/>
    </row>
    <row r="69" ht="15.75" customHeight="1">
      <c r="A69" s="14" t="str">
        <f t="shared" si="1"/>
        <v/>
      </c>
      <c r="B69" s="17" t="str">
        <f t="shared" si="3"/>
        <v/>
      </c>
      <c r="C69" s="18" t="str">
        <f t="shared" si="4"/>
        <v/>
      </c>
      <c r="D69" s="7"/>
      <c r="E69" s="7" t="str">
        <f t="array" ref="E69">XLOOKUP(D69,'Master Barang'!B:B,'Master Barang'!C:C,,0)</f>
        <v/>
      </c>
      <c r="F69" s="7"/>
      <c r="G69" s="19" t="str">
        <f>IFERROR(__xludf.DUMMYFUNCTION("IF(OR(E69="""",F69&lt;&gt;""Barang Datang""), """",
  IFERROR(
    INDEX(
      SORT(
        FILTER(Jadwal!F:F, Jadwal!C:C=E69),
        FILTER(Jadwal!E:E, Jadwal!C:C=E69),
        FALSE
      ),
      1
    ),
    ""TIDAK ADA JADWAL""
  )
)"),"")</f>
        <v/>
      </c>
      <c r="H69" s="7" t="str">
        <f t="shared" si="2"/>
        <v/>
      </c>
      <c r="L69" s="13"/>
      <c r="M69" s="13"/>
    </row>
    <row r="70" ht="15.75" customHeight="1">
      <c r="A70" s="14" t="str">
        <f t="shared" si="1"/>
        <v/>
      </c>
      <c r="B70" s="17" t="str">
        <f t="shared" si="3"/>
        <v/>
      </c>
      <c r="C70" s="18" t="str">
        <f t="shared" si="4"/>
        <v/>
      </c>
      <c r="D70" s="7"/>
      <c r="E70" s="7" t="str">
        <f t="array" ref="E70">XLOOKUP(D70,'Master Barang'!B:B,'Master Barang'!C:C,,0)</f>
        <v/>
      </c>
      <c r="F70" s="7"/>
      <c r="G70" s="19" t="str">
        <f>IFERROR(__xludf.DUMMYFUNCTION("IF(OR(E70="""",F70&lt;&gt;""Barang Datang""), """",
  IFERROR(
    INDEX(
      SORT(
        FILTER(Jadwal!F:F, Jadwal!C:C=E70),
        FILTER(Jadwal!E:E, Jadwal!C:C=E70),
        FALSE
      ),
      1
    ),
    ""TIDAK ADA JADWAL""
  )
)"),"")</f>
        <v/>
      </c>
      <c r="H70" s="7" t="str">
        <f t="shared" si="2"/>
        <v/>
      </c>
      <c r="L70" s="13"/>
      <c r="M70" s="13"/>
    </row>
    <row r="71" ht="15.75" customHeight="1">
      <c r="A71" s="14" t="str">
        <f t="shared" si="1"/>
        <v/>
      </c>
      <c r="B71" s="17" t="str">
        <f t="shared" si="3"/>
        <v/>
      </c>
      <c r="C71" s="18" t="str">
        <f t="shared" si="4"/>
        <v/>
      </c>
      <c r="D71" s="7"/>
      <c r="E71" s="7" t="str">
        <f t="array" ref="E71">XLOOKUP(D71,'Master Barang'!B:B,'Master Barang'!C:C,,0)</f>
        <v/>
      </c>
      <c r="F71" s="7"/>
      <c r="G71" s="19" t="str">
        <f>IFERROR(__xludf.DUMMYFUNCTION("IF(OR(E71="""",F71&lt;&gt;""Barang Datang""), """",
  IFERROR(
    INDEX(
      SORT(
        FILTER(Jadwal!F:F, Jadwal!C:C=E71),
        FILTER(Jadwal!E:E, Jadwal!C:C=E71),
        FALSE
      ),
      1
    ),
    ""TIDAK ADA JADWAL""
  )
)"),"")</f>
        <v/>
      </c>
      <c r="H71" s="7" t="str">
        <f t="shared" si="2"/>
        <v/>
      </c>
      <c r="L71" s="13"/>
      <c r="M71" s="13"/>
    </row>
    <row r="72" ht="15.75" customHeight="1">
      <c r="A72" s="14" t="str">
        <f t="shared" si="1"/>
        <v/>
      </c>
      <c r="B72" s="17" t="str">
        <f t="shared" si="3"/>
        <v/>
      </c>
      <c r="C72" s="18" t="str">
        <f t="shared" si="4"/>
        <v/>
      </c>
      <c r="D72" s="7"/>
      <c r="E72" s="7" t="str">
        <f t="array" ref="E72">XLOOKUP(D72,'Master Barang'!B:B,'Master Barang'!C:C,,0)</f>
        <v/>
      </c>
      <c r="F72" s="7"/>
      <c r="G72" s="19" t="str">
        <f>IFERROR(__xludf.DUMMYFUNCTION("IF(OR(E72="""",F72&lt;&gt;""Barang Datang""), """",
  IFERROR(
    INDEX(
      SORT(
        FILTER(Jadwal!F:F, Jadwal!C:C=E72),
        FILTER(Jadwal!E:E, Jadwal!C:C=E72),
        FALSE
      ),
      1
    ),
    ""TIDAK ADA JADWAL""
  )
)"),"")</f>
        <v/>
      </c>
      <c r="H72" s="7" t="str">
        <f t="shared" si="2"/>
        <v/>
      </c>
      <c r="L72" s="13"/>
      <c r="M72" s="13"/>
    </row>
    <row r="73" ht="15.75" customHeight="1">
      <c r="A73" s="14" t="str">
        <f t="shared" si="1"/>
        <v/>
      </c>
      <c r="B73" s="17" t="str">
        <f t="shared" si="3"/>
        <v/>
      </c>
      <c r="C73" s="18" t="str">
        <f t="shared" si="4"/>
        <v/>
      </c>
      <c r="D73" s="7"/>
      <c r="E73" s="7" t="str">
        <f t="array" ref="E73">XLOOKUP(D73,'Master Barang'!B:B,'Master Barang'!C:C,,0)</f>
        <v/>
      </c>
      <c r="F73" s="7"/>
      <c r="G73" s="19" t="str">
        <f>IFERROR(__xludf.DUMMYFUNCTION("IF(OR(E73="""",F73&lt;&gt;""Barang Datang""), """",
  IFERROR(
    INDEX(
      SORT(
        FILTER(Jadwal!F:F, Jadwal!C:C=E73),
        FILTER(Jadwal!E:E, Jadwal!C:C=E73),
        FALSE
      ),
      1
    ),
    ""TIDAK ADA JADWAL""
  )
)"),"")</f>
        <v/>
      </c>
      <c r="H73" s="7" t="str">
        <f t="shared" si="2"/>
        <v/>
      </c>
      <c r="L73" s="13"/>
      <c r="M73" s="13"/>
    </row>
    <row r="74" ht="15.75" customHeight="1">
      <c r="A74" s="14" t="str">
        <f t="shared" si="1"/>
        <v/>
      </c>
      <c r="B74" s="17" t="str">
        <f t="shared" si="3"/>
        <v/>
      </c>
      <c r="C74" s="18" t="str">
        <f t="shared" si="4"/>
        <v/>
      </c>
      <c r="D74" s="7"/>
      <c r="E74" s="7" t="str">
        <f t="array" ref="E74">XLOOKUP(D74,'Master Barang'!B:B,'Master Barang'!C:C,,0)</f>
        <v/>
      </c>
      <c r="F74" s="7"/>
      <c r="G74" s="19" t="str">
        <f>IFERROR(__xludf.DUMMYFUNCTION("IF(OR(E74="""",F74&lt;&gt;""Barang Datang""), """",
  IFERROR(
    INDEX(
      SORT(
        FILTER(Jadwal!F:F, Jadwal!C:C=E74),
        FILTER(Jadwal!E:E, Jadwal!C:C=E74),
        FALSE
      ),
      1
    ),
    ""TIDAK ADA JADWAL""
  )
)"),"")</f>
        <v/>
      </c>
      <c r="H74" s="7" t="str">
        <f t="shared" si="2"/>
        <v/>
      </c>
      <c r="L74" s="13"/>
      <c r="M74" s="13"/>
    </row>
    <row r="75" ht="15.75" customHeight="1">
      <c r="A75" s="14" t="str">
        <f t="shared" si="1"/>
        <v/>
      </c>
      <c r="B75" s="17" t="str">
        <f t="shared" si="3"/>
        <v/>
      </c>
      <c r="C75" s="18" t="str">
        <f t="shared" si="4"/>
        <v/>
      </c>
      <c r="D75" s="7"/>
      <c r="E75" s="7" t="str">
        <f t="array" ref="E75">XLOOKUP(D75,'Master Barang'!B:B,'Master Barang'!C:C,,0)</f>
        <v/>
      </c>
      <c r="F75" s="7"/>
      <c r="G75" s="19" t="str">
        <f>IFERROR(__xludf.DUMMYFUNCTION("IF(OR(E75="""",F75&lt;&gt;""Barang Datang""), """",
  IFERROR(
    INDEX(
      SORT(
        FILTER(Jadwal!F:F, Jadwal!C:C=E75),
        FILTER(Jadwal!E:E, Jadwal!C:C=E75),
        FALSE
      ),
      1
    ),
    ""TIDAK ADA JADWAL""
  )
)"),"")</f>
        <v/>
      </c>
      <c r="H75" s="7" t="str">
        <f t="shared" si="2"/>
        <v/>
      </c>
      <c r="L75" s="13"/>
      <c r="M75" s="13"/>
    </row>
    <row r="76" ht="15.75" customHeight="1">
      <c r="A76" s="14" t="str">
        <f t="shared" si="1"/>
        <v/>
      </c>
      <c r="B76" s="17" t="str">
        <f t="shared" si="3"/>
        <v/>
      </c>
      <c r="C76" s="18" t="str">
        <f t="shared" si="4"/>
        <v/>
      </c>
      <c r="D76" s="7"/>
      <c r="E76" s="7" t="str">
        <f t="array" ref="E76">XLOOKUP(D76,'Master Barang'!B:B,'Master Barang'!C:C,,0)</f>
        <v/>
      </c>
      <c r="F76" s="7"/>
      <c r="G76" s="19" t="str">
        <f>IFERROR(__xludf.DUMMYFUNCTION("IF(OR(E76="""",F76&lt;&gt;""Barang Datang""), """",
  IFERROR(
    INDEX(
      SORT(
        FILTER(Jadwal!F:F, Jadwal!C:C=E76),
        FILTER(Jadwal!E:E, Jadwal!C:C=E76),
        FALSE
      ),
      1
    ),
    ""TIDAK ADA JADWAL""
  )
)"),"")</f>
        <v/>
      </c>
      <c r="H76" s="7" t="str">
        <f t="shared" si="2"/>
        <v/>
      </c>
      <c r="L76" s="13"/>
      <c r="M76" s="13"/>
    </row>
    <row r="77" ht="15.75" customHeight="1">
      <c r="A77" s="14" t="str">
        <f t="shared" si="1"/>
        <v/>
      </c>
      <c r="B77" s="17" t="str">
        <f t="shared" si="3"/>
        <v/>
      </c>
      <c r="C77" s="18" t="str">
        <f t="shared" si="4"/>
        <v/>
      </c>
      <c r="D77" s="7"/>
      <c r="E77" s="7" t="str">
        <f t="array" ref="E77">XLOOKUP(D77,'Master Barang'!B:B,'Master Barang'!C:C,,0)</f>
        <v/>
      </c>
      <c r="F77" s="7"/>
      <c r="G77" s="19" t="str">
        <f>IFERROR(__xludf.DUMMYFUNCTION("IF(OR(E77="""",F77&lt;&gt;""Barang Datang""), """",
  IFERROR(
    INDEX(
      SORT(
        FILTER(Jadwal!F:F, Jadwal!C:C=E77),
        FILTER(Jadwal!E:E, Jadwal!C:C=E77),
        FALSE
      ),
      1
    ),
    ""TIDAK ADA JADWAL""
  )
)"),"")</f>
        <v/>
      </c>
      <c r="H77" s="7" t="str">
        <f t="shared" si="2"/>
        <v/>
      </c>
      <c r="L77" s="13"/>
      <c r="M77" s="13"/>
    </row>
    <row r="78" ht="15.75" customHeight="1">
      <c r="A78" s="14" t="str">
        <f t="shared" si="1"/>
        <v/>
      </c>
      <c r="B78" s="17" t="str">
        <f t="shared" si="3"/>
        <v/>
      </c>
      <c r="C78" s="18" t="str">
        <f t="shared" si="4"/>
        <v/>
      </c>
      <c r="D78" s="7"/>
      <c r="E78" s="7" t="str">
        <f t="array" ref="E78">XLOOKUP(D78,'Master Barang'!B:B,'Master Barang'!C:C,,0)</f>
        <v/>
      </c>
      <c r="F78" s="7"/>
      <c r="G78" s="19" t="str">
        <f>IFERROR(__xludf.DUMMYFUNCTION("IF(OR(E78="""",F78&lt;&gt;""Barang Datang""), """",
  IFERROR(
    INDEX(
      SORT(
        FILTER(Jadwal!F:F, Jadwal!C:C=E78),
        FILTER(Jadwal!E:E, Jadwal!C:C=E78),
        FALSE
      ),
      1
    ),
    ""TIDAK ADA JADWAL""
  )
)"),"")</f>
        <v/>
      </c>
      <c r="H78" s="7" t="str">
        <f t="shared" si="2"/>
        <v/>
      </c>
      <c r="L78" s="13"/>
      <c r="M78" s="13"/>
    </row>
    <row r="79" ht="15.75" customHeight="1">
      <c r="A79" s="14" t="str">
        <f t="shared" si="1"/>
        <v/>
      </c>
      <c r="B79" s="17" t="str">
        <f t="shared" si="3"/>
        <v/>
      </c>
      <c r="C79" s="18" t="str">
        <f t="shared" si="4"/>
        <v/>
      </c>
      <c r="D79" s="7"/>
      <c r="E79" s="7" t="str">
        <f t="array" ref="E79">XLOOKUP(D79,'Master Barang'!B:B,'Master Barang'!C:C,,0)</f>
        <v/>
      </c>
      <c r="F79" s="7"/>
      <c r="G79" s="19" t="str">
        <f>IFERROR(__xludf.DUMMYFUNCTION("IF(OR(E79="""",F79&lt;&gt;""Barang Datang""), """",
  IFERROR(
    INDEX(
      SORT(
        FILTER(Jadwal!F:F, Jadwal!C:C=E79),
        FILTER(Jadwal!E:E, Jadwal!C:C=E79),
        FALSE
      ),
      1
    ),
    ""TIDAK ADA JADWAL""
  )
)"),"")</f>
        <v/>
      </c>
      <c r="H79" s="7" t="str">
        <f t="shared" si="2"/>
        <v/>
      </c>
      <c r="L79" s="13"/>
      <c r="M79" s="13"/>
    </row>
    <row r="80" ht="15.75" customHeight="1">
      <c r="A80" s="14" t="str">
        <f t="shared" si="1"/>
        <v/>
      </c>
      <c r="B80" s="17" t="str">
        <f t="shared" si="3"/>
        <v/>
      </c>
      <c r="C80" s="18" t="str">
        <f t="shared" si="4"/>
        <v/>
      </c>
      <c r="D80" s="7"/>
      <c r="E80" s="7" t="str">
        <f t="array" ref="E80">XLOOKUP(D80,'Master Barang'!B:B,'Master Barang'!C:C,,0)</f>
        <v/>
      </c>
      <c r="F80" s="7"/>
      <c r="G80" s="19" t="str">
        <f>IFERROR(__xludf.DUMMYFUNCTION("IF(OR(E80="""",F80&lt;&gt;""Barang Datang""), """",
  IFERROR(
    INDEX(
      SORT(
        FILTER(Jadwal!F:F, Jadwal!C:C=E80),
        FILTER(Jadwal!E:E, Jadwal!C:C=E80),
        FALSE
      ),
      1
    ),
    ""TIDAK ADA JADWAL""
  )
)"),"")</f>
        <v/>
      </c>
      <c r="H80" s="7" t="str">
        <f t="shared" si="2"/>
        <v/>
      </c>
      <c r="L80" s="13"/>
      <c r="M80" s="13"/>
    </row>
    <row r="81" ht="15.75" customHeight="1">
      <c r="A81" s="14" t="str">
        <f t="shared" si="1"/>
        <v/>
      </c>
      <c r="B81" s="17" t="str">
        <f t="shared" si="3"/>
        <v/>
      </c>
      <c r="C81" s="18" t="str">
        <f t="shared" si="4"/>
        <v/>
      </c>
      <c r="D81" s="7"/>
      <c r="E81" s="7" t="str">
        <f t="array" ref="E81">XLOOKUP(D81,'Master Barang'!B:B,'Master Barang'!C:C,,0)</f>
        <v/>
      </c>
      <c r="F81" s="7"/>
      <c r="G81" s="19" t="str">
        <f>IFERROR(__xludf.DUMMYFUNCTION("IF(OR(E81="""",F81&lt;&gt;""Barang Datang""), """",
  IFERROR(
    INDEX(
      SORT(
        FILTER(Jadwal!F:F, Jadwal!C:C=E81),
        FILTER(Jadwal!E:E, Jadwal!C:C=E81),
        FALSE
      ),
      1
    ),
    ""TIDAK ADA JADWAL""
  )
)"),"")</f>
        <v/>
      </c>
      <c r="H81" s="7" t="str">
        <f t="shared" si="2"/>
        <v/>
      </c>
      <c r="L81" s="13"/>
      <c r="M81" s="13"/>
    </row>
    <row r="82" ht="15.75" customHeight="1">
      <c r="A82" s="14" t="str">
        <f t="shared" si="1"/>
        <v/>
      </c>
      <c r="B82" s="17" t="str">
        <f t="shared" si="3"/>
        <v/>
      </c>
      <c r="C82" s="18" t="str">
        <f t="shared" si="4"/>
        <v/>
      </c>
      <c r="D82" s="7"/>
      <c r="E82" s="7" t="str">
        <f t="array" ref="E82">XLOOKUP(D82,'Master Barang'!B:B,'Master Barang'!C:C,,0)</f>
        <v/>
      </c>
      <c r="F82" s="7"/>
      <c r="G82" s="19" t="str">
        <f>IFERROR(__xludf.DUMMYFUNCTION("IF(OR(E82="""",F82&lt;&gt;""Barang Datang""), """",
  IFERROR(
    INDEX(
      SORT(
        FILTER(Jadwal!F:F, Jadwal!C:C=E82),
        FILTER(Jadwal!E:E, Jadwal!C:C=E82),
        FALSE
      ),
      1
    ),
    ""TIDAK ADA JADWAL""
  )
)"),"")</f>
        <v/>
      </c>
      <c r="H82" s="7" t="str">
        <f t="shared" si="2"/>
        <v/>
      </c>
      <c r="L82" s="13"/>
      <c r="M82" s="13"/>
    </row>
    <row r="83" ht="15.75" customHeight="1">
      <c r="A83" s="14" t="str">
        <f t="shared" si="1"/>
        <v/>
      </c>
      <c r="B83" s="17" t="str">
        <f t="shared" si="3"/>
        <v/>
      </c>
      <c r="C83" s="18" t="str">
        <f t="shared" si="4"/>
        <v/>
      </c>
      <c r="D83" s="7"/>
      <c r="E83" s="7" t="str">
        <f t="array" ref="E83">XLOOKUP(D83,'Master Barang'!B:B,'Master Barang'!C:C,,0)</f>
        <v/>
      </c>
      <c r="F83" s="7"/>
      <c r="G83" s="19" t="str">
        <f>IFERROR(__xludf.DUMMYFUNCTION("IF(OR(E83="""",F83&lt;&gt;""Barang Datang""), """",
  IFERROR(
    INDEX(
      SORT(
        FILTER(Jadwal!F:F, Jadwal!C:C=E83),
        FILTER(Jadwal!E:E, Jadwal!C:C=E83),
        FALSE
      ),
      1
    ),
    ""TIDAK ADA JADWAL""
  )
)"),"")</f>
        <v/>
      </c>
      <c r="H83" s="7" t="str">
        <f t="shared" si="2"/>
        <v/>
      </c>
      <c r="L83" s="13"/>
      <c r="M83" s="13"/>
    </row>
    <row r="84" ht="15.75" customHeight="1">
      <c r="A84" s="14" t="str">
        <f t="shared" si="1"/>
        <v/>
      </c>
      <c r="B84" s="17" t="str">
        <f t="shared" si="3"/>
        <v/>
      </c>
      <c r="C84" s="18" t="str">
        <f t="shared" si="4"/>
        <v/>
      </c>
      <c r="D84" s="7"/>
      <c r="E84" s="7" t="str">
        <f t="array" ref="E84">XLOOKUP(D84,'Master Barang'!B:B,'Master Barang'!C:C,,0)</f>
        <v/>
      </c>
      <c r="F84" s="7"/>
      <c r="G84" s="19" t="str">
        <f>IFERROR(__xludf.DUMMYFUNCTION("IF(OR(E84="""",F84&lt;&gt;""Barang Datang""), """",
  IFERROR(
    INDEX(
      SORT(
        FILTER(Jadwal!F:F, Jadwal!C:C=E84),
        FILTER(Jadwal!E:E, Jadwal!C:C=E84),
        FALSE
      ),
      1
    ),
    ""TIDAK ADA JADWAL""
  )
)"),"")</f>
        <v/>
      </c>
      <c r="H84" s="7" t="str">
        <f t="shared" si="2"/>
        <v/>
      </c>
      <c r="L84" s="13"/>
      <c r="M84" s="13"/>
    </row>
    <row r="85" ht="15.75" customHeight="1">
      <c r="A85" s="14" t="str">
        <f t="shared" si="1"/>
        <v/>
      </c>
      <c r="B85" s="17" t="str">
        <f t="shared" si="3"/>
        <v/>
      </c>
      <c r="C85" s="18" t="str">
        <f t="shared" si="4"/>
        <v/>
      </c>
      <c r="D85" s="7"/>
      <c r="E85" s="7" t="str">
        <f t="array" ref="E85">XLOOKUP(D85,'Master Barang'!B:B,'Master Barang'!C:C,,0)</f>
        <v/>
      </c>
      <c r="F85" s="7"/>
      <c r="G85" s="19" t="str">
        <f>IFERROR(__xludf.DUMMYFUNCTION("IF(OR(E85="""",F85&lt;&gt;""Barang Datang""), """",
  IFERROR(
    INDEX(
      SORT(
        FILTER(Jadwal!F:F, Jadwal!C:C=E85),
        FILTER(Jadwal!E:E, Jadwal!C:C=E85),
        FALSE
      ),
      1
    ),
    ""TIDAK ADA JADWAL""
  )
)"),"")</f>
        <v/>
      </c>
      <c r="H85" s="7" t="str">
        <f t="shared" si="2"/>
        <v/>
      </c>
      <c r="L85" s="13"/>
      <c r="M85" s="13"/>
    </row>
    <row r="86" ht="15.75" customHeight="1">
      <c r="A86" s="14" t="str">
        <f t="shared" si="1"/>
        <v/>
      </c>
      <c r="B86" s="17" t="str">
        <f t="shared" si="3"/>
        <v/>
      </c>
      <c r="C86" s="18" t="str">
        <f t="shared" si="4"/>
        <v/>
      </c>
      <c r="D86" s="7"/>
      <c r="E86" s="7" t="str">
        <f t="array" ref="E86">XLOOKUP(D86,'Master Barang'!B:B,'Master Barang'!C:C,,0)</f>
        <v/>
      </c>
      <c r="F86" s="7"/>
      <c r="G86" s="19" t="str">
        <f>IFERROR(__xludf.DUMMYFUNCTION("IF(OR(E86="""",F86&lt;&gt;""Barang Datang""), """",
  IFERROR(
    INDEX(
      SORT(
        FILTER(Jadwal!F:F, Jadwal!C:C=E86),
        FILTER(Jadwal!E:E, Jadwal!C:C=E86),
        FALSE
      ),
      1
    ),
    ""TIDAK ADA JADWAL""
  )
)"),"")</f>
        <v/>
      </c>
      <c r="H86" s="7" t="str">
        <f t="shared" si="2"/>
        <v/>
      </c>
      <c r="L86" s="13"/>
      <c r="M86" s="13"/>
    </row>
    <row r="87" ht="15.75" customHeight="1">
      <c r="A87" s="14" t="str">
        <f t="shared" si="1"/>
        <v/>
      </c>
      <c r="B87" s="17" t="str">
        <f t="shared" si="3"/>
        <v/>
      </c>
      <c r="C87" s="18" t="str">
        <f t="shared" si="4"/>
        <v/>
      </c>
      <c r="D87" s="7"/>
      <c r="E87" s="7" t="str">
        <f t="array" ref="E87">XLOOKUP(D87,'Master Barang'!B:B,'Master Barang'!C:C,,0)</f>
        <v/>
      </c>
      <c r="F87" s="7"/>
      <c r="G87" s="19" t="str">
        <f>IFERROR(__xludf.DUMMYFUNCTION("IF(OR(E87="""",F87&lt;&gt;""Barang Datang""), """",
  IFERROR(
    INDEX(
      SORT(
        FILTER(Jadwal!F:F, Jadwal!C:C=E87),
        FILTER(Jadwal!E:E, Jadwal!C:C=E87),
        FALSE
      ),
      1
    ),
    ""TIDAK ADA JADWAL""
  )
)"),"")</f>
        <v/>
      </c>
      <c r="H87" s="7" t="str">
        <f t="shared" si="2"/>
        <v/>
      </c>
      <c r="L87" s="13"/>
      <c r="M87" s="13"/>
    </row>
    <row r="88" ht="15.75" customHeight="1">
      <c r="A88" s="14" t="str">
        <f t="shared" si="1"/>
        <v/>
      </c>
      <c r="B88" s="17" t="str">
        <f t="shared" si="3"/>
        <v/>
      </c>
      <c r="C88" s="18" t="str">
        <f t="shared" si="4"/>
        <v/>
      </c>
      <c r="D88" s="7"/>
      <c r="E88" s="7" t="str">
        <f t="array" ref="E88">XLOOKUP(D88,'Master Barang'!B:B,'Master Barang'!C:C,,0)</f>
        <v/>
      </c>
      <c r="F88" s="7"/>
      <c r="G88" s="19" t="str">
        <f>IFERROR(__xludf.DUMMYFUNCTION("IF(OR(E88="""",F88&lt;&gt;""Barang Datang""), """",
  IFERROR(
    INDEX(
      SORT(
        FILTER(Jadwal!F:F, Jadwal!C:C=E88),
        FILTER(Jadwal!E:E, Jadwal!C:C=E88),
        FALSE
      ),
      1
    ),
    ""TIDAK ADA JADWAL""
  )
)"),"")</f>
        <v/>
      </c>
      <c r="H88" s="7" t="str">
        <f t="shared" si="2"/>
        <v/>
      </c>
      <c r="L88" s="13"/>
      <c r="M88" s="13"/>
    </row>
    <row r="89" ht="15.75" customHeight="1">
      <c r="A89" s="14" t="str">
        <f t="shared" si="1"/>
        <v/>
      </c>
      <c r="B89" s="17" t="str">
        <f t="shared" si="3"/>
        <v/>
      </c>
      <c r="C89" s="18" t="str">
        <f t="shared" si="4"/>
        <v/>
      </c>
      <c r="D89" s="7"/>
      <c r="E89" s="7" t="str">
        <f t="array" ref="E89">XLOOKUP(D89,'Master Barang'!B:B,'Master Barang'!C:C,,0)</f>
        <v/>
      </c>
      <c r="F89" s="7"/>
      <c r="G89" s="19" t="str">
        <f>IFERROR(__xludf.DUMMYFUNCTION("IF(OR(E89="""",F89&lt;&gt;""Barang Datang""), """",
  IFERROR(
    INDEX(
      SORT(
        FILTER(Jadwal!F:F, Jadwal!C:C=E89),
        FILTER(Jadwal!E:E, Jadwal!C:C=E89),
        FALSE
      ),
      1
    ),
    ""TIDAK ADA JADWAL""
  )
)"),"")</f>
        <v/>
      </c>
      <c r="H89" s="7" t="str">
        <f t="shared" si="2"/>
        <v/>
      </c>
      <c r="L89" s="13"/>
      <c r="M89" s="13"/>
    </row>
    <row r="90" ht="15.75" customHeight="1">
      <c r="A90" s="14" t="str">
        <f t="shared" si="1"/>
        <v/>
      </c>
      <c r="B90" s="17" t="str">
        <f t="shared" si="3"/>
        <v/>
      </c>
      <c r="C90" s="18" t="str">
        <f t="shared" si="4"/>
        <v/>
      </c>
      <c r="D90" s="7"/>
      <c r="E90" s="7" t="str">
        <f t="array" ref="E90">XLOOKUP(D90,'Master Barang'!B:B,'Master Barang'!C:C,,0)</f>
        <v/>
      </c>
      <c r="F90" s="7"/>
      <c r="G90" s="19" t="str">
        <f>IFERROR(__xludf.DUMMYFUNCTION("IF(OR(E90="""",F90&lt;&gt;""Barang Datang""), """",
  IFERROR(
    INDEX(
      SORT(
        FILTER(Jadwal!F:F, Jadwal!C:C=E90),
        FILTER(Jadwal!E:E, Jadwal!C:C=E90),
        FALSE
      ),
      1
    ),
    ""TIDAK ADA JADWAL""
  )
)"),"")</f>
        <v/>
      </c>
      <c r="H90" s="7" t="str">
        <f t="shared" si="2"/>
        <v/>
      </c>
      <c r="L90" s="13"/>
      <c r="M90" s="13"/>
    </row>
    <row r="91" ht="15.75" customHeight="1">
      <c r="A91" s="14" t="str">
        <f t="shared" si="1"/>
        <v/>
      </c>
      <c r="B91" s="17" t="str">
        <f t="shared" si="3"/>
        <v/>
      </c>
      <c r="C91" s="18" t="str">
        <f t="shared" si="4"/>
        <v/>
      </c>
      <c r="D91" s="7"/>
      <c r="E91" s="7" t="str">
        <f t="array" ref="E91">XLOOKUP(D91,'Master Barang'!B:B,'Master Barang'!C:C,,0)</f>
        <v/>
      </c>
      <c r="F91" s="7"/>
      <c r="G91" s="19" t="str">
        <f>IFERROR(__xludf.DUMMYFUNCTION("IF(OR(E91="""",F91&lt;&gt;""Barang Datang""), """",
  IFERROR(
    INDEX(
      SORT(
        FILTER(Jadwal!F:F, Jadwal!C:C=E91),
        FILTER(Jadwal!E:E, Jadwal!C:C=E91),
        FALSE
      ),
      1
    ),
    ""TIDAK ADA JADWAL""
  )
)"),"")</f>
        <v/>
      </c>
      <c r="H91" s="7" t="str">
        <f t="shared" si="2"/>
        <v/>
      </c>
      <c r="L91" s="13"/>
      <c r="M91" s="13"/>
    </row>
    <row r="92" ht="15.75" customHeight="1">
      <c r="A92" s="14" t="str">
        <f t="shared" si="1"/>
        <v/>
      </c>
      <c r="B92" s="17" t="str">
        <f t="shared" si="3"/>
        <v/>
      </c>
      <c r="C92" s="18" t="str">
        <f t="shared" si="4"/>
        <v/>
      </c>
      <c r="D92" s="7"/>
      <c r="E92" s="7" t="str">
        <f t="array" ref="E92">XLOOKUP(D92,'Master Barang'!B:B,'Master Barang'!C:C,,0)</f>
        <v/>
      </c>
      <c r="F92" s="7"/>
      <c r="G92" s="19" t="str">
        <f>IFERROR(__xludf.DUMMYFUNCTION("IF(OR(E92="""",F92&lt;&gt;""Barang Datang""), """",
  IFERROR(
    INDEX(
      SORT(
        FILTER(Jadwal!F:F, Jadwal!C:C=E92),
        FILTER(Jadwal!E:E, Jadwal!C:C=E92),
        FALSE
      ),
      1
    ),
    ""TIDAK ADA JADWAL""
  )
)"),"")</f>
        <v/>
      </c>
      <c r="H92" s="7" t="str">
        <f t="shared" si="2"/>
        <v/>
      </c>
      <c r="L92" s="13"/>
      <c r="M92" s="13"/>
    </row>
    <row r="93" ht="15.75" customHeight="1">
      <c r="A93" s="14" t="str">
        <f t="shared" si="1"/>
        <v/>
      </c>
      <c r="B93" s="17" t="str">
        <f t="shared" si="3"/>
        <v/>
      </c>
      <c r="C93" s="18" t="str">
        <f t="shared" si="4"/>
        <v/>
      </c>
      <c r="D93" s="7"/>
      <c r="E93" s="7" t="str">
        <f t="array" ref="E93">XLOOKUP(D93,'Master Barang'!B:B,'Master Barang'!C:C,,0)</f>
        <v/>
      </c>
      <c r="F93" s="7"/>
      <c r="G93" s="19" t="str">
        <f>IFERROR(__xludf.DUMMYFUNCTION("IF(OR(E93="""",F93&lt;&gt;""Barang Datang""), """",
  IFERROR(
    INDEX(
      SORT(
        FILTER(Jadwal!F:F, Jadwal!C:C=E93),
        FILTER(Jadwal!E:E, Jadwal!C:C=E93),
        FALSE
      ),
      1
    ),
    ""TIDAK ADA JADWAL""
  )
)"),"")</f>
        <v/>
      </c>
      <c r="H93" s="7" t="str">
        <f t="shared" si="2"/>
        <v/>
      </c>
      <c r="L93" s="13"/>
      <c r="M93" s="13"/>
    </row>
    <row r="94" ht="15.75" customHeight="1">
      <c r="A94" s="14" t="str">
        <f t="shared" si="1"/>
        <v/>
      </c>
      <c r="B94" s="17" t="str">
        <f t="shared" si="3"/>
        <v/>
      </c>
      <c r="C94" s="18" t="str">
        <f t="shared" si="4"/>
        <v/>
      </c>
      <c r="D94" s="7"/>
      <c r="E94" s="7" t="str">
        <f t="array" ref="E94">XLOOKUP(D94,'Master Barang'!B:B,'Master Barang'!C:C,,0)</f>
        <v/>
      </c>
      <c r="F94" s="7"/>
      <c r="G94" s="19" t="str">
        <f>IFERROR(__xludf.DUMMYFUNCTION("IF(OR(E94="""",F94&lt;&gt;""Barang Datang""), """",
  IFERROR(
    INDEX(
      SORT(
        FILTER(Jadwal!F:F, Jadwal!C:C=E94),
        FILTER(Jadwal!E:E, Jadwal!C:C=E94),
        FALSE
      ),
      1
    ),
    ""TIDAK ADA JADWAL""
  )
)"),"")</f>
        <v/>
      </c>
      <c r="H94" s="7" t="str">
        <f t="shared" si="2"/>
        <v/>
      </c>
      <c r="L94" s="13"/>
      <c r="M94" s="13"/>
    </row>
    <row r="95" ht="15.75" customHeight="1">
      <c r="A95" s="14" t="str">
        <f t="shared" si="1"/>
        <v/>
      </c>
      <c r="B95" s="17" t="str">
        <f t="shared" si="3"/>
        <v/>
      </c>
      <c r="C95" s="18" t="str">
        <f t="shared" si="4"/>
        <v/>
      </c>
      <c r="D95" s="7"/>
      <c r="E95" s="7" t="str">
        <f t="array" ref="E95">XLOOKUP(D95,'Master Barang'!B:B,'Master Barang'!C:C,,0)</f>
        <v/>
      </c>
      <c r="F95" s="7"/>
      <c r="G95" s="19" t="str">
        <f>IFERROR(__xludf.DUMMYFUNCTION("IF(OR(E95="""",F95&lt;&gt;""Barang Datang""), """",
  IFERROR(
    INDEX(
      SORT(
        FILTER(Jadwal!F:F, Jadwal!C:C=E95),
        FILTER(Jadwal!E:E, Jadwal!C:C=E95),
        FALSE
      ),
      1
    ),
    ""TIDAK ADA JADWAL""
  )
)"),"")</f>
        <v/>
      </c>
      <c r="H95" s="7" t="str">
        <f t="shared" si="2"/>
        <v/>
      </c>
      <c r="L95" s="13"/>
      <c r="M95" s="13"/>
    </row>
    <row r="96" ht="15.75" customHeight="1">
      <c r="A96" s="14" t="str">
        <f t="shared" si="1"/>
        <v/>
      </c>
      <c r="B96" s="17" t="str">
        <f t="shared" si="3"/>
        <v/>
      </c>
      <c r="C96" s="18" t="str">
        <f t="shared" si="4"/>
        <v/>
      </c>
      <c r="D96" s="7"/>
      <c r="E96" s="7" t="str">
        <f t="array" ref="E96">XLOOKUP(D96,'Master Barang'!B:B,'Master Barang'!C:C,,0)</f>
        <v/>
      </c>
      <c r="F96" s="7"/>
      <c r="G96" s="19" t="str">
        <f>IFERROR(__xludf.DUMMYFUNCTION("IF(OR(E96="""",F96&lt;&gt;""Barang Datang""), """",
  IFERROR(
    INDEX(
      SORT(
        FILTER(Jadwal!F:F, Jadwal!C:C=E96),
        FILTER(Jadwal!E:E, Jadwal!C:C=E96),
        FALSE
      ),
      1
    ),
    ""TIDAK ADA JADWAL""
  )
)"),"")</f>
        <v/>
      </c>
      <c r="H96" s="7" t="str">
        <f t="shared" si="2"/>
        <v/>
      </c>
      <c r="L96" s="13"/>
      <c r="M96" s="13"/>
    </row>
    <row r="97" ht="15.75" customHeight="1">
      <c r="A97" s="14" t="str">
        <f t="shared" si="1"/>
        <v/>
      </c>
      <c r="B97" s="17" t="str">
        <f t="shared" si="3"/>
        <v/>
      </c>
      <c r="C97" s="18" t="str">
        <f t="shared" si="4"/>
        <v/>
      </c>
      <c r="D97" s="7"/>
      <c r="E97" s="7" t="str">
        <f t="array" ref="E97">XLOOKUP(D97,'Master Barang'!B:B,'Master Barang'!C:C,,0)</f>
        <v/>
      </c>
      <c r="F97" s="7"/>
      <c r="G97" s="19" t="str">
        <f>IFERROR(__xludf.DUMMYFUNCTION("IF(OR(E97="""",F97&lt;&gt;""Barang Datang""), """",
  IFERROR(
    INDEX(
      SORT(
        FILTER(Jadwal!F:F, Jadwal!C:C=E97),
        FILTER(Jadwal!E:E, Jadwal!C:C=E97),
        FALSE
      ),
      1
    ),
    ""TIDAK ADA JADWAL""
  )
)"),"")</f>
        <v/>
      </c>
      <c r="H97" s="7" t="str">
        <f t="shared" si="2"/>
        <v/>
      </c>
      <c r="L97" s="13"/>
      <c r="M97" s="13"/>
    </row>
    <row r="98" ht="15.75" customHeight="1">
      <c r="A98" s="14" t="str">
        <f t="shared" si="1"/>
        <v/>
      </c>
      <c r="B98" s="17" t="str">
        <f t="shared" si="3"/>
        <v/>
      </c>
      <c r="C98" s="18" t="str">
        <f t="shared" si="4"/>
        <v/>
      </c>
      <c r="D98" s="7"/>
      <c r="E98" s="7" t="str">
        <f t="array" ref="E98">XLOOKUP(D98,'Master Barang'!B:B,'Master Barang'!C:C,,0)</f>
        <v/>
      </c>
      <c r="F98" s="7"/>
      <c r="G98" s="19" t="str">
        <f>IFERROR(__xludf.DUMMYFUNCTION("IF(OR(E98="""",F98&lt;&gt;""Barang Datang""), """",
  IFERROR(
    INDEX(
      SORT(
        FILTER(Jadwal!F:F, Jadwal!C:C=E98),
        FILTER(Jadwal!E:E, Jadwal!C:C=E98),
        FALSE
      ),
      1
    ),
    ""TIDAK ADA JADWAL""
  )
)"),"")</f>
        <v/>
      </c>
      <c r="H98" s="7" t="str">
        <f t="shared" si="2"/>
        <v/>
      </c>
      <c r="L98" s="13"/>
      <c r="M98" s="13"/>
    </row>
    <row r="99" ht="15.75" customHeight="1">
      <c r="A99" s="14" t="str">
        <f t="shared" si="1"/>
        <v/>
      </c>
      <c r="B99" s="17" t="str">
        <f t="shared" si="3"/>
        <v/>
      </c>
      <c r="C99" s="18" t="str">
        <f t="shared" si="4"/>
        <v/>
      </c>
      <c r="D99" s="7"/>
      <c r="E99" s="7" t="str">
        <f t="array" ref="E99">XLOOKUP(D99,'Master Barang'!B:B,'Master Barang'!C:C,,0)</f>
        <v/>
      </c>
      <c r="F99" s="7"/>
      <c r="G99" s="19" t="str">
        <f>IFERROR(__xludf.DUMMYFUNCTION("IF(OR(E99="""",F99&lt;&gt;""Barang Datang""), """",
  IFERROR(
    INDEX(
      SORT(
        FILTER(Jadwal!F:F, Jadwal!C:C=E99),
        FILTER(Jadwal!E:E, Jadwal!C:C=E99),
        FALSE
      ),
      1
    ),
    ""TIDAK ADA JADWAL""
  )
)"),"")</f>
        <v/>
      </c>
      <c r="H99" s="7" t="str">
        <f t="shared" si="2"/>
        <v/>
      </c>
      <c r="L99" s="13"/>
      <c r="M99" s="13"/>
    </row>
    <row r="100" ht="15.75" customHeight="1">
      <c r="A100" s="14" t="str">
        <f t="shared" si="1"/>
        <v/>
      </c>
      <c r="B100" s="17" t="str">
        <f t="shared" si="3"/>
        <v/>
      </c>
      <c r="C100" s="18" t="str">
        <f t="shared" si="4"/>
        <v/>
      </c>
      <c r="D100" s="7"/>
      <c r="E100" s="7" t="str">
        <f t="array" ref="E100">XLOOKUP(D100,'Master Barang'!B:B,'Master Barang'!C:C,,0)</f>
        <v/>
      </c>
      <c r="F100" s="7"/>
      <c r="G100" s="19" t="str">
        <f>IFERROR(__xludf.DUMMYFUNCTION("IF(OR(E100="""",F100&lt;&gt;""Barang Datang""), """",
  IFERROR(
    INDEX(
      SORT(
        FILTER(Jadwal!F:F, Jadwal!C:C=E100),
        FILTER(Jadwal!E:E, Jadwal!C:C=E100),
        FALSE
      ),
      1
    ),
    ""TIDAK ADA JADWAL""
  )
)"),"")</f>
        <v/>
      </c>
      <c r="H100" s="7" t="str">
        <f t="shared" si="2"/>
        <v/>
      </c>
      <c r="L100" s="13"/>
      <c r="M100" s="13"/>
    </row>
    <row r="101" ht="15.75" customHeight="1">
      <c r="A101" s="14" t="str">
        <f t="shared" si="1"/>
        <v/>
      </c>
      <c r="B101" s="17" t="str">
        <f t="shared" si="3"/>
        <v/>
      </c>
      <c r="C101" s="18" t="str">
        <f t="shared" si="4"/>
        <v/>
      </c>
      <c r="D101" s="7"/>
      <c r="E101" s="7" t="str">
        <f t="array" ref="E101">XLOOKUP(D101,'Master Barang'!B:B,'Master Barang'!C:C,,0)</f>
        <v/>
      </c>
      <c r="F101" s="7"/>
      <c r="G101" s="19" t="str">
        <f>IFERROR(__xludf.DUMMYFUNCTION("IF(OR(E101="""",F101&lt;&gt;""Barang Datang""), """",
  IFERROR(
    INDEX(
      SORT(
        FILTER(Jadwal!F:F, Jadwal!C:C=E101),
        FILTER(Jadwal!E:E, Jadwal!C:C=E101),
        FALSE
      ),
      1
    ),
    ""TIDAK ADA JADWAL""
  )
)"),"")</f>
        <v/>
      </c>
      <c r="H101" s="7" t="str">
        <f t="shared" si="2"/>
        <v/>
      </c>
      <c r="L101" s="13"/>
      <c r="M101" s="13"/>
    </row>
    <row r="102" ht="15.75" customHeight="1">
      <c r="A102" s="14" t="str">
        <f t="shared" si="1"/>
        <v/>
      </c>
      <c r="B102" s="17" t="str">
        <f t="shared" si="3"/>
        <v/>
      </c>
      <c r="C102" s="18" t="str">
        <f t="shared" si="4"/>
        <v/>
      </c>
      <c r="D102" s="7"/>
      <c r="E102" s="7" t="str">
        <f t="array" ref="E102">XLOOKUP(D102,'Master Barang'!B:B,'Master Barang'!C:C,,0)</f>
        <v/>
      </c>
      <c r="F102" s="7"/>
      <c r="G102" s="19" t="str">
        <f>IFERROR(__xludf.DUMMYFUNCTION("IF(OR(E102="""",F102&lt;&gt;""Barang Datang""), """",
  IFERROR(
    INDEX(
      SORT(
        FILTER(Jadwal!F:F, Jadwal!C:C=E102),
        FILTER(Jadwal!E:E, Jadwal!C:C=E102),
        FALSE
      ),
      1
    ),
    ""TIDAK ADA JADWAL""
  )
)"),"")</f>
        <v/>
      </c>
      <c r="H102" s="7" t="str">
        <f t="shared" si="2"/>
        <v/>
      </c>
      <c r="L102" s="13"/>
      <c r="M102" s="13"/>
    </row>
    <row r="103" ht="15.75" customHeight="1">
      <c r="A103" s="14" t="str">
        <f t="shared" si="1"/>
        <v/>
      </c>
      <c r="B103" s="17" t="str">
        <f t="shared" si="3"/>
        <v/>
      </c>
      <c r="C103" s="18" t="str">
        <f t="shared" si="4"/>
        <v/>
      </c>
      <c r="D103" s="7"/>
      <c r="E103" s="7" t="str">
        <f t="array" ref="E103">XLOOKUP(D103,'Master Barang'!B:B,'Master Barang'!C:C,,0)</f>
        <v/>
      </c>
      <c r="F103" s="7"/>
      <c r="G103" s="19" t="str">
        <f>IFERROR(__xludf.DUMMYFUNCTION("IF(OR(E103="""",F103&lt;&gt;""Barang Datang""), """",
  IFERROR(
    INDEX(
      SORT(
        FILTER(Jadwal!F:F, Jadwal!C:C=E103),
        FILTER(Jadwal!E:E, Jadwal!C:C=E103),
        FALSE
      ),
      1
    ),
    ""TIDAK ADA JADWAL""
  )
)"),"")</f>
        <v/>
      </c>
      <c r="H103" s="7" t="str">
        <f t="shared" si="2"/>
        <v/>
      </c>
      <c r="L103" s="13"/>
      <c r="M103" s="13"/>
    </row>
    <row r="104" ht="15.75" customHeight="1">
      <c r="A104" s="14" t="str">
        <f t="shared" si="1"/>
        <v/>
      </c>
      <c r="B104" s="17" t="str">
        <f t="shared" si="3"/>
        <v/>
      </c>
      <c r="C104" s="18" t="str">
        <f t="shared" si="4"/>
        <v/>
      </c>
      <c r="D104" s="7"/>
      <c r="E104" s="7" t="str">
        <f t="array" ref="E104">XLOOKUP(D104,'Master Barang'!B:B,'Master Barang'!C:C,,0)</f>
        <v/>
      </c>
      <c r="F104" s="7"/>
      <c r="G104" s="19" t="str">
        <f>IFERROR(__xludf.DUMMYFUNCTION("IF(OR(E104="""",F104&lt;&gt;""Barang Datang""), """",
  IFERROR(
    INDEX(
      SORT(
        FILTER(Jadwal!F:F, Jadwal!C:C=E104),
        FILTER(Jadwal!E:E, Jadwal!C:C=E104),
        FALSE
      ),
      1
    ),
    ""TIDAK ADA JADWAL""
  )
)"),"")</f>
        <v/>
      </c>
      <c r="H104" s="7" t="str">
        <f t="shared" si="2"/>
        <v/>
      </c>
      <c r="L104" s="13"/>
      <c r="M104" s="13"/>
    </row>
    <row r="105" ht="15.75" customHeight="1">
      <c r="A105" s="14" t="str">
        <f t="shared" si="1"/>
        <v/>
      </c>
      <c r="B105" s="17" t="str">
        <f t="shared" si="3"/>
        <v/>
      </c>
      <c r="C105" s="18" t="str">
        <f t="shared" si="4"/>
        <v/>
      </c>
      <c r="D105" s="7"/>
      <c r="E105" s="7" t="str">
        <f t="array" ref="E105">XLOOKUP(D105,'Master Barang'!B:B,'Master Barang'!C:C,,0)</f>
        <v/>
      </c>
      <c r="F105" s="7"/>
      <c r="G105" s="19" t="str">
        <f>IFERROR(__xludf.DUMMYFUNCTION("IF(OR(E105="""",F105&lt;&gt;""Barang Datang""), """",
  IFERROR(
    INDEX(
      SORT(
        FILTER(Jadwal!F:F, Jadwal!C:C=E105),
        FILTER(Jadwal!E:E, Jadwal!C:C=E105),
        FALSE
      ),
      1
    ),
    ""TIDAK ADA JADWAL""
  )
)"),"")</f>
        <v/>
      </c>
      <c r="H105" s="7" t="str">
        <f t="shared" si="2"/>
        <v/>
      </c>
      <c r="L105" s="13"/>
      <c r="M105" s="13"/>
    </row>
    <row r="106" ht="15.75" customHeight="1">
      <c r="A106" s="14" t="str">
        <f t="shared" si="1"/>
        <v/>
      </c>
      <c r="B106" s="17" t="str">
        <f t="shared" si="3"/>
        <v/>
      </c>
      <c r="C106" s="18" t="str">
        <f t="shared" si="4"/>
        <v/>
      </c>
      <c r="D106" s="7"/>
      <c r="E106" s="7" t="str">
        <f t="array" ref="E106">XLOOKUP(D106,'Master Barang'!B:B,'Master Barang'!C:C,,0)</f>
        <v/>
      </c>
      <c r="F106" s="7"/>
      <c r="G106" s="19" t="str">
        <f>IFERROR(__xludf.DUMMYFUNCTION("IF(OR(E106="""",F106&lt;&gt;""Barang Datang""), """",
  IFERROR(
    INDEX(
      SORT(
        FILTER(Jadwal!F:F, Jadwal!C:C=E106),
        FILTER(Jadwal!E:E, Jadwal!C:C=E106),
        FALSE
      ),
      1
    ),
    ""TIDAK ADA JADWAL""
  )
)"),"")</f>
        <v/>
      </c>
      <c r="H106" s="7" t="str">
        <f t="shared" si="2"/>
        <v/>
      </c>
      <c r="L106" s="13"/>
      <c r="M106" s="13"/>
    </row>
    <row r="107" ht="15.75" customHeight="1">
      <c r="A107" s="14" t="str">
        <f t="shared" si="1"/>
        <v/>
      </c>
      <c r="B107" s="17" t="str">
        <f t="shared" si="3"/>
        <v/>
      </c>
      <c r="C107" s="18" t="str">
        <f t="shared" si="4"/>
        <v/>
      </c>
      <c r="D107" s="7"/>
      <c r="E107" s="7" t="str">
        <f t="array" ref="E107">XLOOKUP(D107,'Master Barang'!B:B,'Master Barang'!C:C,,0)</f>
        <v/>
      </c>
      <c r="F107" s="7"/>
      <c r="G107" s="19" t="str">
        <f>IFERROR(__xludf.DUMMYFUNCTION("IF(OR(E107="""",F107&lt;&gt;""Barang Datang""), """",
  IFERROR(
    INDEX(
      SORT(
        FILTER(Jadwal!F:F, Jadwal!C:C=E107),
        FILTER(Jadwal!E:E, Jadwal!C:C=E107),
        FALSE
      ),
      1
    ),
    ""TIDAK ADA JADWAL""
  )
)"),"")</f>
        <v/>
      </c>
      <c r="H107" s="7" t="str">
        <f t="shared" si="2"/>
        <v/>
      </c>
      <c r="L107" s="13"/>
      <c r="M107" s="13"/>
    </row>
    <row r="108" ht="15.75" customHeight="1">
      <c r="A108" s="14" t="str">
        <f t="shared" si="1"/>
        <v/>
      </c>
      <c r="B108" s="17" t="str">
        <f t="shared" si="3"/>
        <v/>
      </c>
      <c r="C108" s="18" t="str">
        <f t="shared" si="4"/>
        <v/>
      </c>
      <c r="D108" s="7"/>
      <c r="E108" s="7" t="str">
        <f t="array" ref="E108">XLOOKUP(D108,'Master Barang'!B:B,'Master Barang'!C:C,,0)</f>
        <v/>
      </c>
      <c r="F108" s="7"/>
      <c r="G108" s="19" t="str">
        <f>IFERROR(__xludf.DUMMYFUNCTION("IF(OR(E108="""",F108&lt;&gt;""Barang Datang""), """",
  IFERROR(
    INDEX(
      SORT(
        FILTER(Jadwal!F:F, Jadwal!C:C=E108),
        FILTER(Jadwal!E:E, Jadwal!C:C=E108),
        FALSE
      ),
      1
    ),
    ""TIDAK ADA JADWAL""
  )
)"),"")</f>
        <v/>
      </c>
      <c r="H108" s="7" t="str">
        <f t="shared" si="2"/>
        <v/>
      </c>
      <c r="L108" s="13"/>
      <c r="M108" s="13"/>
    </row>
    <row r="109" ht="15.75" customHeight="1">
      <c r="A109" s="14" t="str">
        <f t="shared" si="1"/>
        <v/>
      </c>
      <c r="B109" s="17" t="str">
        <f t="shared" si="3"/>
        <v/>
      </c>
      <c r="C109" s="18" t="str">
        <f t="shared" si="4"/>
        <v/>
      </c>
      <c r="D109" s="7"/>
      <c r="E109" s="7" t="str">
        <f t="array" ref="E109">XLOOKUP(D109,'Master Barang'!B:B,'Master Barang'!C:C,,0)</f>
        <v/>
      </c>
      <c r="F109" s="7"/>
      <c r="G109" s="19" t="str">
        <f>IFERROR(__xludf.DUMMYFUNCTION("IF(OR(E109="""",F109&lt;&gt;""Barang Datang""), """",
  IFERROR(
    INDEX(
      SORT(
        FILTER(Jadwal!F:F, Jadwal!C:C=E109),
        FILTER(Jadwal!E:E, Jadwal!C:C=E109),
        FALSE
      ),
      1
    ),
    ""TIDAK ADA JADWAL""
  )
)"),"")</f>
        <v/>
      </c>
      <c r="H109" s="7" t="str">
        <f t="shared" si="2"/>
        <v/>
      </c>
      <c r="L109" s="13"/>
      <c r="M109" s="13"/>
    </row>
    <row r="110" ht="15.75" customHeight="1">
      <c r="A110" s="14" t="str">
        <f t="shared" si="1"/>
        <v/>
      </c>
      <c r="B110" s="17" t="str">
        <f t="shared" si="3"/>
        <v/>
      </c>
      <c r="C110" s="18" t="str">
        <f t="shared" si="4"/>
        <v/>
      </c>
      <c r="D110" s="7"/>
      <c r="E110" s="7" t="str">
        <f t="array" ref="E110">XLOOKUP(D110,'Master Barang'!B:B,'Master Barang'!C:C,,0)</f>
        <v/>
      </c>
      <c r="F110" s="7"/>
      <c r="G110" s="19" t="str">
        <f>IFERROR(__xludf.DUMMYFUNCTION("IF(OR(E110="""",F110&lt;&gt;""Barang Datang""), """",
  IFERROR(
    INDEX(
      SORT(
        FILTER(Jadwal!F:F, Jadwal!C:C=E110),
        FILTER(Jadwal!E:E, Jadwal!C:C=E110),
        FALSE
      ),
      1
    ),
    ""TIDAK ADA JADWAL""
  )
)"),"")</f>
        <v/>
      </c>
      <c r="H110" s="7" t="str">
        <f t="shared" si="2"/>
        <v/>
      </c>
      <c r="L110" s="13"/>
      <c r="M110" s="13"/>
    </row>
    <row r="111" ht="15.75" customHeight="1">
      <c r="A111" s="14" t="str">
        <f t="shared" si="1"/>
        <v/>
      </c>
      <c r="B111" s="17" t="str">
        <f t="shared" si="3"/>
        <v/>
      </c>
      <c r="C111" s="18" t="str">
        <f t="shared" si="4"/>
        <v/>
      </c>
      <c r="D111" s="7"/>
      <c r="E111" s="7" t="str">
        <f t="array" ref="E111">XLOOKUP(D111,'Master Barang'!B:B,'Master Barang'!C:C,,0)</f>
        <v/>
      </c>
      <c r="F111" s="7"/>
      <c r="G111" s="19" t="str">
        <f>IFERROR(__xludf.DUMMYFUNCTION("IF(OR(E111="""",F111&lt;&gt;""Barang Datang""), """",
  IFERROR(
    INDEX(
      SORT(
        FILTER(Jadwal!F:F, Jadwal!C:C=E111),
        FILTER(Jadwal!E:E, Jadwal!C:C=E111),
        FALSE
      ),
      1
    ),
    ""TIDAK ADA JADWAL""
  )
)"),"")</f>
        <v/>
      </c>
      <c r="H111" s="7" t="str">
        <f t="shared" si="2"/>
        <v/>
      </c>
      <c r="L111" s="13"/>
      <c r="M111" s="13"/>
    </row>
    <row r="112" ht="15.75" customHeight="1">
      <c r="A112" s="14" t="str">
        <f t="shared" si="1"/>
        <v/>
      </c>
      <c r="B112" s="17" t="str">
        <f t="shared" si="3"/>
        <v/>
      </c>
      <c r="C112" s="18" t="str">
        <f t="shared" si="4"/>
        <v/>
      </c>
      <c r="D112" s="7"/>
      <c r="E112" s="7" t="str">
        <f t="array" ref="E112">XLOOKUP(D112,'Master Barang'!B:B,'Master Barang'!C:C,,0)</f>
        <v/>
      </c>
      <c r="F112" s="7"/>
      <c r="G112" s="19" t="str">
        <f>IFERROR(__xludf.DUMMYFUNCTION("IF(OR(E112="""",F112&lt;&gt;""Barang Datang""), """",
  IFERROR(
    INDEX(
      SORT(
        FILTER(Jadwal!F:F, Jadwal!C:C=E112),
        FILTER(Jadwal!E:E, Jadwal!C:C=E112),
        FALSE
      ),
      1
    ),
    ""TIDAK ADA JADWAL""
  )
)"),"")</f>
        <v/>
      </c>
      <c r="H112" s="7" t="str">
        <f t="shared" si="2"/>
        <v/>
      </c>
      <c r="L112" s="13"/>
      <c r="M112" s="13"/>
    </row>
    <row r="113" ht="15.75" customHeight="1">
      <c r="A113" s="14" t="str">
        <f t="shared" si="1"/>
        <v/>
      </c>
      <c r="B113" s="17" t="str">
        <f t="shared" si="3"/>
        <v/>
      </c>
      <c r="C113" s="18" t="str">
        <f t="shared" si="4"/>
        <v/>
      </c>
      <c r="D113" s="7"/>
      <c r="E113" s="7" t="str">
        <f t="array" ref="E113">XLOOKUP(D113,'Master Barang'!B:B,'Master Barang'!C:C,,0)</f>
        <v/>
      </c>
      <c r="F113" s="7"/>
      <c r="G113" s="19" t="str">
        <f>IFERROR(__xludf.DUMMYFUNCTION("IF(OR(E113="""",F113&lt;&gt;""Barang Datang""), """",
  IFERROR(
    INDEX(
      SORT(
        FILTER(Jadwal!F:F, Jadwal!C:C=E113),
        FILTER(Jadwal!E:E, Jadwal!C:C=E113),
        FALSE
      ),
      1
    ),
    ""TIDAK ADA JADWAL""
  )
)"),"")</f>
        <v/>
      </c>
      <c r="H113" s="7" t="str">
        <f t="shared" si="2"/>
        <v/>
      </c>
      <c r="L113" s="13"/>
      <c r="M113" s="13"/>
    </row>
    <row r="114" ht="15.75" customHeight="1">
      <c r="A114" s="14" t="str">
        <f t="shared" si="1"/>
        <v/>
      </c>
      <c r="B114" s="17" t="str">
        <f t="shared" si="3"/>
        <v/>
      </c>
      <c r="C114" s="18" t="str">
        <f t="shared" si="4"/>
        <v/>
      </c>
      <c r="D114" s="7"/>
      <c r="E114" s="7" t="str">
        <f t="array" ref="E114">XLOOKUP(D114,'Master Barang'!B:B,'Master Barang'!C:C,,0)</f>
        <v/>
      </c>
      <c r="F114" s="7"/>
      <c r="G114" s="19" t="str">
        <f>IFERROR(__xludf.DUMMYFUNCTION("IF(OR(E114="""",F114&lt;&gt;""Barang Datang""), """",
  IFERROR(
    INDEX(
      SORT(
        FILTER(Jadwal!F:F, Jadwal!C:C=E114),
        FILTER(Jadwal!E:E, Jadwal!C:C=E114),
        FALSE
      ),
      1
    ),
    ""TIDAK ADA JADWAL""
  )
)"),"")</f>
        <v/>
      </c>
      <c r="H114" s="7" t="str">
        <f t="shared" si="2"/>
        <v/>
      </c>
      <c r="L114" s="13"/>
      <c r="M114" s="13"/>
    </row>
    <row r="115" ht="15.75" customHeight="1">
      <c r="A115" s="14" t="str">
        <f t="shared" si="1"/>
        <v/>
      </c>
      <c r="B115" s="17" t="str">
        <f t="shared" si="3"/>
        <v/>
      </c>
      <c r="C115" s="18" t="str">
        <f t="shared" si="4"/>
        <v/>
      </c>
      <c r="D115" s="7"/>
      <c r="E115" s="7" t="str">
        <f t="array" ref="E115">XLOOKUP(D115,'Master Barang'!B:B,'Master Barang'!C:C,,0)</f>
        <v/>
      </c>
      <c r="F115" s="7"/>
      <c r="G115" s="19" t="str">
        <f>IFERROR(__xludf.DUMMYFUNCTION("IF(OR(E115="""",F115&lt;&gt;""Barang Datang""), """",
  IFERROR(
    INDEX(
      SORT(
        FILTER(Jadwal!F:F, Jadwal!C:C=E115),
        FILTER(Jadwal!E:E, Jadwal!C:C=E115),
        FALSE
      ),
      1
    ),
    ""TIDAK ADA JADWAL""
  )
)"),"")</f>
        <v/>
      </c>
      <c r="H115" s="7" t="str">
        <f t="shared" si="2"/>
        <v/>
      </c>
      <c r="L115" s="13"/>
      <c r="M115" s="13"/>
    </row>
    <row r="116" ht="15.75" customHeight="1">
      <c r="A116" s="14" t="str">
        <f t="shared" si="1"/>
        <v/>
      </c>
      <c r="B116" s="17" t="str">
        <f t="shared" si="3"/>
        <v/>
      </c>
      <c r="C116" s="18" t="str">
        <f t="shared" si="4"/>
        <v/>
      </c>
      <c r="D116" s="7"/>
      <c r="E116" s="7" t="str">
        <f t="array" ref="E116">XLOOKUP(D116,'Master Barang'!B:B,'Master Barang'!C:C,,0)</f>
        <v/>
      </c>
      <c r="F116" s="7"/>
      <c r="G116" s="19" t="str">
        <f>IFERROR(__xludf.DUMMYFUNCTION("IF(OR(E116="""",F116&lt;&gt;""Barang Datang""), """",
  IFERROR(
    INDEX(
      SORT(
        FILTER(Jadwal!F:F, Jadwal!C:C=E116),
        FILTER(Jadwal!E:E, Jadwal!C:C=E116),
        FALSE
      ),
      1
    ),
    ""TIDAK ADA JADWAL""
  )
)"),"")</f>
        <v/>
      </c>
      <c r="H116" s="7" t="str">
        <f t="shared" si="2"/>
        <v/>
      </c>
      <c r="L116" s="13"/>
      <c r="M116" s="13"/>
    </row>
    <row r="117" ht="15.75" customHeight="1">
      <c r="A117" s="14" t="str">
        <f t="shared" si="1"/>
        <v/>
      </c>
      <c r="B117" s="17" t="str">
        <f t="shared" si="3"/>
        <v/>
      </c>
      <c r="C117" s="18" t="str">
        <f t="shared" si="4"/>
        <v/>
      </c>
      <c r="D117" s="7"/>
      <c r="E117" s="7" t="str">
        <f t="array" ref="E117">XLOOKUP(D117,'Master Barang'!B:B,'Master Barang'!C:C,,0)</f>
        <v/>
      </c>
      <c r="F117" s="7"/>
      <c r="G117" s="19" t="str">
        <f>IFERROR(__xludf.DUMMYFUNCTION("IF(OR(E117="""",F117&lt;&gt;""Barang Datang""), """",
  IFERROR(
    INDEX(
      SORT(
        FILTER(Jadwal!F:F, Jadwal!C:C=E117),
        FILTER(Jadwal!E:E, Jadwal!C:C=E117),
        FALSE
      ),
      1
    ),
    ""TIDAK ADA JADWAL""
  )
)"),"")</f>
        <v/>
      </c>
      <c r="H117" s="7" t="str">
        <f t="shared" si="2"/>
        <v/>
      </c>
      <c r="L117" s="13"/>
      <c r="M117" s="13"/>
    </row>
    <row r="118" ht="15.75" customHeight="1">
      <c r="A118" s="14" t="str">
        <f t="shared" si="1"/>
        <v/>
      </c>
      <c r="B118" s="17" t="str">
        <f t="shared" si="3"/>
        <v/>
      </c>
      <c r="C118" s="18" t="str">
        <f t="shared" si="4"/>
        <v/>
      </c>
      <c r="D118" s="7"/>
      <c r="E118" s="7" t="str">
        <f t="array" ref="E118">XLOOKUP(D118,'Master Barang'!B:B,'Master Barang'!C:C,,0)</f>
        <v/>
      </c>
      <c r="F118" s="7"/>
      <c r="G118" s="19" t="str">
        <f>IFERROR(__xludf.DUMMYFUNCTION("IF(OR(E118="""",F118&lt;&gt;""Barang Datang""), """",
  IFERROR(
    INDEX(
      SORT(
        FILTER(Jadwal!F:F, Jadwal!C:C=E118),
        FILTER(Jadwal!E:E, Jadwal!C:C=E118),
        FALSE
      ),
      1
    ),
    ""TIDAK ADA JADWAL""
  )
)"),"")</f>
        <v/>
      </c>
      <c r="H118" s="7" t="str">
        <f t="shared" si="2"/>
        <v/>
      </c>
      <c r="L118" s="13"/>
      <c r="M118" s="13"/>
    </row>
    <row r="119" ht="15.75" customHeight="1">
      <c r="A119" s="14" t="str">
        <f t="shared" si="1"/>
        <v/>
      </c>
      <c r="B119" s="17" t="str">
        <f t="shared" si="3"/>
        <v/>
      </c>
      <c r="C119" s="18" t="str">
        <f t="shared" si="4"/>
        <v/>
      </c>
      <c r="D119" s="7"/>
      <c r="E119" s="7" t="str">
        <f t="array" ref="E119">XLOOKUP(D119,'Master Barang'!B:B,'Master Barang'!C:C,,0)</f>
        <v/>
      </c>
      <c r="F119" s="7"/>
      <c r="G119" s="19" t="str">
        <f>IFERROR(__xludf.DUMMYFUNCTION("IF(OR(E119="""",F119&lt;&gt;""Barang Datang""), """",
  IFERROR(
    INDEX(
      SORT(
        FILTER(Jadwal!F:F, Jadwal!C:C=E119),
        FILTER(Jadwal!E:E, Jadwal!C:C=E119),
        FALSE
      ),
      1
    ),
    ""TIDAK ADA JADWAL""
  )
)"),"")</f>
        <v/>
      </c>
      <c r="H119" s="7" t="str">
        <f t="shared" si="2"/>
        <v/>
      </c>
      <c r="L119" s="13"/>
      <c r="M119" s="13"/>
    </row>
    <row r="120" ht="15.75" customHeight="1">
      <c r="A120" s="14" t="str">
        <f t="shared" si="1"/>
        <v/>
      </c>
      <c r="B120" s="17" t="str">
        <f t="shared" si="3"/>
        <v/>
      </c>
      <c r="C120" s="18" t="str">
        <f t="shared" si="4"/>
        <v/>
      </c>
      <c r="D120" s="7"/>
      <c r="E120" s="7" t="str">
        <f t="array" ref="E120">XLOOKUP(D120,'Master Barang'!B:B,'Master Barang'!C:C,,0)</f>
        <v/>
      </c>
      <c r="F120" s="7"/>
      <c r="G120" s="19" t="str">
        <f>IFERROR(__xludf.DUMMYFUNCTION("IF(OR(E120="""",F120&lt;&gt;""Barang Datang""), """",
  IFERROR(
    INDEX(
      SORT(
        FILTER(Jadwal!F:F, Jadwal!C:C=E120),
        FILTER(Jadwal!E:E, Jadwal!C:C=E120),
        FALSE
      ),
      1
    ),
    ""TIDAK ADA JADWAL""
  )
)"),"")</f>
        <v/>
      </c>
      <c r="H120" s="7" t="str">
        <f t="shared" si="2"/>
        <v/>
      </c>
      <c r="L120" s="13"/>
      <c r="M120" s="13"/>
    </row>
    <row r="121" ht="15.75" customHeight="1">
      <c r="A121" s="14" t="str">
        <f t="shared" si="1"/>
        <v/>
      </c>
      <c r="B121" s="17" t="str">
        <f t="shared" si="3"/>
        <v/>
      </c>
      <c r="C121" s="18" t="str">
        <f t="shared" si="4"/>
        <v/>
      </c>
      <c r="D121" s="7"/>
      <c r="E121" s="7" t="str">
        <f t="array" ref="E121">XLOOKUP(D121,'Master Barang'!B:B,'Master Barang'!C:C,,0)</f>
        <v/>
      </c>
      <c r="F121" s="7"/>
      <c r="G121" s="19" t="str">
        <f>IFERROR(__xludf.DUMMYFUNCTION("IF(OR(E121="""",F121&lt;&gt;""Barang Datang""), """",
  IFERROR(
    INDEX(
      SORT(
        FILTER(Jadwal!F:F, Jadwal!C:C=E121),
        FILTER(Jadwal!E:E, Jadwal!C:C=E121),
        FALSE
      ),
      1
    ),
    ""TIDAK ADA JADWAL""
  )
)"),"")</f>
        <v/>
      </c>
      <c r="H121" s="7" t="str">
        <f t="shared" si="2"/>
        <v/>
      </c>
      <c r="L121" s="13"/>
      <c r="M121" s="13"/>
    </row>
    <row r="122" ht="15.75" customHeight="1">
      <c r="A122" s="14" t="str">
        <f t="shared" si="1"/>
        <v/>
      </c>
      <c r="B122" s="17" t="str">
        <f t="shared" si="3"/>
        <v/>
      </c>
      <c r="C122" s="18" t="str">
        <f t="shared" si="4"/>
        <v/>
      </c>
      <c r="D122" s="7"/>
      <c r="E122" s="7" t="str">
        <f t="array" ref="E122">XLOOKUP(D122,'Master Barang'!B:B,'Master Barang'!C:C,,0)</f>
        <v/>
      </c>
      <c r="F122" s="7"/>
      <c r="G122" s="19" t="str">
        <f>IFERROR(__xludf.DUMMYFUNCTION("IF(OR(E122="""",F122&lt;&gt;""Barang Datang""), """",
  IFERROR(
    INDEX(
      SORT(
        FILTER(Jadwal!F:F, Jadwal!C:C=E122),
        FILTER(Jadwal!E:E, Jadwal!C:C=E122),
        FALSE
      ),
      1
    ),
    ""TIDAK ADA JADWAL""
  )
)"),"")</f>
        <v/>
      </c>
      <c r="H122" s="7" t="str">
        <f t="shared" si="2"/>
        <v/>
      </c>
      <c r="L122" s="13"/>
      <c r="M122" s="13"/>
    </row>
    <row r="123" ht="15.75" customHeight="1">
      <c r="A123" s="14" t="str">
        <f t="shared" si="1"/>
        <v/>
      </c>
      <c r="B123" s="17" t="str">
        <f t="shared" si="3"/>
        <v/>
      </c>
      <c r="C123" s="18" t="str">
        <f t="shared" si="4"/>
        <v/>
      </c>
      <c r="D123" s="7"/>
      <c r="E123" s="7" t="str">
        <f t="array" ref="E123">XLOOKUP(D123,'Master Barang'!B:B,'Master Barang'!C:C,,0)</f>
        <v/>
      </c>
      <c r="F123" s="7"/>
      <c r="G123" s="19" t="str">
        <f>IFERROR(__xludf.DUMMYFUNCTION("IF(OR(E123="""",F123&lt;&gt;""Barang Datang""), """",
  IFERROR(
    INDEX(
      SORT(
        FILTER(Jadwal!F:F, Jadwal!C:C=E123),
        FILTER(Jadwal!E:E, Jadwal!C:C=E123),
        FALSE
      ),
      1
    ),
    ""TIDAK ADA JADWAL""
  )
)"),"")</f>
        <v/>
      </c>
      <c r="H123" s="7" t="str">
        <f t="shared" si="2"/>
        <v/>
      </c>
      <c r="L123" s="13"/>
      <c r="M123" s="13"/>
    </row>
    <row r="124" ht="15.75" customHeight="1">
      <c r="A124" s="14" t="str">
        <f t="shared" si="1"/>
        <v/>
      </c>
      <c r="B124" s="17" t="str">
        <f t="shared" si="3"/>
        <v/>
      </c>
      <c r="C124" s="18" t="str">
        <f t="shared" si="4"/>
        <v/>
      </c>
      <c r="D124" s="7"/>
      <c r="E124" s="7" t="str">
        <f t="array" ref="E124">XLOOKUP(D124,'Master Barang'!B:B,'Master Barang'!C:C,,0)</f>
        <v/>
      </c>
      <c r="F124" s="7"/>
      <c r="G124" s="19" t="str">
        <f>IFERROR(__xludf.DUMMYFUNCTION("IF(OR(E124="""",F124&lt;&gt;""Barang Datang""), """",
  IFERROR(
    INDEX(
      SORT(
        FILTER(Jadwal!F:F, Jadwal!C:C=E124),
        FILTER(Jadwal!E:E, Jadwal!C:C=E124),
        FALSE
      ),
      1
    ),
    ""TIDAK ADA JADWAL""
  )
)"),"")</f>
        <v/>
      </c>
      <c r="H124" s="7" t="str">
        <f t="shared" si="2"/>
        <v/>
      </c>
      <c r="L124" s="13"/>
      <c r="M124" s="13"/>
    </row>
    <row r="125" ht="15.75" customHeight="1">
      <c r="A125" s="14" t="str">
        <f t="shared" si="1"/>
        <v/>
      </c>
      <c r="B125" s="17" t="str">
        <f t="shared" si="3"/>
        <v/>
      </c>
      <c r="C125" s="18" t="str">
        <f t="shared" si="4"/>
        <v/>
      </c>
      <c r="D125" s="7"/>
      <c r="E125" s="7" t="str">
        <f t="array" ref="E125">XLOOKUP(D125,'Master Barang'!B:B,'Master Barang'!C:C,,0)</f>
        <v/>
      </c>
      <c r="F125" s="7"/>
      <c r="G125" s="19" t="str">
        <f>IFERROR(__xludf.DUMMYFUNCTION("IF(OR(E125="""",F125&lt;&gt;""Barang Datang""), """",
  IFERROR(
    INDEX(
      SORT(
        FILTER(Jadwal!F:F, Jadwal!C:C=E125),
        FILTER(Jadwal!E:E, Jadwal!C:C=E125),
        FALSE
      ),
      1
    ),
    ""TIDAK ADA JADWAL""
  )
)"),"")</f>
        <v/>
      </c>
      <c r="H125" s="7" t="str">
        <f t="shared" si="2"/>
        <v/>
      </c>
      <c r="L125" s="13"/>
      <c r="M125" s="13"/>
    </row>
    <row r="126" ht="15.75" customHeight="1">
      <c r="A126" s="14" t="str">
        <f t="shared" si="1"/>
        <v/>
      </c>
      <c r="B126" s="17" t="str">
        <f t="shared" si="3"/>
        <v/>
      </c>
      <c r="C126" s="18" t="str">
        <f t="shared" si="4"/>
        <v/>
      </c>
      <c r="D126" s="7"/>
      <c r="E126" s="7" t="str">
        <f t="array" ref="E126">XLOOKUP(D126,'Master Barang'!B:B,'Master Barang'!C:C,,0)</f>
        <v/>
      </c>
      <c r="F126" s="7"/>
      <c r="G126" s="19" t="str">
        <f>IFERROR(__xludf.DUMMYFUNCTION("IF(OR(E126="""",F126&lt;&gt;""Barang Datang""), """",
  IFERROR(
    INDEX(
      SORT(
        FILTER(Jadwal!F:F, Jadwal!C:C=E126),
        FILTER(Jadwal!E:E, Jadwal!C:C=E126),
        FALSE
      ),
      1
    ),
    ""TIDAK ADA JADWAL""
  )
)"),"")</f>
        <v/>
      </c>
      <c r="H126" s="7" t="str">
        <f t="shared" si="2"/>
        <v/>
      </c>
      <c r="L126" s="13"/>
      <c r="M126" s="13"/>
    </row>
    <row r="127" ht="15.75" customHeight="1">
      <c r="A127" s="14" t="str">
        <f t="shared" si="1"/>
        <v/>
      </c>
      <c r="B127" s="17" t="str">
        <f t="shared" si="3"/>
        <v/>
      </c>
      <c r="C127" s="18" t="str">
        <f t="shared" si="4"/>
        <v/>
      </c>
      <c r="D127" s="7"/>
      <c r="E127" s="7" t="str">
        <f t="array" ref="E127">XLOOKUP(D127,'Master Barang'!B:B,'Master Barang'!C:C,,0)</f>
        <v/>
      </c>
      <c r="F127" s="7"/>
      <c r="G127" s="19" t="str">
        <f>IFERROR(__xludf.DUMMYFUNCTION("IF(OR(E127="""",F127&lt;&gt;""Barang Datang""), """",
  IFERROR(
    INDEX(
      SORT(
        FILTER(Jadwal!F:F, Jadwal!C:C=E127),
        FILTER(Jadwal!E:E, Jadwal!C:C=E127),
        FALSE
      ),
      1
    ),
    ""TIDAK ADA JADWAL""
  )
)"),"")</f>
        <v/>
      </c>
      <c r="H127" s="7" t="str">
        <f t="shared" si="2"/>
        <v/>
      </c>
      <c r="L127" s="13"/>
      <c r="M127" s="13"/>
    </row>
    <row r="128" ht="15.75" customHeight="1">
      <c r="A128" s="14" t="str">
        <f t="shared" si="1"/>
        <v/>
      </c>
      <c r="B128" s="17" t="str">
        <f t="shared" si="3"/>
        <v/>
      </c>
      <c r="C128" s="18" t="str">
        <f t="shared" si="4"/>
        <v/>
      </c>
      <c r="D128" s="7"/>
      <c r="E128" s="7" t="str">
        <f t="array" ref="E128">XLOOKUP(D128,'Master Barang'!B:B,'Master Barang'!C:C,,0)</f>
        <v/>
      </c>
      <c r="F128" s="7"/>
      <c r="G128" s="19" t="str">
        <f>IFERROR(__xludf.DUMMYFUNCTION("IF(OR(E128="""",F128&lt;&gt;""Barang Datang""), """",
  IFERROR(
    INDEX(
      SORT(
        FILTER(Jadwal!F:F, Jadwal!C:C=E128),
        FILTER(Jadwal!E:E, Jadwal!C:C=E128),
        FALSE
      ),
      1
    ),
    ""TIDAK ADA JADWAL""
  )
)"),"")</f>
        <v/>
      </c>
      <c r="H128" s="7" t="str">
        <f t="shared" si="2"/>
        <v/>
      </c>
      <c r="L128" s="13"/>
      <c r="M128" s="13"/>
    </row>
    <row r="129" ht="15.75" customHeight="1">
      <c r="A129" s="14" t="str">
        <f t="shared" si="1"/>
        <v/>
      </c>
      <c r="B129" s="17" t="str">
        <f t="shared" si="3"/>
        <v/>
      </c>
      <c r="C129" s="18" t="str">
        <f t="shared" si="4"/>
        <v/>
      </c>
      <c r="D129" s="7"/>
      <c r="E129" s="7" t="str">
        <f t="array" ref="E129">XLOOKUP(D129,'Master Barang'!B:B,'Master Barang'!C:C,,0)</f>
        <v/>
      </c>
      <c r="F129" s="7"/>
      <c r="G129" s="19" t="str">
        <f>IFERROR(__xludf.DUMMYFUNCTION("IF(OR(E129="""",F129&lt;&gt;""Barang Datang""), """",
  IFERROR(
    INDEX(
      SORT(
        FILTER(Jadwal!F:F, Jadwal!C:C=E129),
        FILTER(Jadwal!E:E, Jadwal!C:C=E129),
        FALSE
      ),
      1
    ),
    ""TIDAK ADA JADWAL""
  )
)"),"")</f>
        <v/>
      </c>
      <c r="H129" s="7" t="str">
        <f t="shared" si="2"/>
        <v/>
      </c>
      <c r="L129" s="13"/>
      <c r="M129" s="13"/>
    </row>
    <row r="130" ht="15.75" customHeight="1">
      <c r="A130" s="14" t="str">
        <f t="shared" si="1"/>
        <v/>
      </c>
      <c r="B130" s="17" t="str">
        <f t="shared" si="3"/>
        <v/>
      </c>
      <c r="C130" s="18" t="str">
        <f t="shared" si="4"/>
        <v/>
      </c>
      <c r="D130" s="7"/>
      <c r="E130" s="7" t="str">
        <f t="array" ref="E130">XLOOKUP(D130,'Master Barang'!B:B,'Master Barang'!C:C,,0)</f>
        <v/>
      </c>
      <c r="F130" s="7"/>
      <c r="G130" s="19" t="str">
        <f>IFERROR(__xludf.DUMMYFUNCTION("IF(OR(E130="""",F130&lt;&gt;""Barang Datang""), """",
  IFERROR(
    INDEX(
      SORT(
        FILTER(Jadwal!F:F, Jadwal!C:C=E130),
        FILTER(Jadwal!E:E, Jadwal!C:C=E130),
        FALSE
      ),
      1
    ),
    ""TIDAK ADA JADWAL""
  )
)"),"")</f>
        <v/>
      </c>
      <c r="H130" s="7" t="str">
        <f t="shared" si="2"/>
        <v/>
      </c>
      <c r="L130" s="13"/>
      <c r="M130" s="13"/>
    </row>
    <row r="131" ht="15.75" customHeight="1">
      <c r="A131" s="14" t="str">
        <f t="shared" si="1"/>
        <v/>
      </c>
      <c r="B131" s="17" t="str">
        <f t="shared" si="3"/>
        <v/>
      </c>
      <c r="C131" s="18" t="str">
        <f t="shared" si="4"/>
        <v/>
      </c>
      <c r="D131" s="7"/>
      <c r="E131" s="7" t="str">
        <f t="array" ref="E131">XLOOKUP(D131,'Master Barang'!B:B,'Master Barang'!C:C,,0)</f>
        <v/>
      </c>
      <c r="F131" s="7"/>
      <c r="G131" s="19" t="str">
        <f>IFERROR(__xludf.DUMMYFUNCTION("IF(OR(E131="""",F131&lt;&gt;""Barang Datang""), """",
  IFERROR(
    INDEX(
      SORT(
        FILTER(Jadwal!F:F, Jadwal!C:C=E131),
        FILTER(Jadwal!E:E, Jadwal!C:C=E131),
        FALSE
      ),
      1
    ),
    ""TIDAK ADA JADWAL""
  )
)"),"")</f>
        <v/>
      </c>
      <c r="H131" s="7" t="str">
        <f t="shared" si="2"/>
        <v/>
      </c>
      <c r="L131" s="13"/>
      <c r="M131" s="13"/>
    </row>
    <row r="132" ht="15.75" customHeight="1">
      <c r="A132" s="14" t="str">
        <f t="shared" si="1"/>
        <v/>
      </c>
      <c r="B132" s="17" t="str">
        <f t="shared" si="3"/>
        <v/>
      </c>
      <c r="C132" s="18" t="str">
        <f t="shared" si="4"/>
        <v/>
      </c>
      <c r="D132" s="7"/>
      <c r="E132" s="7" t="str">
        <f t="array" ref="E132">XLOOKUP(D132,'Master Barang'!B:B,'Master Barang'!C:C,,0)</f>
        <v/>
      </c>
      <c r="F132" s="7"/>
      <c r="G132" s="19" t="str">
        <f>IFERROR(__xludf.DUMMYFUNCTION("IF(OR(E132="""",F132&lt;&gt;""Barang Datang""), """",
  IFERROR(
    INDEX(
      SORT(
        FILTER(Jadwal!F:F, Jadwal!C:C=E132),
        FILTER(Jadwal!E:E, Jadwal!C:C=E132),
        FALSE
      ),
      1
    ),
    ""TIDAK ADA JADWAL""
  )
)"),"")</f>
        <v/>
      </c>
      <c r="H132" s="7" t="str">
        <f t="shared" si="2"/>
        <v/>
      </c>
      <c r="L132" s="13"/>
      <c r="M132" s="13"/>
    </row>
    <row r="133" ht="15.75" customHeight="1">
      <c r="A133" s="14" t="str">
        <f t="shared" si="1"/>
        <v/>
      </c>
      <c r="B133" s="17" t="str">
        <f t="shared" si="3"/>
        <v/>
      </c>
      <c r="C133" s="18" t="str">
        <f t="shared" si="4"/>
        <v/>
      </c>
      <c r="D133" s="7"/>
      <c r="E133" s="7" t="str">
        <f t="array" ref="E133">XLOOKUP(D133,'Master Barang'!B:B,'Master Barang'!C:C,,0)</f>
        <v/>
      </c>
      <c r="F133" s="7"/>
      <c r="G133" s="19" t="str">
        <f>IFERROR(__xludf.DUMMYFUNCTION("IF(OR(E133="""",F133&lt;&gt;""Barang Datang""), """",
  IFERROR(
    INDEX(
      SORT(
        FILTER(Jadwal!F:F, Jadwal!C:C=E133),
        FILTER(Jadwal!E:E, Jadwal!C:C=E133),
        FALSE
      ),
      1
    ),
    ""TIDAK ADA JADWAL""
  )
)"),"")</f>
        <v/>
      </c>
      <c r="H133" s="7" t="str">
        <f t="shared" si="2"/>
        <v/>
      </c>
      <c r="L133" s="13"/>
      <c r="M133" s="13"/>
    </row>
    <row r="134" ht="15.75" customHeight="1">
      <c r="A134" s="14" t="str">
        <f t="shared" si="1"/>
        <v/>
      </c>
      <c r="B134" s="17" t="str">
        <f t="shared" si="3"/>
        <v/>
      </c>
      <c r="C134" s="18" t="str">
        <f t="shared" si="4"/>
        <v/>
      </c>
      <c r="D134" s="7"/>
      <c r="E134" s="7" t="str">
        <f t="array" ref="E134">XLOOKUP(D134,'Master Barang'!B:B,'Master Barang'!C:C,,0)</f>
        <v/>
      </c>
      <c r="F134" s="7"/>
      <c r="G134" s="19" t="str">
        <f>IFERROR(__xludf.DUMMYFUNCTION("IF(OR(E134="""",F134&lt;&gt;""Barang Datang""), """",
  IFERROR(
    INDEX(
      SORT(
        FILTER(Jadwal!F:F, Jadwal!C:C=E134),
        FILTER(Jadwal!E:E, Jadwal!C:C=E134),
        FALSE
      ),
      1
    ),
    ""TIDAK ADA JADWAL""
  )
)"),"")</f>
        <v/>
      </c>
      <c r="H134" s="7" t="str">
        <f t="shared" si="2"/>
        <v/>
      </c>
      <c r="L134" s="13"/>
      <c r="M134" s="13"/>
    </row>
    <row r="135" ht="15.75" customHeight="1">
      <c r="A135" s="14" t="str">
        <f t="shared" si="1"/>
        <v/>
      </c>
      <c r="B135" s="17" t="str">
        <f t="shared" si="3"/>
        <v/>
      </c>
      <c r="C135" s="18" t="str">
        <f t="shared" si="4"/>
        <v/>
      </c>
      <c r="D135" s="7"/>
      <c r="E135" s="7" t="str">
        <f t="array" ref="E135">XLOOKUP(D135,'Master Barang'!B:B,'Master Barang'!C:C,,0)</f>
        <v/>
      </c>
      <c r="F135" s="7"/>
      <c r="G135" s="19" t="str">
        <f>IFERROR(__xludf.DUMMYFUNCTION("IF(OR(E135="""",F135&lt;&gt;""Barang Datang""), """",
  IFERROR(
    INDEX(
      SORT(
        FILTER(Jadwal!F:F, Jadwal!C:C=E135),
        FILTER(Jadwal!E:E, Jadwal!C:C=E135),
        FALSE
      ),
      1
    ),
    ""TIDAK ADA JADWAL""
  )
)"),"")</f>
        <v/>
      </c>
      <c r="H135" s="7" t="str">
        <f t="shared" si="2"/>
        <v/>
      </c>
      <c r="L135" s="13"/>
      <c r="M135" s="13"/>
    </row>
    <row r="136" ht="15.75" customHeight="1">
      <c r="A136" s="14" t="str">
        <f t="shared" si="1"/>
        <v/>
      </c>
      <c r="B136" s="17" t="str">
        <f t="shared" si="3"/>
        <v/>
      </c>
      <c r="C136" s="18" t="str">
        <f t="shared" si="4"/>
        <v/>
      </c>
      <c r="D136" s="7"/>
      <c r="E136" s="7" t="str">
        <f t="array" ref="E136">XLOOKUP(D136,'Master Barang'!B:B,'Master Barang'!C:C,,0)</f>
        <v/>
      </c>
      <c r="F136" s="7"/>
      <c r="G136" s="19" t="str">
        <f>IFERROR(__xludf.DUMMYFUNCTION("IF(OR(E136="""",F136&lt;&gt;""Barang Datang""), """",
  IFERROR(
    INDEX(
      SORT(
        FILTER(Jadwal!F:F, Jadwal!C:C=E136),
        FILTER(Jadwal!E:E, Jadwal!C:C=E136),
        FALSE
      ),
      1
    ),
    ""TIDAK ADA JADWAL""
  )
)"),"")</f>
        <v/>
      </c>
      <c r="H136" s="7" t="str">
        <f t="shared" si="2"/>
        <v/>
      </c>
      <c r="L136" s="13"/>
      <c r="M136" s="13"/>
    </row>
    <row r="137" ht="15.75" customHeight="1">
      <c r="A137" s="14" t="str">
        <f t="shared" si="1"/>
        <v/>
      </c>
      <c r="B137" s="17" t="str">
        <f t="shared" si="3"/>
        <v/>
      </c>
      <c r="C137" s="18" t="str">
        <f t="shared" si="4"/>
        <v/>
      </c>
      <c r="D137" s="7"/>
      <c r="E137" s="7" t="str">
        <f t="array" ref="E137">XLOOKUP(D137,'Master Barang'!B:B,'Master Barang'!C:C,,0)</f>
        <v/>
      </c>
      <c r="F137" s="7"/>
      <c r="G137" s="19" t="str">
        <f>IFERROR(__xludf.DUMMYFUNCTION("IF(OR(E137="""",F137&lt;&gt;""Barang Datang""), """",
  IFERROR(
    INDEX(
      SORT(
        FILTER(Jadwal!F:F, Jadwal!C:C=E137),
        FILTER(Jadwal!E:E, Jadwal!C:C=E137),
        FALSE
      ),
      1
    ),
    ""TIDAK ADA JADWAL""
  )
)"),"")</f>
        <v/>
      </c>
      <c r="H137" s="7" t="str">
        <f t="shared" si="2"/>
        <v/>
      </c>
      <c r="L137" s="13"/>
      <c r="M137" s="13"/>
    </row>
    <row r="138" ht="15.75" customHeight="1">
      <c r="A138" s="14" t="str">
        <f t="shared" si="1"/>
        <v/>
      </c>
      <c r="B138" s="17" t="str">
        <f t="shared" si="3"/>
        <v/>
      </c>
      <c r="C138" s="18" t="str">
        <f t="shared" si="4"/>
        <v/>
      </c>
      <c r="D138" s="7"/>
      <c r="E138" s="7" t="str">
        <f t="array" ref="E138">XLOOKUP(D138,'Master Barang'!B:B,'Master Barang'!C:C,,0)</f>
        <v/>
      </c>
      <c r="F138" s="7"/>
      <c r="G138" s="19" t="str">
        <f>IFERROR(__xludf.DUMMYFUNCTION("IF(OR(E138="""",F138&lt;&gt;""Barang Datang""), """",
  IFERROR(
    INDEX(
      SORT(
        FILTER(Jadwal!F:F, Jadwal!C:C=E138),
        FILTER(Jadwal!E:E, Jadwal!C:C=E138),
        FALSE
      ),
      1
    ),
    ""TIDAK ADA JADWAL""
  )
)"),"")</f>
        <v/>
      </c>
      <c r="H138" s="7" t="str">
        <f t="shared" si="2"/>
        <v/>
      </c>
      <c r="L138" s="13"/>
      <c r="M138" s="13"/>
    </row>
    <row r="139" ht="15.75" customHeight="1">
      <c r="A139" s="14" t="str">
        <f t="shared" si="1"/>
        <v/>
      </c>
      <c r="B139" s="17" t="str">
        <f t="shared" si="3"/>
        <v/>
      </c>
      <c r="C139" s="18" t="str">
        <f t="shared" si="4"/>
        <v/>
      </c>
      <c r="D139" s="7"/>
      <c r="E139" s="7" t="str">
        <f t="array" ref="E139">XLOOKUP(D139,'Master Barang'!B:B,'Master Barang'!C:C,,0)</f>
        <v/>
      </c>
      <c r="F139" s="7"/>
      <c r="G139" s="19" t="str">
        <f>IFERROR(__xludf.DUMMYFUNCTION("IF(OR(E139="""",F139&lt;&gt;""Barang Datang""), """",
  IFERROR(
    INDEX(
      SORT(
        FILTER(Jadwal!F:F, Jadwal!C:C=E139),
        FILTER(Jadwal!E:E, Jadwal!C:C=E139),
        FALSE
      ),
      1
    ),
    ""TIDAK ADA JADWAL""
  )
)"),"")</f>
        <v/>
      </c>
      <c r="H139" s="7" t="str">
        <f t="shared" si="2"/>
        <v/>
      </c>
      <c r="L139" s="13"/>
      <c r="M139" s="13"/>
    </row>
    <row r="140" ht="15.75" customHeight="1">
      <c r="A140" s="14" t="str">
        <f t="shared" si="1"/>
        <v/>
      </c>
      <c r="B140" s="17" t="str">
        <f t="shared" si="3"/>
        <v/>
      </c>
      <c r="C140" s="18" t="str">
        <f t="shared" si="4"/>
        <v/>
      </c>
      <c r="D140" s="7"/>
      <c r="E140" s="7" t="str">
        <f t="array" ref="E140">XLOOKUP(D140,'Master Barang'!B:B,'Master Barang'!C:C,,0)</f>
        <v/>
      </c>
      <c r="F140" s="7"/>
      <c r="G140" s="19" t="str">
        <f>IFERROR(__xludf.DUMMYFUNCTION("IF(OR(E140="""",F140&lt;&gt;""Barang Datang""), """",
  IFERROR(
    INDEX(
      SORT(
        FILTER(Jadwal!F:F, Jadwal!C:C=E140),
        FILTER(Jadwal!E:E, Jadwal!C:C=E140),
        FALSE
      ),
      1
    ),
    ""TIDAK ADA JADWAL""
  )
)"),"")</f>
        <v/>
      </c>
      <c r="H140" s="7" t="str">
        <f t="shared" si="2"/>
        <v/>
      </c>
      <c r="L140" s="13"/>
      <c r="M140" s="13"/>
    </row>
    <row r="141" ht="15.75" customHeight="1">
      <c r="A141" s="14" t="str">
        <f t="shared" si="1"/>
        <v/>
      </c>
      <c r="B141" s="17" t="str">
        <f t="shared" si="3"/>
        <v/>
      </c>
      <c r="C141" s="18" t="str">
        <f t="shared" si="4"/>
        <v/>
      </c>
      <c r="D141" s="7"/>
      <c r="E141" s="7" t="str">
        <f t="array" ref="E141">XLOOKUP(D141,'Master Barang'!B:B,'Master Barang'!C:C,,0)</f>
        <v/>
      </c>
      <c r="F141" s="7"/>
      <c r="G141" s="19" t="str">
        <f>IFERROR(__xludf.DUMMYFUNCTION("IF(OR(E141="""",F141&lt;&gt;""Barang Datang""), """",
  IFERROR(
    INDEX(
      SORT(
        FILTER(Jadwal!F:F, Jadwal!C:C=E141),
        FILTER(Jadwal!E:E, Jadwal!C:C=E141),
        FALSE
      ),
      1
    ),
    ""TIDAK ADA JADWAL""
  )
)"),"")</f>
        <v/>
      </c>
      <c r="H141" s="7" t="str">
        <f t="shared" si="2"/>
        <v/>
      </c>
      <c r="L141" s="13"/>
      <c r="M141" s="13"/>
    </row>
    <row r="142" ht="15.75" customHeight="1">
      <c r="A142" s="14" t="str">
        <f t="shared" si="1"/>
        <v/>
      </c>
      <c r="B142" s="17" t="str">
        <f t="shared" si="3"/>
        <v/>
      </c>
      <c r="C142" s="18" t="str">
        <f t="shared" si="4"/>
        <v/>
      </c>
      <c r="D142" s="7"/>
      <c r="E142" s="7" t="str">
        <f t="array" ref="E142">XLOOKUP(D142,'Master Barang'!B:B,'Master Barang'!C:C,,0)</f>
        <v/>
      </c>
      <c r="F142" s="7"/>
      <c r="G142" s="19" t="str">
        <f>IFERROR(__xludf.DUMMYFUNCTION("IF(OR(E142="""",F142&lt;&gt;""Barang Datang""), """",
  IFERROR(
    INDEX(
      SORT(
        FILTER(Jadwal!F:F, Jadwal!C:C=E142),
        FILTER(Jadwal!E:E, Jadwal!C:C=E142),
        FALSE
      ),
      1
    ),
    ""TIDAK ADA JADWAL""
  )
)"),"")</f>
        <v/>
      </c>
      <c r="H142" s="7" t="str">
        <f t="shared" si="2"/>
        <v/>
      </c>
      <c r="L142" s="13"/>
      <c r="M142" s="13"/>
    </row>
    <row r="143" ht="15.75" customHeight="1">
      <c r="A143" s="14" t="str">
        <f t="shared" si="1"/>
        <v/>
      </c>
      <c r="B143" s="17" t="str">
        <f t="shared" si="3"/>
        <v/>
      </c>
      <c r="C143" s="18" t="str">
        <f t="shared" si="4"/>
        <v/>
      </c>
      <c r="D143" s="7"/>
      <c r="E143" s="7" t="str">
        <f t="array" ref="E143">XLOOKUP(D143,'Master Barang'!B:B,'Master Barang'!C:C,,0)</f>
        <v/>
      </c>
      <c r="F143" s="7"/>
      <c r="G143" s="19" t="str">
        <f>IFERROR(__xludf.DUMMYFUNCTION("IF(OR(E143="""",F143&lt;&gt;""Barang Datang""), """",
  IFERROR(
    INDEX(
      SORT(
        FILTER(Jadwal!F:F, Jadwal!C:C=E143),
        FILTER(Jadwal!E:E, Jadwal!C:C=E143),
        FALSE
      ),
      1
    ),
    ""TIDAK ADA JADWAL""
  )
)"),"")</f>
        <v/>
      </c>
      <c r="H143" s="7" t="str">
        <f t="shared" si="2"/>
        <v/>
      </c>
      <c r="L143" s="13"/>
      <c r="M143" s="13"/>
    </row>
    <row r="144" ht="15.75" customHeight="1">
      <c r="A144" s="14" t="str">
        <f t="shared" si="1"/>
        <v/>
      </c>
      <c r="B144" s="17" t="str">
        <f t="shared" si="3"/>
        <v/>
      </c>
      <c r="C144" s="18" t="str">
        <f t="shared" si="4"/>
        <v/>
      </c>
      <c r="D144" s="7"/>
      <c r="E144" s="7" t="str">
        <f t="array" ref="E144">XLOOKUP(D144,'Master Barang'!B:B,'Master Barang'!C:C,,0)</f>
        <v/>
      </c>
      <c r="F144" s="7"/>
      <c r="G144" s="19" t="str">
        <f>IFERROR(__xludf.DUMMYFUNCTION("IF(OR(E144="""",F144&lt;&gt;""Barang Datang""), """",
  IFERROR(
    INDEX(
      SORT(
        FILTER(Jadwal!F:F, Jadwal!C:C=E144),
        FILTER(Jadwal!E:E, Jadwal!C:C=E144),
        FALSE
      ),
      1
    ),
    ""TIDAK ADA JADWAL""
  )
)"),"")</f>
        <v/>
      </c>
      <c r="H144" s="7" t="str">
        <f t="shared" si="2"/>
        <v/>
      </c>
      <c r="L144" s="13"/>
      <c r="M144" s="13"/>
    </row>
    <row r="145" ht="15.75" customHeight="1">
      <c r="A145" s="14" t="str">
        <f t="shared" si="1"/>
        <v/>
      </c>
      <c r="B145" s="17" t="str">
        <f t="shared" si="3"/>
        <v/>
      </c>
      <c r="C145" s="18" t="str">
        <f t="shared" si="4"/>
        <v/>
      </c>
      <c r="D145" s="7"/>
      <c r="E145" s="7" t="str">
        <f t="array" ref="E145">XLOOKUP(D145,'Master Barang'!B:B,'Master Barang'!C:C,,0)</f>
        <v/>
      </c>
      <c r="F145" s="7"/>
      <c r="G145" s="19" t="str">
        <f>IFERROR(__xludf.DUMMYFUNCTION("IF(OR(E145="""",F145&lt;&gt;""Barang Datang""), """",
  IFERROR(
    INDEX(
      SORT(
        FILTER(Jadwal!F:F, Jadwal!C:C=E145),
        FILTER(Jadwal!E:E, Jadwal!C:C=E145),
        FALSE
      ),
      1
    ),
    ""TIDAK ADA JADWAL""
  )
)"),"")</f>
        <v/>
      </c>
      <c r="H145" s="7" t="str">
        <f t="shared" si="2"/>
        <v/>
      </c>
      <c r="L145" s="13"/>
      <c r="M145" s="13"/>
    </row>
    <row r="146" ht="15.75" customHeight="1">
      <c r="A146" s="14" t="str">
        <f t="shared" si="1"/>
        <v/>
      </c>
      <c r="B146" s="17" t="str">
        <f t="shared" si="3"/>
        <v/>
      </c>
      <c r="C146" s="18" t="str">
        <f t="shared" si="4"/>
        <v/>
      </c>
      <c r="D146" s="7"/>
      <c r="E146" s="7" t="str">
        <f t="array" ref="E146">XLOOKUP(D146,'Master Barang'!B:B,'Master Barang'!C:C,,0)</f>
        <v/>
      </c>
      <c r="F146" s="7"/>
      <c r="G146" s="19" t="str">
        <f>IFERROR(__xludf.DUMMYFUNCTION("IF(OR(E146="""",F146&lt;&gt;""Barang Datang""), """",
  IFERROR(
    INDEX(
      SORT(
        FILTER(Jadwal!F:F, Jadwal!C:C=E146),
        FILTER(Jadwal!E:E, Jadwal!C:C=E146),
        FALSE
      ),
      1
    ),
    ""TIDAK ADA JADWAL""
  )
)"),"")</f>
        <v/>
      </c>
      <c r="H146" s="7" t="str">
        <f t="shared" si="2"/>
        <v/>
      </c>
      <c r="L146" s="13"/>
      <c r="M146" s="13"/>
    </row>
    <row r="147" ht="15.75" customHeight="1">
      <c r="A147" s="14" t="str">
        <f t="shared" si="1"/>
        <v/>
      </c>
      <c r="B147" s="17" t="str">
        <f t="shared" si="3"/>
        <v/>
      </c>
      <c r="C147" s="18" t="str">
        <f t="shared" si="4"/>
        <v/>
      </c>
      <c r="D147" s="7"/>
      <c r="E147" s="7" t="str">
        <f t="array" ref="E147">XLOOKUP(D147,'Master Barang'!B:B,'Master Barang'!C:C,,0)</f>
        <v/>
      </c>
      <c r="F147" s="7"/>
      <c r="G147" s="19" t="str">
        <f>IFERROR(__xludf.DUMMYFUNCTION("IF(OR(E147="""",F147&lt;&gt;""Barang Datang""), """",
  IFERROR(
    INDEX(
      SORT(
        FILTER(Jadwal!F:F, Jadwal!C:C=E147),
        FILTER(Jadwal!E:E, Jadwal!C:C=E147),
        FALSE
      ),
      1
    ),
    ""TIDAK ADA JADWAL""
  )
)"),"")</f>
        <v/>
      </c>
      <c r="H147" s="7" t="str">
        <f t="shared" si="2"/>
        <v/>
      </c>
      <c r="L147" s="13"/>
      <c r="M147" s="13"/>
    </row>
    <row r="148" ht="15.75" customHeight="1">
      <c r="A148" s="14" t="str">
        <f t="shared" si="1"/>
        <v/>
      </c>
      <c r="B148" s="17" t="str">
        <f t="shared" si="3"/>
        <v/>
      </c>
      <c r="C148" s="18" t="str">
        <f t="shared" si="4"/>
        <v/>
      </c>
      <c r="D148" s="7"/>
      <c r="E148" s="7" t="str">
        <f t="array" ref="E148">XLOOKUP(D148,'Master Barang'!B:B,'Master Barang'!C:C,,0)</f>
        <v/>
      </c>
      <c r="F148" s="7"/>
      <c r="G148" s="19" t="str">
        <f>IFERROR(__xludf.DUMMYFUNCTION("IF(OR(E148="""",F148&lt;&gt;""Barang Datang""), """",
  IFERROR(
    INDEX(
      SORT(
        FILTER(Jadwal!F:F, Jadwal!C:C=E148),
        FILTER(Jadwal!E:E, Jadwal!C:C=E148),
        FALSE
      ),
      1
    ),
    ""TIDAK ADA JADWAL""
  )
)"),"")</f>
        <v/>
      </c>
      <c r="H148" s="7" t="str">
        <f t="shared" si="2"/>
        <v/>
      </c>
      <c r="L148" s="13"/>
      <c r="M148" s="13"/>
    </row>
    <row r="149" ht="15.75" customHeight="1">
      <c r="A149" s="14" t="str">
        <f t="shared" si="1"/>
        <v/>
      </c>
      <c r="B149" s="17" t="str">
        <f t="shared" si="3"/>
        <v/>
      </c>
      <c r="C149" s="18" t="str">
        <f t="shared" si="4"/>
        <v/>
      </c>
      <c r="D149" s="7"/>
      <c r="E149" s="7" t="str">
        <f t="array" ref="E149">XLOOKUP(D149,'Master Barang'!B:B,'Master Barang'!C:C,,0)</f>
        <v/>
      </c>
      <c r="F149" s="7"/>
      <c r="G149" s="19" t="str">
        <f>IFERROR(__xludf.DUMMYFUNCTION("IF(OR(E149="""",F149&lt;&gt;""Barang Datang""), """",
  IFERROR(
    INDEX(
      SORT(
        FILTER(Jadwal!F:F, Jadwal!C:C=E149),
        FILTER(Jadwal!E:E, Jadwal!C:C=E149),
        FALSE
      ),
      1
    ),
    ""TIDAK ADA JADWAL""
  )
)"),"")</f>
        <v/>
      </c>
      <c r="H149" s="7" t="str">
        <f t="shared" si="2"/>
        <v/>
      </c>
      <c r="L149" s="13"/>
      <c r="M149" s="13"/>
    </row>
    <row r="150" ht="15.75" customHeight="1">
      <c r="A150" s="14" t="str">
        <f t="shared" si="1"/>
        <v/>
      </c>
      <c r="B150" s="17" t="str">
        <f t="shared" si="3"/>
        <v/>
      </c>
      <c r="C150" s="18" t="str">
        <f t="shared" si="4"/>
        <v/>
      </c>
      <c r="D150" s="7"/>
      <c r="E150" s="7" t="str">
        <f t="array" ref="E150">XLOOKUP(D150,'Master Barang'!B:B,'Master Barang'!C:C,,0)</f>
        <v/>
      </c>
      <c r="F150" s="7"/>
      <c r="G150" s="19" t="str">
        <f>IFERROR(__xludf.DUMMYFUNCTION("IF(OR(E150="""",F150&lt;&gt;""Barang Datang""), """",
  IFERROR(
    INDEX(
      SORT(
        FILTER(Jadwal!F:F, Jadwal!C:C=E150),
        FILTER(Jadwal!E:E, Jadwal!C:C=E150),
        FALSE
      ),
      1
    ),
    ""TIDAK ADA JADWAL""
  )
)"),"")</f>
        <v/>
      </c>
      <c r="H150" s="7" t="str">
        <f t="shared" si="2"/>
        <v/>
      </c>
      <c r="L150" s="13"/>
      <c r="M150" s="13"/>
    </row>
    <row r="151" ht="15.75" customHeight="1">
      <c r="A151" s="14" t="str">
        <f t="shared" si="1"/>
        <v/>
      </c>
      <c r="B151" s="17" t="str">
        <f t="shared" si="3"/>
        <v/>
      </c>
      <c r="C151" s="18" t="str">
        <f t="shared" si="4"/>
        <v/>
      </c>
      <c r="D151" s="7"/>
      <c r="E151" s="7" t="str">
        <f t="array" ref="E151">XLOOKUP(D151,'Master Barang'!B:B,'Master Barang'!C:C,,0)</f>
        <v/>
      </c>
      <c r="F151" s="7"/>
      <c r="G151" s="19" t="str">
        <f>IFERROR(__xludf.DUMMYFUNCTION("IF(OR(E151="""",F151&lt;&gt;""Barang Datang""), """",
  IFERROR(
    INDEX(
      SORT(
        FILTER(Jadwal!F:F, Jadwal!C:C=E151),
        FILTER(Jadwal!E:E, Jadwal!C:C=E151),
        FALSE
      ),
      1
    ),
    ""TIDAK ADA JADWAL""
  )
)"),"")</f>
        <v/>
      </c>
      <c r="H151" s="7" t="str">
        <f t="shared" si="2"/>
        <v/>
      </c>
      <c r="L151" s="13"/>
      <c r="M151" s="13"/>
    </row>
    <row r="152" ht="15.75" customHeight="1">
      <c r="A152" s="14" t="str">
        <f t="shared" si="1"/>
        <v/>
      </c>
      <c r="B152" s="17" t="str">
        <f t="shared" si="3"/>
        <v/>
      </c>
      <c r="C152" s="18" t="str">
        <f t="shared" si="4"/>
        <v/>
      </c>
      <c r="D152" s="7"/>
      <c r="E152" s="7" t="str">
        <f t="array" ref="E152">XLOOKUP(D152,'Master Barang'!B:B,'Master Barang'!C:C,,0)</f>
        <v/>
      </c>
      <c r="F152" s="7"/>
      <c r="G152" s="19" t="str">
        <f>IFERROR(__xludf.DUMMYFUNCTION("IF(OR(E152="""",F152&lt;&gt;""Barang Datang""), """",
  IFERROR(
    INDEX(
      SORT(
        FILTER(Jadwal!F:F, Jadwal!C:C=E152),
        FILTER(Jadwal!E:E, Jadwal!C:C=E152),
        FALSE
      ),
      1
    ),
    ""TIDAK ADA JADWAL""
  )
)"),"")</f>
        <v/>
      </c>
      <c r="H152" s="7" t="str">
        <f t="shared" si="2"/>
        <v/>
      </c>
      <c r="L152" s="13"/>
      <c r="M152" s="13"/>
    </row>
    <row r="153" ht="15.75" customHeight="1">
      <c r="A153" s="14" t="str">
        <f t="shared" si="1"/>
        <v/>
      </c>
      <c r="B153" s="17" t="str">
        <f t="shared" si="3"/>
        <v/>
      </c>
      <c r="C153" s="18" t="str">
        <f t="shared" si="4"/>
        <v/>
      </c>
      <c r="D153" s="7"/>
      <c r="E153" s="7" t="str">
        <f t="array" ref="E153">XLOOKUP(D153,'Master Barang'!B:B,'Master Barang'!C:C,,0)</f>
        <v/>
      </c>
      <c r="F153" s="7"/>
      <c r="G153" s="19" t="str">
        <f>IFERROR(__xludf.DUMMYFUNCTION("IF(OR(E153="""",F153&lt;&gt;""Barang Datang""), """",
  IFERROR(
    INDEX(
      SORT(
        FILTER(Jadwal!F:F, Jadwal!C:C=E153),
        FILTER(Jadwal!E:E, Jadwal!C:C=E153),
        FALSE
      ),
      1
    ),
    ""TIDAK ADA JADWAL""
  )
)"),"")</f>
        <v/>
      </c>
      <c r="H153" s="7" t="str">
        <f t="shared" si="2"/>
        <v/>
      </c>
      <c r="L153" s="13"/>
      <c r="M153" s="13"/>
    </row>
    <row r="154" ht="15.75" customHeight="1">
      <c r="A154" s="14" t="str">
        <f t="shared" si="1"/>
        <v/>
      </c>
      <c r="B154" s="17" t="str">
        <f t="shared" si="3"/>
        <v/>
      </c>
      <c r="C154" s="18" t="str">
        <f t="shared" si="4"/>
        <v/>
      </c>
      <c r="D154" s="7"/>
      <c r="E154" s="7" t="str">
        <f t="array" ref="E154">XLOOKUP(D154,'Master Barang'!B:B,'Master Barang'!C:C,,0)</f>
        <v/>
      </c>
      <c r="F154" s="7"/>
      <c r="G154" s="19" t="str">
        <f>IFERROR(__xludf.DUMMYFUNCTION("IF(OR(E154="""",F154&lt;&gt;""Barang Datang""), """",
  IFERROR(
    INDEX(
      SORT(
        FILTER(Jadwal!F:F, Jadwal!C:C=E154),
        FILTER(Jadwal!E:E, Jadwal!C:C=E154),
        FALSE
      ),
      1
    ),
    ""TIDAK ADA JADWAL""
  )
)"),"")</f>
        <v/>
      </c>
      <c r="H154" s="7" t="str">
        <f t="shared" si="2"/>
        <v/>
      </c>
      <c r="L154" s="13"/>
      <c r="M154" s="13"/>
    </row>
    <row r="155" ht="15.75" customHeight="1">
      <c r="A155" s="14" t="str">
        <f t="shared" si="1"/>
        <v/>
      </c>
      <c r="B155" s="17" t="str">
        <f t="shared" si="3"/>
        <v/>
      </c>
      <c r="C155" s="18" t="str">
        <f t="shared" si="4"/>
        <v/>
      </c>
      <c r="D155" s="7"/>
      <c r="E155" s="7" t="str">
        <f t="array" ref="E155">XLOOKUP(D155,'Master Barang'!B:B,'Master Barang'!C:C,,0)</f>
        <v/>
      </c>
      <c r="F155" s="7"/>
      <c r="G155" s="19" t="str">
        <f>IFERROR(__xludf.DUMMYFUNCTION("IF(OR(E155="""",F155&lt;&gt;""Barang Datang""), """",
  IFERROR(
    INDEX(
      SORT(
        FILTER(Jadwal!F:F, Jadwal!C:C=E155),
        FILTER(Jadwal!E:E, Jadwal!C:C=E155),
        FALSE
      ),
      1
    ),
    ""TIDAK ADA JADWAL""
  )
)"),"")</f>
        <v/>
      </c>
      <c r="H155" s="7" t="str">
        <f t="shared" si="2"/>
        <v/>
      </c>
      <c r="L155" s="13"/>
      <c r="M155" s="13"/>
    </row>
    <row r="156" ht="15.75" customHeight="1">
      <c r="A156" s="14" t="str">
        <f t="shared" si="1"/>
        <v/>
      </c>
      <c r="B156" s="17" t="str">
        <f t="shared" si="3"/>
        <v/>
      </c>
      <c r="C156" s="18" t="str">
        <f t="shared" si="4"/>
        <v/>
      </c>
      <c r="D156" s="7"/>
      <c r="E156" s="7" t="str">
        <f t="array" ref="E156">XLOOKUP(D156,'Master Barang'!B:B,'Master Barang'!C:C,,0)</f>
        <v/>
      </c>
      <c r="F156" s="7"/>
      <c r="G156" s="19" t="str">
        <f>IFERROR(__xludf.DUMMYFUNCTION("IF(OR(E156="""",F156&lt;&gt;""Barang Datang""), """",
  IFERROR(
    INDEX(
      SORT(
        FILTER(Jadwal!F:F, Jadwal!C:C=E156),
        FILTER(Jadwal!E:E, Jadwal!C:C=E156),
        FALSE
      ),
      1
    ),
    ""TIDAK ADA JADWAL""
  )
)"),"")</f>
        <v/>
      </c>
      <c r="H156" s="7" t="str">
        <f t="shared" si="2"/>
        <v/>
      </c>
      <c r="L156" s="13"/>
      <c r="M156" s="13"/>
    </row>
    <row r="157" ht="15.75" customHeight="1">
      <c r="A157" s="14" t="str">
        <f t="shared" si="1"/>
        <v/>
      </c>
      <c r="B157" s="17" t="str">
        <f t="shared" si="3"/>
        <v/>
      </c>
      <c r="C157" s="18" t="str">
        <f t="shared" si="4"/>
        <v/>
      </c>
      <c r="D157" s="7"/>
      <c r="E157" s="7" t="str">
        <f t="array" ref="E157">XLOOKUP(D157,'Master Barang'!B:B,'Master Barang'!C:C,,0)</f>
        <v/>
      </c>
      <c r="F157" s="7"/>
      <c r="G157" s="19" t="str">
        <f>IFERROR(__xludf.DUMMYFUNCTION("IF(OR(E157="""",F157&lt;&gt;""Barang Datang""), """",
  IFERROR(
    INDEX(
      SORT(
        FILTER(Jadwal!F:F, Jadwal!C:C=E157),
        FILTER(Jadwal!E:E, Jadwal!C:C=E157),
        FALSE
      ),
      1
    ),
    ""TIDAK ADA JADWAL""
  )
)"),"")</f>
        <v/>
      </c>
      <c r="H157" s="7" t="str">
        <f t="shared" si="2"/>
        <v/>
      </c>
      <c r="L157" s="13"/>
      <c r="M157" s="13"/>
    </row>
    <row r="158" ht="15.75" customHeight="1">
      <c r="A158" s="14" t="str">
        <f t="shared" si="1"/>
        <v/>
      </c>
      <c r="B158" s="17" t="str">
        <f t="shared" si="3"/>
        <v/>
      </c>
      <c r="C158" s="18" t="str">
        <f t="shared" si="4"/>
        <v/>
      </c>
      <c r="D158" s="7"/>
      <c r="E158" s="7" t="str">
        <f t="array" ref="E158">XLOOKUP(D158,'Master Barang'!B:B,'Master Barang'!C:C,,0)</f>
        <v/>
      </c>
      <c r="F158" s="7"/>
      <c r="G158" s="19" t="str">
        <f>IFERROR(__xludf.DUMMYFUNCTION("IF(OR(E158="""",F158&lt;&gt;""Barang Datang""), """",
  IFERROR(
    INDEX(
      SORT(
        FILTER(Jadwal!F:F, Jadwal!C:C=E158),
        FILTER(Jadwal!E:E, Jadwal!C:C=E158),
        FALSE
      ),
      1
    ),
    ""TIDAK ADA JADWAL""
  )
)"),"")</f>
        <v/>
      </c>
      <c r="H158" s="7" t="str">
        <f t="shared" si="2"/>
        <v/>
      </c>
      <c r="L158" s="13"/>
      <c r="M158" s="13"/>
    </row>
    <row r="159" ht="15.75" customHeight="1">
      <c r="A159" s="14" t="str">
        <f t="shared" si="1"/>
        <v/>
      </c>
      <c r="B159" s="17" t="str">
        <f t="shared" si="3"/>
        <v/>
      </c>
      <c r="C159" s="18" t="str">
        <f t="shared" si="4"/>
        <v/>
      </c>
      <c r="D159" s="7"/>
      <c r="E159" s="7" t="str">
        <f t="array" ref="E159">XLOOKUP(D159,'Master Barang'!B:B,'Master Barang'!C:C,,0)</f>
        <v/>
      </c>
      <c r="F159" s="7"/>
      <c r="G159" s="19" t="str">
        <f>IFERROR(__xludf.DUMMYFUNCTION("IF(OR(E159="""",F159&lt;&gt;""Barang Datang""), """",
  IFERROR(
    INDEX(
      SORT(
        FILTER(Jadwal!F:F, Jadwal!C:C=E159),
        FILTER(Jadwal!E:E, Jadwal!C:C=E159),
        FALSE
      ),
      1
    ),
    ""TIDAK ADA JADWAL""
  )
)"),"")</f>
        <v/>
      </c>
      <c r="H159" s="7" t="str">
        <f t="shared" si="2"/>
        <v/>
      </c>
      <c r="L159" s="13"/>
      <c r="M159" s="13"/>
    </row>
    <row r="160" ht="15.75" customHeight="1">
      <c r="A160" s="14" t="str">
        <f t="shared" si="1"/>
        <v/>
      </c>
      <c r="B160" s="17" t="str">
        <f t="shared" si="3"/>
        <v/>
      </c>
      <c r="C160" s="18" t="str">
        <f t="shared" si="4"/>
        <v/>
      </c>
      <c r="D160" s="7"/>
      <c r="E160" s="7" t="str">
        <f t="array" ref="E160">XLOOKUP(D160,'Master Barang'!B:B,'Master Barang'!C:C,,0)</f>
        <v/>
      </c>
      <c r="F160" s="7"/>
      <c r="G160" s="19" t="str">
        <f>IFERROR(__xludf.DUMMYFUNCTION("IF(OR(E160="""",F160&lt;&gt;""Barang Datang""), """",
  IFERROR(
    INDEX(
      SORT(
        FILTER(Jadwal!F:F, Jadwal!C:C=E160),
        FILTER(Jadwal!E:E, Jadwal!C:C=E160),
        FALSE
      ),
      1
    ),
    ""TIDAK ADA JADWAL""
  )
)"),"")</f>
        <v/>
      </c>
      <c r="H160" s="7" t="str">
        <f t="shared" si="2"/>
        <v/>
      </c>
      <c r="L160" s="13"/>
      <c r="M160" s="13"/>
    </row>
    <row r="161" ht="15.75" customHeight="1">
      <c r="A161" s="14" t="str">
        <f t="shared" si="1"/>
        <v/>
      </c>
      <c r="B161" s="17" t="str">
        <f t="shared" si="3"/>
        <v/>
      </c>
      <c r="C161" s="18" t="str">
        <f t="shared" si="4"/>
        <v/>
      </c>
      <c r="D161" s="7"/>
      <c r="E161" s="7" t="str">
        <f t="array" ref="E161">XLOOKUP(D161,'Master Barang'!B:B,'Master Barang'!C:C,,0)</f>
        <v/>
      </c>
      <c r="F161" s="7"/>
      <c r="G161" s="19" t="str">
        <f>IFERROR(__xludf.DUMMYFUNCTION("IF(OR(E161="""",F161&lt;&gt;""Barang Datang""), """",
  IFERROR(
    INDEX(
      SORT(
        FILTER(Jadwal!F:F, Jadwal!C:C=E161),
        FILTER(Jadwal!E:E, Jadwal!C:C=E161),
        FALSE
      ),
      1
    ),
    ""TIDAK ADA JADWAL""
  )
)"),"")</f>
        <v/>
      </c>
      <c r="H161" s="7" t="str">
        <f t="shared" si="2"/>
        <v/>
      </c>
      <c r="L161" s="13"/>
      <c r="M161" s="13"/>
    </row>
    <row r="162" ht="15.75" customHeight="1">
      <c r="A162" s="14" t="str">
        <f t="shared" si="1"/>
        <v/>
      </c>
      <c r="B162" s="17" t="str">
        <f t="shared" si="3"/>
        <v/>
      </c>
      <c r="C162" s="18" t="str">
        <f t="shared" si="4"/>
        <v/>
      </c>
      <c r="D162" s="7"/>
      <c r="E162" s="7" t="str">
        <f t="array" ref="E162">XLOOKUP(D162,'Master Barang'!B:B,'Master Barang'!C:C,,0)</f>
        <v/>
      </c>
      <c r="F162" s="7"/>
      <c r="G162" s="19" t="str">
        <f>IFERROR(__xludf.DUMMYFUNCTION("IF(OR(E162="""",F162&lt;&gt;""Barang Datang""), """",
  IFERROR(
    INDEX(
      SORT(
        FILTER(Jadwal!F:F, Jadwal!C:C=E162),
        FILTER(Jadwal!E:E, Jadwal!C:C=E162),
        FALSE
      ),
      1
    ),
    ""TIDAK ADA JADWAL""
  )
)"),"")</f>
        <v/>
      </c>
      <c r="H162" s="7" t="str">
        <f t="shared" si="2"/>
        <v/>
      </c>
      <c r="L162" s="13"/>
      <c r="M162" s="13"/>
    </row>
    <row r="163" ht="15.75" customHeight="1">
      <c r="A163" s="14" t="str">
        <f t="shared" si="1"/>
        <v/>
      </c>
      <c r="B163" s="17" t="str">
        <f t="shared" si="3"/>
        <v/>
      </c>
      <c r="C163" s="18" t="str">
        <f t="shared" si="4"/>
        <v/>
      </c>
      <c r="D163" s="7"/>
      <c r="E163" s="7" t="str">
        <f t="array" ref="E163">XLOOKUP(D163,'Master Barang'!B:B,'Master Barang'!C:C,,0)</f>
        <v/>
      </c>
      <c r="F163" s="7"/>
      <c r="G163" s="19" t="str">
        <f>IFERROR(__xludf.DUMMYFUNCTION("IF(OR(E163="""",F163&lt;&gt;""Barang Datang""), """",
  IFERROR(
    INDEX(
      SORT(
        FILTER(Jadwal!F:F, Jadwal!C:C=E163),
        FILTER(Jadwal!E:E, Jadwal!C:C=E163),
        FALSE
      ),
      1
    ),
    ""TIDAK ADA JADWAL""
  )
)"),"")</f>
        <v/>
      </c>
      <c r="H163" s="7" t="str">
        <f t="shared" si="2"/>
        <v/>
      </c>
      <c r="L163" s="13"/>
      <c r="M163" s="13"/>
    </row>
    <row r="164" ht="15.75" customHeight="1">
      <c r="A164" s="14" t="str">
        <f t="shared" si="1"/>
        <v/>
      </c>
      <c r="B164" s="17" t="str">
        <f t="shared" si="3"/>
        <v/>
      </c>
      <c r="C164" s="18" t="str">
        <f t="shared" si="4"/>
        <v/>
      </c>
      <c r="D164" s="7"/>
      <c r="E164" s="7" t="str">
        <f t="array" ref="E164">XLOOKUP(D164,'Master Barang'!B:B,'Master Barang'!C:C,,0)</f>
        <v/>
      </c>
      <c r="F164" s="7"/>
      <c r="G164" s="19" t="str">
        <f>IFERROR(__xludf.DUMMYFUNCTION("IF(OR(E164="""",F164&lt;&gt;""Barang Datang""), """",
  IFERROR(
    INDEX(
      SORT(
        FILTER(Jadwal!F:F, Jadwal!C:C=E164),
        FILTER(Jadwal!E:E, Jadwal!C:C=E164),
        FALSE
      ),
      1
    ),
    ""TIDAK ADA JADWAL""
  )
)"),"")</f>
        <v/>
      </c>
      <c r="H164" s="7" t="str">
        <f t="shared" si="2"/>
        <v/>
      </c>
      <c r="L164" s="13"/>
      <c r="M164" s="13"/>
    </row>
    <row r="165" ht="15.75" customHeight="1">
      <c r="A165" s="14" t="str">
        <f t="shared" si="1"/>
        <v/>
      </c>
      <c r="B165" s="17" t="str">
        <f t="shared" si="3"/>
        <v/>
      </c>
      <c r="C165" s="18" t="str">
        <f t="shared" si="4"/>
        <v/>
      </c>
      <c r="D165" s="7"/>
      <c r="E165" s="7" t="str">
        <f t="array" ref="E165">XLOOKUP(D165,'Master Barang'!B:B,'Master Barang'!C:C,,0)</f>
        <v/>
      </c>
      <c r="F165" s="7"/>
      <c r="G165" s="19" t="str">
        <f>IFERROR(__xludf.DUMMYFUNCTION("IF(OR(E165="""",F165&lt;&gt;""Barang Datang""), """",
  IFERROR(
    INDEX(
      SORT(
        FILTER(Jadwal!F:F, Jadwal!C:C=E165),
        FILTER(Jadwal!E:E, Jadwal!C:C=E165),
        FALSE
      ),
      1
    ),
    ""TIDAK ADA JADWAL""
  )
)"),"")</f>
        <v/>
      </c>
      <c r="H165" s="7" t="str">
        <f t="shared" si="2"/>
        <v/>
      </c>
      <c r="L165" s="13"/>
      <c r="M165" s="13"/>
    </row>
    <row r="166" ht="15.75" customHeight="1">
      <c r="A166" s="14" t="str">
        <f t="shared" si="1"/>
        <v/>
      </c>
      <c r="B166" s="17" t="str">
        <f t="shared" si="3"/>
        <v/>
      </c>
      <c r="C166" s="18" t="str">
        <f t="shared" si="4"/>
        <v/>
      </c>
      <c r="D166" s="7"/>
      <c r="E166" s="7" t="str">
        <f t="array" ref="E166">XLOOKUP(D166,'Master Barang'!B:B,'Master Barang'!C:C,,0)</f>
        <v/>
      </c>
      <c r="F166" s="7"/>
      <c r="G166" s="19" t="str">
        <f>IFERROR(__xludf.DUMMYFUNCTION("IF(OR(E166="""",F166&lt;&gt;""Barang Datang""), """",
  IFERROR(
    INDEX(
      SORT(
        FILTER(Jadwal!F:F, Jadwal!C:C=E166),
        FILTER(Jadwal!E:E, Jadwal!C:C=E166),
        FALSE
      ),
      1
    ),
    ""TIDAK ADA JADWAL""
  )
)"),"")</f>
        <v/>
      </c>
      <c r="H166" s="7" t="str">
        <f t="shared" si="2"/>
        <v/>
      </c>
      <c r="L166" s="13"/>
      <c r="M166" s="13"/>
    </row>
    <row r="167" ht="15.75" customHeight="1">
      <c r="A167" s="14" t="str">
        <f t="shared" si="1"/>
        <v/>
      </c>
      <c r="B167" s="17" t="str">
        <f t="shared" si="3"/>
        <v/>
      </c>
      <c r="C167" s="18" t="str">
        <f t="shared" si="4"/>
        <v/>
      </c>
      <c r="D167" s="7"/>
      <c r="E167" s="7" t="str">
        <f t="array" ref="E167">XLOOKUP(D167,'Master Barang'!B:B,'Master Barang'!C:C,,0)</f>
        <v/>
      </c>
      <c r="F167" s="7"/>
      <c r="G167" s="19" t="str">
        <f>IFERROR(__xludf.DUMMYFUNCTION("IF(OR(E167="""",F167&lt;&gt;""Barang Datang""), """",
  IFERROR(
    INDEX(
      SORT(
        FILTER(Jadwal!F:F, Jadwal!C:C=E167),
        FILTER(Jadwal!E:E, Jadwal!C:C=E167),
        FALSE
      ),
      1
    ),
    ""TIDAK ADA JADWAL""
  )
)"),"")</f>
        <v/>
      </c>
      <c r="H167" s="7" t="str">
        <f t="shared" si="2"/>
        <v/>
      </c>
      <c r="L167" s="13"/>
      <c r="M167" s="13"/>
    </row>
    <row r="168" ht="15.75" customHeight="1">
      <c r="A168" s="14" t="str">
        <f t="shared" si="1"/>
        <v/>
      </c>
      <c r="B168" s="17" t="str">
        <f t="shared" si="3"/>
        <v/>
      </c>
      <c r="C168" s="18" t="str">
        <f t="shared" si="4"/>
        <v/>
      </c>
      <c r="D168" s="7"/>
      <c r="E168" s="7" t="str">
        <f t="array" ref="E168">XLOOKUP(D168,'Master Barang'!B:B,'Master Barang'!C:C,,0)</f>
        <v/>
      </c>
      <c r="F168" s="7"/>
      <c r="G168" s="19" t="str">
        <f>IFERROR(__xludf.DUMMYFUNCTION("IF(OR(E168="""",F168&lt;&gt;""Barang Datang""), """",
  IFERROR(
    INDEX(
      SORT(
        FILTER(Jadwal!F:F, Jadwal!C:C=E168),
        FILTER(Jadwal!E:E, Jadwal!C:C=E168),
        FALSE
      ),
      1
    ),
    ""TIDAK ADA JADWAL""
  )
)"),"")</f>
        <v/>
      </c>
      <c r="H168" s="7" t="str">
        <f t="shared" si="2"/>
        <v/>
      </c>
      <c r="L168" s="13"/>
      <c r="M168" s="13"/>
    </row>
    <row r="169" ht="15.75" customHeight="1">
      <c r="A169" s="14" t="str">
        <f t="shared" si="1"/>
        <v/>
      </c>
      <c r="B169" s="17" t="str">
        <f t="shared" si="3"/>
        <v/>
      </c>
      <c r="C169" s="18" t="str">
        <f t="shared" si="4"/>
        <v/>
      </c>
      <c r="D169" s="7"/>
      <c r="E169" s="7" t="str">
        <f t="array" ref="E169">XLOOKUP(D169,'Master Barang'!B:B,'Master Barang'!C:C,,0)</f>
        <v/>
      </c>
      <c r="F169" s="7"/>
      <c r="G169" s="19" t="str">
        <f>IFERROR(__xludf.DUMMYFUNCTION("IF(OR(E169="""",F169&lt;&gt;""Barang Datang""), """",
  IFERROR(
    INDEX(
      SORT(
        FILTER(Jadwal!F:F, Jadwal!C:C=E169),
        FILTER(Jadwal!E:E, Jadwal!C:C=E169),
        FALSE
      ),
      1
    ),
    ""TIDAK ADA JADWAL""
  )
)"),"")</f>
        <v/>
      </c>
      <c r="H169" s="7" t="str">
        <f t="shared" si="2"/>
        <v/>
      </c>
      <c r="L169" s="13"/>
      <c r="M169" s="13"/>
    </row>
    <row r="170" ht="15.75" customHeight="1">
      <c r="A170" s="14" t="str">
        <f t="shared" si="1"/>
        <v/>
      </c>
      <c r="B170" s="17" t="str">
        <f t="shared" si="3"/>
        <v/>
      </c>
      <c r="C170" s="18" t="str">
        <f t="shared" si="4"/>
        <v/>
      </c>
      <c r="D170" s="7"/>
      <c r="E170" s="7" t="str">
        <f t="array" ref="E170">XLOOKUP(D170,'Master Barang'!B:B,'Master Barang'!C:C,,0)</f>
        <v/>
      </c>
      <c r="F170" s="7"/>
      <c r="G170" s="19" t="str">
        <f>IFERROR(__xludf.DUMMYFUNCTION("IF(OR(E170="""",F170&lt;&gt;""Barang Datang""), """",
  IFERROR(
    INDEX(
      SORT(
        FILTER(Jadwal!F:F, Jadwal!C:C=E170),
        FILTER(Jadwal!E:E, Jadwal!C:C=E170),
        FALSE
      ),
      1
    ),
    ""TIDAK ADA JADWAL""
  )
)"),"")</f>
        <v/>
      </c>
      <c r="H170" s="7" t="str">
        <f t="shared" si="2"/>
        <v/>
      </c>
      <c r="L170" s="13"/>
      <c r="M170" s="13"/>
    </row>
    <row r="171" ht="15.75" customHeight="1">
      <c r="A171" s="14" t="str">
        <f t="shared" si="1"/>
        <v/>
      </c>
      <c r="B171" s="17" t="str">
        <f t="shared" si="3"/>
        <v/>
      </c>
      <c r="C171" s="18" t="str">
        <f t="shared" si="4"/>
        <v/>
      </c>
      <c r="D171" s="7"/>
      <c r="E171" s="7" t="str">
        <f t="array" ref="E171">XLOOKUP(D171,'Master Barang'!B:B,'Master Barang'!C:C,,0)</f>
        <v/>
      </c>
      <c r="F171" s="7"/>
      <c r="G171" s="19" t="str">
        <f>IFERROR(__xludf.DUMMYFUNCTION("IF(OR(E171="""",F171&lt;&gt;""Barang Datang""), """",
  IFERROR(
    INDEX(
      SORT(
        FILTER(Jadwal!F:F, Jadwal!C:C=E171),
        FILTER(Jadwal!E:E, Jadwal!C:C=E171),
        FALSE
      ),
      1
    ),
    ""TIDAK ADA JADWAL""
  )
)"),"")</f>
        <v/>
      </c>
      <c r="H171" s="7" t="str">
        <f t="shared" si="2"/>
        <v/>
      </c>
      <c r="L171" s="13"/>
      <c r="M171" s="13"/>
    </row>
    <row r="172" ht="15.75" customHeight="1">
      <c r="A172" s="14" t="str">
        <f t="shared" si="1"/>
        <v/>
      </c>
      <c r="B172" s="17" t="str">
        <f t="shared" si="3"/>
        <v/>
      </c>
      <c r="C172" s="18" t="str">
        <f t="shared" si="4"/>
        <v/>
      </c>
      <c r="D172" s="7"/>
      <c r="E172" s="7" t="str">
        <f t="array" ref="E172">XLOOKUP(D172,'Master Barang'!B:B,'Master Barang'!C:C,,0)</f>
        <v/>
      </c>
      <c r="F172" s="7"/>
      <c r="G172" s="19" t="str">
        <f>IFERROR(__xludf.DUMMYFUNCTION("IF(OR(E172="""",F172&lt;&gt;""Barang Datang""), """",
  IFERROR(
    INDEX(
      SORT(
        FILTER(Jadwal!F:F, Jadwal!C:C=E172),
        FILTER(Jadwal!E:E, Jadwal!C:C=E172),
        FALSE
      ),
      1
    ),
    ""TIDAK ADA JADWAL""
  )
)"),"")</f>
        <v/>
      </c>
      <c r="H172" s="7" t="str">
        <f t="shared" si="2"/>
        <v/>
      </c>
      <c r="L172" s="13"/>
      <c r="M172" s="13"/>
    </row>
    <row r="173" ht="15.75" customHeight="1">
      <c r="A173" s="14" t="str">
        <f t="shared" si="1"/>
        <v/>
      </c>
      <c r="B173" s="17" t="str">
        <f t="shared" si="3"/>
        <v/>
      </c>
      <c r="C173" s="18" t="str">
        <f t="shared" si="4"/>
        <v/>
      </c>
      <c r="D173" s="7"/>
      <c r="E173" s="7" t="str">
        <f t="array" ref="E173">XLOOKUP(D173,'Master Barang'!B:B,'Master Barang'!C:C,,0)</f>
        <v/>
      </c>
      <c r="F173" s="7"/>
      <c r="G173" s="19" t="str">
        <f>IFERROR(__xludf.DUMMYFUNCTION("IF(OR(E173="""",F173&lt;&gt;""Barang Datang""), """",
  IFERROR(
    INDEX(
      SORT(
        FILTER(Jadwal!F:F, Jadwal!C:C=E173),
        FILTER(Jadwal!E:E, Jadwal!C:C=E173),
        FALSE
      ),
      1
    ),
    ""TIDAK ADA JADWAL""
  )
)"),"")</f>
        <v/>
      </c>
      <c r="H173" s="7" t="str">
        <f t="shared" si="2"/>
        <v/>
      </c>
      <c r="L173" s="13"/>
      <c r="M173" s="13"/>
    </row>
    <row r="174" ht="15.75" customHeight="1">
      <c r="A174" s="14" t="str">
        <f t="shared" si="1"/>
        <v/>
      </c>
      <c r="B174" s="17" t="str">
        <f t="shared" si="3"/>
        <v/>
      </c>
      <c r="C174" s="18" t="str">
        <f t="shared" si="4"/>
        <v/>
      </c>
      <c r="D174" s="7"/>
      <c r="E174" s="7" t="str">
        <f t="array" ref="E174">XLOOKUP(D174,'Master Barang'!B:B,'Master Barang'!C:C,,0)</f>
        <v/>
      </c>
      <c r="F174" s="7"/>
      <c r="G174" s="19" t="str">
        <f>IFERROR(__xludf.DUMMYFUNCTION("IF(OR(E174="""",F174&lt;&gt;""Barang Datang""), """",
  IFERROR(
    INDEX(
      SORT(
        FILTER(Jadwal!F:F, Jadwal!C:C=E174),
        FILTER(Jadwal!E:E, Jadwal!C:C=E174),
        FALSE
      ),
      1
    ),
    ""TIDAK ADA JADWAL""
  )
)"),"")</f>
        <v/>
      </c>
      <c r="H174" s="7" t="str">
        <f t="shared" si="2"/>
        <v/>
      </c>
      <c r="L174" s="13"/>
      <c r="M174" s="13"/>
    </row>
    <row r="175" ht="15.75" customHeight="1">
      <c r="A175" s="14" t="str">
        <f t="shared" si="1"/>
        <v/>
      </c>
      <c r="B175" s="17" t="str">
        <f t="shared" si="3"/>
        <v/>
      </c>
      <c r="C175" s="18" t="str">
        <f t="shared" si="4"/>
        <v/>
      </c>
      <c r="D175" s="7"/>
      <c r="E175" s="7" t="str">
        <f t="array" ref="E175">XLOOKUP(D175,'Master Barang'!B:B,'Master Barang'!C:C,,0)</f>
        <v/>
      </c>
      <c r="F175" s="7"/>
      <c r="G175" s="19" t="str">
        <f>IFERROR(__xludf.DUMMYFUNCTION("IF(OR(E175="""",F175&lt;&gt;""Barang Datang""), """",
  IFERROR(
    INDEX(
      SORT(
        FILTER(Jadwal!F:F, Jadwal!C:C=E175),
        FILTER(Jadwal!E:E, Jadwal!C:C=E175),
        FALSE
      ),
      1
    ),
    ""TIDAK ADA JADWAL""
  )
)"),"")</f>
        <v/>
      </c>
      <c r="H175" s="7" t="str">
        <f t="shared" si="2"/>
        <v/>
      </c>
      <c r="L175" s="13"/>
      <c r="M175" s="13"/>
    </row>
    <row r="176" ht="15.75" customHeight="1">
      <c r="A176" s="14" t="str">
        <f t="shared" si="1"/>
        <v/>
      </c>
      <c r="B176" s="17" t="str">
        <f t="shared" si="3"/>
        <v/>
      </c>
      <c r="C176" s="18" t="str">
        <f t="shared" si="4"/>
        <v/>
      </c>
      <c r="D176" s="7"/>
      <c r="E176" s="7" t="str">
        <f t="array" ref="E176">XLOOKUP(D176,'Master Barang'!B:B,'Master Barang'!C:C,,0)</f>
        <v/>
      </c>
      <c r="F176" s="7"/>
      <c r="G176" s="19" t="str">
        <f>IFERROR(__xludf.DUMMYFUNCTION("IF(OR(E176="""",F176&lt;&gt;""Barang Datang""), """",
  IFERROR(
    INDEX(
      SORT(
        FILTER(Jadwal!F:F, Jadwal!C:C=E176),
        FILTER(Jadwal!E:E, Jadwal!C:C=E176),
        FALSE
      ),
      1
    ),
    ""TIDAK ADA JADWAL""
  )
)"),"")</f>
        <v/>
      </c>
      <c r="H176" s="7" t="str">
        <f t="shared" si="2"/>
        <v/>
      </c>
      <c r="L176" s="13"/>
      <c r="M176" s="13"/>
    </row>
    <row r="177" ht="15.75" customHeight="1">
      <c r="A177" s="14" t="str">
        <f t="shared" si="1"/>
        <v/>
      </c>
      <c r="B177" s="17" t="str">
        <f t="shared" si="3"/>
        <v/>
      </c>
      <c r="C177" s="18" t="str">
        <f t="shared" si="4"/>
        <v/>
      </c>
      <c r="D177" s="7"/>
      <c r="E177" s="7" t="str">
        <f t="array" ref="E177">XLOOKUP(D177,'Master Barang'!B:B,'Master Barang'!C:C,,0)</f>
        <v/>
      </c>
      <c r="F177" s="7"/>
      <c r="G177" s="19" t="str">
        <f>IFERROR(__xludf.DUMMYFUNCTION("IF(OR(E177="""",F177&lt;&gt;""Barang Datang""), """",
  IFERROR(
    INDEX(
      SORT(
        FILTER(Jadwal!F:F, Jadwal!C:C=E177),
        FILTER(Jadwal!E:E, Jadwal!C:C=E177),
        FALSE
      ),
      1
    ),
    ""TIDAK ADA JADWAL""
  )
)"),"")</f>
        <v/>
      </c>
      <c r="H177" s="7" t="str">
        <f t="shared" si="2"/>
        <v/>
      </c>
      <c r="L177" s="13"/>
      <c r="M177" s="13"/>
    </row>
    <row r="178" ht="15.75" customHeight="1">
      <c r="A178" s="14" t="str">
        <f t="shared" si="1"/>
        <v/>
      </c>
      <c r="B178" s="17" t="str">
        <f t="shared" si="3"/>
        <v/>
      </c>
      <c r="C178" s="18" t="str">
        <f t="shared" si="4"/>
        <v/>
      </c>
      <c r="D178" s="7"/>
      <c r="E178" s="7" t="str">
        <f t="array" ref="E178">XLOOKUP(D178,'Master Barang'!B:B,'Master Barang'!C:C,,0)</f>
        <v/>
      </c>
      <c r="F178" s="7"/>
      <c r="G178" s="19" t="str">
        <f>IFERROR(__xludf.DUMMYFUNCTION("IF(OR(E178="""",F178&lt;&gt;""Barang Datang""), """",
  IFERROR(
    INDEX(
      SORT(
        FILTER(Jadwal!F:F, Jadwal!C:C=E178),
        FILTER(Jadwal!E:E, Jadwal!C:C=E178),
        FALSE
      ),
      1
    ),
    ""TIDAK ADA JADWAL""
  )
)"),"")</f>
        <v/>
      </c>
      <c r="H178" s="7" t="str">
        <f t="shared" si="2"/>
        <v/>
      </c>
      <c r="L178" s="13"/>
      <c r="M178" s="13"/>
    </row>
    <row r="179" ht="15.75" customHeight="1">
      <c r="A179" s="14" t="str">
        <f t="shared" si="1"/>
        <v/>
      </c>
      <c r="B179" s="17" t="str">
        <f t="shared" si="3"/>
        <v/>
      </c>
      <c r="C179" s="18" t="str">
        <f t="shared" si="4"/>
        <v/>
      </c>
      <c r="D179" s="7"/>
      <c r="E179" s="7" t="str">
        <f t="array" ref="E179">XLOOKUP(D179,'Master Barang'!B:B,'Master Barang'!C:C,,0)</f>
        <v/>
      </c>
      <c r="F179" s="7"/>
      <c r="G179" s="19" t="str">
        <f>IFERROR(__xludf.DUMMYFUNCTION("IF(OR(E179="""",F179&lt;&gt;""Barang Datang""), """",
  IFERROR(
    INDEX(
      SORT(
        FILTER(Jadwal!F:F, Jadwal!C:C=E179),
        FILTER(Jadwal!E:E, Jadwal!C:C=E179),
        FALSE
      ),
      1
    ),
    ""TIDAK ADA JADWAL""
  )
)"),"")</f>
        <v/>
      </c>
      <c r="H179" s="7" t="str">
        <f t="shared" si="2"/>
        <v/>
      </c>
      <c r="L179" s="13"/>
      <c r="M179" s="13"/>
    </row>
    <row r="180" ht="15.75" customHeight="1">
      <c r="A180" s="14" t="str">
        <f t="shared" si="1"/>
        <v/>
      </c>
      <c r="B180" s="17" t="str">
        <f t="shared" si="3"/>
        <v/>
      </c>
      <c r="C180" s="18" t="str">
        <f t="shared" si="4"/>
        <v/>
      </c>
      <c r="D180" s="7"/>
      <c r="E180" s="7" t="str">
        <f t="array" ref="E180">XLOOKUP(D180,'Master Barang'!B:B,'Master Barang'!C:C,,0)</f>
        <v/>
      </c>
      <c r="F180" s="7"/>
      <c r="G180" s="19" t="str">
        <f>IFERROR(__xludf.DUMMYFUNCTION("IF(OR(E180="""",F180&lt;&gt;""Barang Datang""), """",
  IFERROR(
    INDEX(
      SORT(
        FILTER(Jadwal!F:F, Jadwal!C:C=E180),
        FILTER(Jadwal!E:E, Jadwal!C:C=E180),
        FALSE
      ),
      1
    ),
    ""TIDAK ADA JADWAL""
  )
)"),"")</f>
        <v/>
      </c>
      <c r="H180" s="7" t="str">
        <f t="shared" si="2"/>
        <v/>
      </c>
      <c r="L180" s="13"/>
      <c r="M180" s="13"/>
    </row>
    <row r="181" ht="15.75" customHeight="1">
      <c r="A181" s="14" t="str">
        <f t="shared" si="1"/>
        <v/>
      </c>
      <c r="B181" s="17" t="str">
        <f t="shared" si="3"/>
        <v/>
      </c>
      <c r="C181" s="18" t="str">
        <f t="shared" si="4"/>
        <v/>
      </c>
      <c r="D181" s="7"/>
      <c r="E181" s="7" t="str">
        <f t="array" ref="E181">XLOOKUP(D181,'Master Barang'!B:B,'Master Barang'!C:C,,0)</f>
        <v/>
      </c>
      <c r="F181" s="7"/>
      <c r="G181" s="19" t="str">
        <f>IFERROR(__xludf.DUMMYFUNCTION("IF(OR(E181="""",F181&lt;&gt;""Barang Datang""), """",
  IFERROR(
    INDEX(
      SORT(
        FILTER(Jadwal!F:F, Jadwal!C:C=E181),
        FILTER(Jadwal!E:E, Jadwal!C:C=E181),
        FALSE
      ),
      1
    ),
    ""TIDAK ADA JADWAL""
  )
)"),"")</f>
        <v/>
      </c>
      <c r="H181" s="7" t="str">
        <f t="shared" si="2"/>
        <v/>
      </c>
      <c r="L181" s="13"/>
      <c r="M181" s="13"/>
    </row>
    <row r="182" ht="15.75" customHeight="1">
      <c r="A182" s="14" t="str">
        <f t="shared" si="1"/>
        <v/>
      </c>
      <c r="B182" s="17" t="str">
        <f t="shared" si="3"/>
        <v/>
      </c>
      <c r="C182" s="18" t="str">
        <f t="shared" si="4"/>
        <v/>
      </c>
      <c r="D182" s="7"/>
      <c r="E182" s="7" t="str">
        <f t="array" ref="E182">XLOOKUP(D182,'Master Barang'!B:B,'Master Barang'!C:C,,0)</f>
        <v/>
      </c>
      <c r="F182" s="7"/>
      <c r="G182" s="19" t="str">
        <f>IFERROR(__xludf.DUMMYFUNCTION("IF(OR(E182="""",F182&lt;&gt;""Barang Datang""), """",
  IFERROR(
    INDEX(
      SORT(
        FILTER(Jadwal!F:F, Jadwal!C:C=E182),
        FILTER(Jadwal!E:E, Jadwal!C:C=E182),
        FALSE
      ),
      1
    ),
    ""TIDAK ADA JADWAL""
  )
)"),"")</f>
        <v/>
      </c>
      <c r="H182" s="7" t="str">
        <f t="shared" si="2"/>
        <v/>
      </c>
      <c r="L182" s="13"/>
      <c r="M182" s="13"/>
    </row>
    <row r="183" ht="15.75" customHeight="1">
      <c r="A183" s="14" t="str">
        <f t="shared" si="1"/>
        <v/>
      </c>
      <c r="B183" s="17" t="str">
        <f t="shared" si="3"/>
        <v/>
      </c>
      <c r="C183" s="18" t="str">
        <f t="shared" si="4"/>
        <v/>
      </c>
      <c r="D183" s="7"/>
      <c r="E183" s="7" t="str">
        <f t="array" ref="E183">XLOOKUP(D183,'Master Barang'!B:B,'Master Barang'!C:C,,0)</f>
        <v/>
      </c>
      <c r="F183" s="7"/>
      <c r="G183" s="19" t="str">
        <f>IFERROR(__xludf.DUMMYFUNCTION("IF(OR(E183="""",F183&lt;&gt;""Barang Datang""), """",
  IFERROR(
    INDEX(
      SORT(
        FILTER(Jadwal!F:F, Jadwal!C:C=E183),
        FILTER(Jadwal!E:E, Jadwal!C:C=E183),
        FALSE
      ),
      1
    ),
    ""TIDAK ADA JADWAL""
  )
)"),"")</f>
        <v/>
      </c>
      <c r="H183" s="7" t="str">
        <f t="shared" si="2"/>
        <v/>
      </c>
      <c r="L183" s="13"/>
      <c r="M183" s="13"/>
    </row>
    <row r="184" ht="15.75" customHeight="1">
      <c r="A184" s="14" t="str">
        <f t="shared" si="1"/>
        <v/>
      </c>
      <c r="B184" s="17" t="str">
        <f t="shared" si="3"/>
        <v/>
      </c>
      <c r="C184" s="18" t="str">
        <f t="shared" si="4"/>
        <v/>
      </c>
      <c r="D184" s="7"/>
      <c r="E184" s="7" t="str">
        <f t="array" ref="E184">XLOOKUP(D184,'Master Barang'!B:B,'Master Barang'!C:C,,0)</f>
        <v/>
      </c>
      <c r="F184" s="7"/>
      <c r="G184" s="19" t="str">
        <f>IFERROR(__xludf.DUMMYFUNCTION("IF(OR(E184="""",F184&lt;&gt;""Barang Datang""), """",
  IFERROR(
    INDEX(
      SORT(
        FILTER(Jadwal!F:F, Jadwal!C:C=E184),
        FILTER(Jadwal!E:E, Jadwal!C:C=E184),
        FALSE
      ),
      1
    ),
    ""TIDAK ADA JADWAL""
  )
)"),"")</f>
        <v/>
      </c>
      <c r="H184" s="7" t="str">
        <f t="shared" si="2"/>
        <v/>
      </c>
      <c r="L184" s="13"/>
      <c r="M184" s="13"/>
    </row>
    <row r="185" ht="15.75" customHeight="1">
      <c r="A185" s="14" t="str">
        <f t="shared" si="1"/>
        <v/>
      </c>
      <c r="B185" s="17" t="str">
        <f t="shared" si="3"/>
        <v/>
      </c>
      <c r="C185" s="18" t="str">
        <f t="shared" si="4"/>
        <v/>
      </c>
      <c r="D185" s="7"/>
      <c r="E185" s="7" t="str">
        <f t="array" ref="E185">XLOOKUP(D185,'Master Barang'!B:B,'Master Barang'!C:C,,0)</f>
        <v/>
      </c>
      <c r="F185" s="7"/>
      <c r="G185" s="19" t="str">
        <f>IFERROR(__xludf.DUMMYFUNCTION("IF(OR(E185="""",F185&lt;&gt;""Barang Datang""), """",
  IFERROR(
    INDEX(
      SORT(
        FILTER(Jadwal!F:F, Jadwal!C:C=E185),
        FILTER(Jadwal!E:E, Jadwal!C:C=E185),
        FALSE
      ),
      1
    ),
    ""TIDAK ADA JADWAL""
  )
)"),"")</f>
        <v/>
      </c>
      <c r="H185" s="7" t="str">
        <f t="shared" si="2"/>
        <v/>
      </c>
      <c r="L185" s="13"/>
      <c r="M185" s="13"/>
    </row>
    <row r="186" ht="15.75" customHeight="1">
      <c r="A186" s="14" t="str">
        <f t="shared" si="1"/>
        <v/>
      </c>
      <c r="B186" s="17" t="str">
        <f t="shared" si="3"/>
        <v/>
      </c>
      <c r="C186" s="18" t="str">
        <f t="shared" si="4"/>
        <v/>
      </c>
      <c r="D186" s="7"/>
      <c r="E186" s="7" t="str">
        <f t="array" ref="E186">XLOOKUP(D186,'Master Barang'!B:B,'Master Barang'!C:C,,0)</f>
        <v/>
      </c>
      <c r="F186" s="7"/>
      <c r="G186" s="19" t="str">
        <f>IFERROR(__xludf.DUMMYFUNCTION("IF(OR(E186="""",F186&lt;&gt;""Barang Datang""), """",
  IFERROR(
    INDEX(
      SORT(
        FILTER(Jadwal!F:F, Jadwal!C:C=E186),
        FILTER(Jadwal!E:E, Jadwal!C:C=E186),
        FALSE
      ),
      1
    ),
    ""TIDAK ADA JADWAL""
  )
)"),"")</f>
        <v/>
      </c>
      <c r="H186" s="7" t="str">
        <f t="shared" si="2"/>
        <v/>
      </c>
      <c r="L186" s="13"/>
      <c r="M186" s="13"/>
    </row>
    <row r="187" ht="15.75" customHeight="1">
      <c r="A187" s="14" t="str">
        <f t="shared" si="1"/>
        <v/>
      </c>
      <c r="B187" s="17" t="str">
        <f t="shared" si="3"/>
        <v/>
      </c>
      <c r="C187" s="18" t="str">
        <f t="shared" si="4"/>
        <v/>
      </c>
      <c r="D187" s="7"/>
      <c r="E187" s="7" t="str">
        <f t="array" ref="E187">XLOOKUP(D187,'Master Barang'!B:B,'Master Barang'!C:C,,0)</f>
        <v/>
      </c>
      <c r="F187" s="7"/>
      <c r="G187" s="19" t="str">
        <f>IFERROR(__xludf.DUMMYFUNCTION("IF(OR(E187="""",F187&lt;&gt;""Barang Datang""), """",
  IFERROR(
    INDEX(
      SORT(
        FILTER(Jadwal!F:F, Jadwal!C:C=E187),
        FILTER(Jadwal!E:E, Jadwal!C:C=E187),
        FALSE
      ),
      1
    ),
    ""TIDAK ADA JADWAL""
  )
)"),"")</f>
        <v/>
      </c>
      <c r="H187" s="7" t="str">
        <f t="shared" si="2"/>
        <v/>
      </c>
      <c r="L187" s="13"/>
      <c r="M187" s="13"/>
    </row>
    <row r="188" ht="15.75" customHeight="1">
      <c r="A188" s="14" t="str">
        <f t="shared" si="1"/>
        <v/>
      </c>
      <c r="B188" s="17" t="str">
        <f t="shared" si="3"/>
        <v/>
      </c>
      <c r="C188" s="18" t="str">
        <f t="shared" si="4"/>
        <v/>
      </c>
      <c r="D188" s="7"/>
      <c r="E188" s="7" t="str">
        <f t="array" ref="E188">XLOOKUP(D188,'Master Barang'!B:B,'Master Barang'!C:C,,0)</f>
        <v/>
      </c>
      <c r="F188" s="7"/>
      <c r="G188" s="19" t="str">
        <f>IFERROR(__xludf.DUMMYFUNCTION("IF(OR(E188="""",F188&lt;&gt;""Barang Datang""), """",
  IFERROR(
    INDEX(
      SORT(
        FILTER(Jadwal!F:F, Jadwal!C:C=E188),
        FILTER(Jadwal!E:E, Jadwal!C:C=E188),
        FALSE
      ),
      1
    ),
    ""TIDAK ADA JADWAL""
  )
)"),"")</f>
        <v/>
      </c>
      <c r="H188" s="7" t="str">
        <f t="shared" si="2"/>
        <v/>
      </c>
      <c r="L188" s="13"/>
      <c r="M188" s="13"/>
    </row>
    <row r="189" ht="15.75" customHeight="1">
      <c r="A189" s="14" t="str">
        <f t="shared" si="1"/>
        <v/>
      </c>
      <c r="B189" s="17" t="str">
        <f t="shared" si="3"/>
        <v/>
      </c>
      <c r="C189" s="18" t="str">
        <f t="shared" si="4"/>
        <v/>
      </c>
      <c r="D189" s="7"/>
      <c r="E189" s="7" t="str">
        <f t="array" ref="E189">XLOOKUP(D189,'Master Barang'!B:B,'Master Barang'!C:C,,0)</f>
        <v/>
      </c>
      <c r="F189" s="7"/>
      <c r="G189" s="19" t="str">
        <f>IFERROR(__xludf.DUMMYFUNCTION("IF(OR(E189="""",F189&lt;&gt;""Barang Datang""), """",
  IFERROR(
    INDEX(
      SORT(
        FILTER(Jadwal!F:F, Jadwal!C:C=E189),
        FILTER(Jadwal!E:E, Jadwal!C:C=E189),
        FALSE
      ),
      1
    ),
    ""TIDAK ADA JADWAL""
  )
)"),"")</f>
        <v/>
      </c>
      <c r="H189" s="7" t="str">
        <f t="shared" si="2"/>
        <v/>
      </c>
      <c r="L189" s="13"/>
      <c r="M189" s="13"/>
    </row>
    <row r="190" ht="15.75" customHeight="1">
      <c r="A190" s="14" t="str">
        <f t="shared" si="1"/>
        <v/>
      </c>
      <c r="B190" s="17" t="str">
        <f t="shared" si="3"/>
        <v/>
      </c>
      <c r="C190" s="18" t="str">
        <f t="shared" si="4"/>
        <v/>
      </c>
      <c r="D190" s="7"/>
      <c r="E190" s="7" t="str">
        <f t="array" ref="E190">XLOOKUP(D190,'Master Barang'!B:B,'Master Barang'!C:C,,0)</f>
        <v/>
      </c>
      <c r="F190" s="7"/>
      <c r="G190" s="19" t="str">
        <f>IFERROR(__xludf.DUMMYFUNCTION("IF(OR(E190="""",F190&lt;&gt;""Barang Datang""), """",
  IFERROR(
    INDEX(
      SORT(
        FILTER(Jadwal!F:F, Jadwal!C:C=E190),
        FILTER(Jadwal!E:E, Jadwal!C:C=E190),
        FALSE
      ),
      1
    ),
    ""TIDAK ADA JADWAL""
  )
)"),"")</f>
        <v/>
      </c>
      <c r="H190" s="7" t="str">
        <f t="shared" si="2"/>
        <v/>
      </c>
      <c r="L190" s="13"/>
      <c r="M190" s="13"/>
    </row>
    <row r="191" ht="15.75" customHeight="1">
      <c r="A191" s="14" t="str">
        <f t="shared" si="1"/>
        <v/>
      </c>
      <c r="B191" s="17" t="str">
        <f t="shared" si="3"/>
        <v/>
      </c>
      <c r="C191" s="18" t="str">
        <f t="shared" si="4"/>
        <v/>
      </c>
      <c r="D191" s="7"/>
      <c r="E191" s="7" t="str">
        <f t="array" ref="E191">XLOOKUP(D191,'Master Barang'!B:B,'Master Barang'!C:C,,0)</f>
        <v/>
      </c>
      <c r="F191" s="7"/>
      <c r="G191" s="19" t="str">
        <f>IFERROR(__xludf.DUMMYFUNCTION("IF(OR(E191="""",F191&lt;&gt;""Barang Datang""), """",
  IFERROR(
    INDEX(
      SORT(
        FILTER(Jadwal!F:F, Jadwal!C:C=E191),
        FILTER(Jadwal!E:E, Jadwal!C:C=E191),
        FALSE
      ),
      1
    ),
    ""TIDAK ADA JADWAL""
  )
)"),"")</f>
        <v/>
      </c>
      <c r="H191" s="7" t="str">
        <f t="shared" si="2"/>
        <v/>
      </c>
      <c r="L191" s="13"/>
      <c r="M191" s="13"/>
    </row>
    <row r="192" ht="15.75" customHeight="1">
      <c r="A192" s="14" t="str">
        <f t="shared" si="1"/>
        <v/>
      </c>
      <c r="B192" s="17" t="str">
        <f t="shared" si="3"/>
        <v/>
      </c>
      <c r="C192" s="18" t="str">
        <f t="shared" si="4"/>
        <v/>
      </c>
      <c r="D192" s="7"/>
      <c r="E192" s="7" t="str">
        <f t="array" ref="E192">XLOOKUP(D192,'Master Barang'!B:B,'Master Barang'!C:C,,0)</f>
        <v/>
      </c>
      <c r="F192" s="7"/>
      <c r="G192" s="19" t="str">
        <f>IFERROR(__xludf.DUMMYFUNCTION("IF(OR(E192="""",F192&lt;&gt;""Barang Datang""), """",
  IFERROR(
    INDEX(
      SORT(
        FILTER(Jadwal!F:F, Jadwal!C:C=E192),
        FILTER(Jadwal!E:E, Jadwal!C:C=E192),
        FALSE
      ),
      1
    ),
    ""TIDAK ADA JADWAL""
  )
)"),"")</f>
        <v/>
      </c>
      <c r="H192" s="7" t="str">
        <f t="shared" si="2"/>
        <v/>
      </c>
      <c r="L192" s="13"/>
      <c r="M192" s="13"/>
    </row>
    <row r="193" ht="15.75" customHeight="1">
      <c r="A193" s="14" t="str">
        <f t="shared" si="1"/>
        <v/>
      </c>
      <c r="B193" s="17" t="str">
        <f t="shared" si="3"/>
        <v/>
      </c>
      <c r="C193" s="18" t="str">
        <f t="shared" si="4"/>
        <v/>
      </c>
      <c r="D193" s="7"/>
      <c r="E193" s="7" t="str">
        <f t="array" ref="E193">XLOOKUP(D193,'Master Barang'!B:B,'Master Barang'!C:C,,0)</f>
        <v/>
      </c>
      <c r="F193" s="7"/>
      <c r="G193" s="19" t="str">
        <f>IFERROR(__xludf.DUMMYFUNCTION("IF(OR(E193="""",F193&lt;&gt;""Barang Datang""), """",
  IFERROR(
    INDEX(
      SORT(
        FILTER(Jadwal!F:F, Jadwal!C:C=E193),
        FILTER(Jadwal!E:E, Jadwal!C:C=E193),
        FALSE
      ),
      1
    ),
    ""TIDAK ADA JADWAL""
  )
)"),"")</f>
        <v/>
      </c>
      <c r="H193" s="7" t="str">
        <f t="shared" si="2"/>
        <v/>
      </c>
      <c r="L193" s="13"/>
      <c r="M193" s="13"/>
    </row>
    <row r="194" ht="15.75" customHeight="1">
      <c r="A194" s="14" t="str">
        <f t="shared" si="1"/>
        <v/>
      </c>
      <c r="B194" s="17" t="str">
        <f t="shared" si="3"/>
        <v/>
      </c>
      <c r="C194" s="18" t="str">
        <f t="shared" si="4"/>
        <v/>
      </c>
      <c r="D194" s="7"/>
      <c r="E194" s="7" t="str">
        <f t="array" ref="E194">XLOOKUP(D194,'Master Barang'!B:B,'Master Barang'!C:C,,0)</f>
        <v/>
      </c>
      <c r="F194" s="7"/>
      <c r="G194" s="19" t="str">
        <f>IFERROR(__xludf.DUMMYFUNCTION("IF(OR(E194="""",F194&lt;&gt;""Barang Datang""), """",
  IFERROR(
    INDEX(
      SORT(
        FILTER(Jadwal!F:F, Jadwal!C:C=E194),
        FILTER(Jadwal!E:E, Jadwal!C:C=E194),
        FALSE
      ),
      1
    ),
    ""TIDAK ADA JADWAL""
  )
)"),"")</f>
        <v/>
      </c>
      <c r="H194" s="7" t="str">
        <f t="shared" si="2"/>
        <v/>
      </c>
      <c r="L194" s="13"/>
      <c r="M194" s="13"/>
    </row>
    <row r="195" ht="15.75" customHeight="1">
      <c r="A195" s="14" t="str">
        <f t="shared" si="1"/>
        <v/>
      </c>
      <c r="B195" s="17" t="str">
        <f t="shared" si="3"/>
        <v/>
      </c>
      <c r="C195" s="18" t="str">
        <f t="shared" si="4"/>
        <v/>
      </c>
      <c r="D195" s="7"/>
      <c r="E195" s="7" t="str">
        <f t="array" ref="E195">XLOOKUP(D195,'Master Barang'!B:B,'Master Barang'!C:C,,0)</f>
        <v/>
      </c>
      <c r="F195" s="7"/>
      <c r="G195" s="19" t="str">
        <f>IFERROR(__xludf.DUMMYFUNCTION("IF(OR(E195="""",F195&lt;&gt;""Barang Datang""), """",
  IFERROR(
    INDEX(
      SORT(
        FILTER(Jadwal!F:F, Jadwal!C:C=E195),
        FILTER(Jadwal!E:E, Jadwal!C:C=E195),
        FALSE
      ),
      1
    ),
    ""TIDAK ADA JADWAL""
  )
)"),"")</f>
        <v/>
      </c>
      <c r="H195" s="7" t="str">
        <f t="shared" si="2"/>
        <v/>
      </c>
      <c r="L195" s="13"/>
      <c r="M195" s="13"/>
    </row>
    <row r="196" ht="15.75" customHeight="1">
      <c r="A196" s="14" t="str">
        <f t="shared" si="1"/>
        <v/>
      </c>
      <c r="B196" s="17" t="str">
        <f t="shared" si="3"/>
        <v/>
      </c>
      <c r="C196" s="18" t="str">
        <f t="shared" si="4"/>
        <v/>
      </c>
      <c r="D196" s="7"/>
      <c r="E196" s="7" t="str">
        <f t="array" ref="E196">XLOOKUP(D196,'Master Barang'!B:B,'Master Barang'!C:C,,0)</f>
        <v/>
      </c>
      <c r="F196" s="7"/>
      <c r="G196" s="19" t="str">
        <f>IFERROR(__xludf.DUMMYFUNCTION("IF(OR(E196="""",F196&lt;&gt;""Barang Datang""), """",
  IFERROR(
    INDEX(
      SORT(
        FILTER(Jadwal!F:F, Jadwal!C:C=E196),
        FILTER(Jadwal!E:E, Jadwal!C:C=E196),
        FALSE
      ),
      1
    ),
    ""TIDAK ADA JADWAL""
  )
)"),"")</f>
        <v/>
      </c>
      <c r="H196" s="7" t="str">
        <f t="shared" si="2"/>
        <v/>
      </c>
      <c r="L196" s="13"/>
      <c r="M196" s="13"/>
    </row>
    <row r="197" ht="15.75" customHeight="1">
      <c r="A197" s="14" t="str">
        <f t="shared" si="1"/>
        <v/>
      </c>
      <c r="B197" s="17" t="str">
        <f t="shared" si="3"/>
        <v/>
      </c>
      <c r="C197" s="18" t="str">
        <f t="shared" si="4"/>
        <v/>
      </c>
      <c r="D197" s="7"/>
      <c r="E197" s="7" t="str">
        <f t="array" ref="E197">XLOOKUP(D197,'Master Barang'!B:B,'Master Barang'!C:C,,0)</f>
        <v/>
      </c>
      <c r="F197" s="7"/>
      <c r="G197" s="19" t="str">
        <f>IFERROR(__xludf.DUMMYFUNCTION("IF(OR(E197="""",F197&lt;&gt;""Barang Datang""), """",
  IFERROR(
    INDEX(
      SORT(
        FILTER(Jadwal!F:F, Jadwal!C:C=E197),
        FILTER(Jadwal!E:E, Jadwal!C:C=E197),
        FALSE
      ),
      1
    ),
    ""TIDAK ADA JADWAL""
  )
)"),"")</f>
        <v/>
      </c>
      <c r="H197" s="7" t="str">
        <f t="shared" si="2"/>
        <v/>
      </c>
      <c r="L197" s="13"/>
      <c r="M197" s="13"/>
    </row>
    <row r="198" ht="15.75" customHeight="1">
      <c r="A198" s="14" t="str">
        <f t="shared" si="1"/>
        <v/>
      </c>
      <c r="B198" s="17" t="str">
        <f t="shared" si="3"/>
        <v/>
      </c>
      <c r="C198" s="18" t="str">
        <f t="shared" si="4"/>
        <v/>
      </c>
      <c r="D198" s="7"/>
      <c r="E198" s="7" t="str">
        <f t="array" ref="E198">XLOOKUP(D198,'Master Barang'!B:B,'Master Barang'!C:C,,0)</f>
        <v/>
      </c>
      <c r="F198" s="7"/>
      <c r="G198" s="19" t="str">
        <f>IFERROR(__xludf.DUMMYFUNCTION("IF(OR(E198="""",F198&lt;&gt;""Barang Datang""), """",
  IFERROR(
    INDEX(
      SORT(
        FILTER(Jadwal!F:F, Jadwal!C:C=E198),
        FILTER(Jadwal!E:E, Jadwal!C:C=E198),
        FALSE
      ),
      1
    ),
    ""TIDAK ADA JADWAL""
  )
)"),"")</f>
        <v/>
      </c>
      <c r="H198" s="7" t="str">
        <f t="shared" si="2"/>
        <v/>
      </c>
      <c r="L198" s="13"/>
      <c r="M198" s="13"/>
    </row>
    <row r="199" ht="15.75" customHeight="1">
      <c r="A199" s="14" t="str">
        <f t="shared" si="1"/>
        <v/>
      </c>
      <c r="B199" s="17" t="str">
        <f t="shared" si="3"/>
        <v/>
      </c>
      <c r="C199" s="18" t="str">
        <f t="shared" si="4"/>
        <v/>
      </c>
      <c r="D199" s="7"/>
      <c r="E199" s="7" t="str">
        <f t="array" ref="E199">XLOOKUP(D199,'Master Barang'!B:B,'Master Barang'!C:C,,0)</f>
        <v/>
      </c>
      <c r="F199" s="7"/>
      <c r="G199" s="19" t="str">
        <f>IFERROR(__xludf.DUMMYFUNCTION("IF(OR(E199="""",F199&lt;&gt;""Barang Datang""), """",
  IFERROR(
    INDEX(
      SORT(
        FILTER(Jadwal!F:F, Jadwal!C:C=E199),
        FILTER(Jadwal!E:E, Jadwal!C:C=E199),
        FALSE
      ),
      1
    ),
    ""TIDAK ADA JADWAL""
  )
)"),"")</f>
        <v/>
      </c>
      <c r="H199" s="7" t="str">
        <f t="shared" si="2"/>
        <v/>
      </c>
      <c r="L199" s="13"/>
      <c r="M199" s="13"/>
    </row>
    <row r="200" ht="15.75" customHeight="1">
      <c r="A200" s="14" t="str">
        <f t="shared" si="1"/>
        <v/>
      </c>
      <c r="B200" s="17" t="str">
        <f t="shared" si="3"/>
        <v/>
      </c>
      <c r="C200" s="18" t="str">
        <f t="shared" si="4"/>
        <v/>
      </c>
      <c r="D200" s="7"/>
      <c r="E200" s="7" t="str">
        <f t="array" ref="E200">XLOOKUP(D200,'Master Barang'!B:B,'Master Barang'!C:C,,0)</f>
        <v/>
      </c>
      <c r="F200" s="7"/>
      <c r="G200" s="19" t="str">
        <f>IFERROR(__xludf.DUMMYFUNCTION("IF(OR(E200="""",F200&lt;&gt;""Barang Datang""), """",
  IFERROR(
    INDEX(
      SORT(
        FILTER(Jadwal!F:F, Jadwal!C:C=E200),
        FILTER(Jadwal!E:E, Jadwal!C:C=E200),
        FALSE
      ),
      1
    ),
    ""TIDAK ADA JADWAL""
  )
)"),"")</f>
        <v/>
      </c>
      <c r="H200" s="7" t="str">
        <f t="shared" si="2"/>
        <v/>
      </c>
      <c r="L200" s="13"/>
      <c r="M200" s="13"/>
    </row>
    <row r="201" ht="15.75" customHeight="1">
      <c r="A201" s="14" t="str">
        <f t="shared" si="1"/>
        <v/>
      </c>
      <c r="B201" s="17" t="str">
        <f t="shared" si="3"/>
        <v/>
      </c>
      <c r="C201" s="18" t="str">
        <f t="shared" si="4"/>
        <v/>
      </c>
      <c r="D201" s="7"/>
      <c r="E201" s="7" t="str">
        <f t="array" ref="E201">XLOOKUP(D201,'Master Barang'!B:B,'Master Barang'!C:C,,0)</f>
        <v/>
      </c>
      <c r="F201" s="7"/>
      <c r="G201" s="19" t="str">
        <f>IFERROR(__xludf.DUMMYFUNCTION("IF(OR(E201="""",F201&lt;&gt;""Barang Datang""), """",
  IFERROR(
    INDEX(
      SORT(
        FILTER(Jadwal!F:F, Jadwal!C:C=E201),
        FILTER(Jadwal!E:E, Jadwal!C:C=E201),
        FALSE
      ),
      1
    ),
    ""TIDAK ADA JADWAL""
  )
)"),"")</f>
        <v/>
      </c>
      <c r="H201" s="7" t="str">
        <f t="shared" si="2"/>
        <v/>
      </c>
      <c r="L201" s="13"/>
      <c r="M201" s="13"/>
    </row>
    <row r="202" ht="15.75" customHeight="1">
      <c r="A202" s="14" t="str">
        <f t="shared" si="1"/>
        <v/>
      </c>
      <c r="B202" s="17" t="str">
        <f t="shared" si="3"/>
        <v/>
      </c>
      <c r="C202" s="18" t="str">
        <f t="shared" si="4"/>
        <v/>
      </c>
      <c r="D202" s="7"/>
      <c r="E202" s="7" t="str">
        <f t="array" ref="E202">XLOOKUP(D202,'Master Barang'!B:B,'Master Barang'!C:C,,0)</f>
        <v/>
      </c>
      <c r="F202" s="7"/>
      <c r="G202" s="19" t="str">
        <f>IFERROR(__xludf.DUMMYFUNCTION("IF(OR(E202="""",F202&lt;&gt;""Barang Datang""), """",
  IFERROR(
    INDEX(
      SORT(
        FILTER(Jadwal!F:F, Jadwal!C:C=E202),
        FILTER(Jadwal!E:E, Jadwal!C:C=E202),
        FALSE
      ),
      1
    ),
    ""TIDAK ADA JADWAL""
  )
)"),"")</f>
        <v/>
      </c>
      <c r="H202" s="7" t="str">
        <f t="shared" si="2"/>
        <v/>
      </c>
      <c r="L202" s="13"/>
      <c r="M202" s="13"/>
    </row>
    <row r="203" ht="15.75" customHeight="1">
      <c r="A203" s="14" t="str">
        <f t="shared" si="1"/>
        <v/>
      </c>
      <c r="B203" s="17" t="str">
        <f t="shared" si="3"/>
        <v/>
      </c>
      <c r="C203" s="18" t="str">
        <f t="shared" si="4"/>
        <v/>
      </c>
      <c r="D203" s="7"/>
      <c r="E203" s="7" t="str">
        <f t="array" ref="E203">XLOOKUP(D203,'Master Barang'!B:B,'Master Barang'!C:C,,0)</f>
        <v/>
      </c>
      <c r="F203" s="7"/>
      <c r="G203" s="19" t="str">
        <f>IFERROR(__xludf.DUMMYFUNCTION("IF(OR(E203="""",F203&lt;&gt;""Barang Datang""), """",
  IFERROR(
    INDEX(
      SORT(
        FILTER(Jadwal!F:F, Jadwal!C:C=E203),
        FILTER(Jadwal!E:E, Jadwal!C:C=E203),
        FALSE
      ),
      1
    ),
    ""TIDAK ADA JADWAL""
  )
)"),"")</f>
        <v/>
      </c>
      <c r="H203" s="7" t="str">
        <f t="shared" si="2"/>
        <v/>
      </c>
      <c r="L203" s="13"/>
      <c r="M203" s="13"/>
    </row>
    <row r="204" ht="15.75" customHeight="1">
      <c r="A204" s="14" t="str">
        <f t="shared" si="1"/>
        <v/>
      </c>
      <c r="B204" s="17" t="str">
        <f t="shared" si="3"/>
        <v/>
      </c>
      <c r="C204" s="18" t="str">
        <f t="shared" si="4"/>
        <v/>
      </c>
      <c r="D204" s="7"/>
      <c r="E204" s="7" t="str">
        <f t="array" ref="E204">XLOOKUP(D204,'Master Barang'!B:B,'Master Barang'!C:C,,0)</f>
        <v/>
      </c>
      <c r="F204" s="7"/>
      <c r="G204" s="19" t="str">
        <f>IFERROR(__xludf.DUMMYFUNCTION("IF(OR(E204="""",F204&lt;&gt;""Barang Datang""), """",
  IFERROR(
    INDEX(
      SORT(
        FILTER(Jadwal!F:F, Jadwal!C:C=E204),
        FILTER(Jadwal!E:E, Jadwal!C:C=E204),
        FALSE
      ),
      1
    ),
    ""TIDAK ADA JADWAL""
  )
)"),"")</f>
        <v/>
      </c>
      <c r="H204" s="7" t="str">
        <f t="shared" si="2"/>
        <v/>
      </c>
      <c r="L204" s="13"/>
      <c r="M204" s="13"/>
    </row>
    <row r="205" ht="15.75" customHeight="1">
      <c r="A205" s="14" t="str">
        <f t="shared" si="1"/>
        <v/>
      </c>
      <c r="B205" s="17" t="str">
        <f t="shared" si="3"/>
        <v/>
      </c>
      <c r="C205" s="18" t="str">
        <f t="shared" si="4"/>
        <v/>
      </c>
      <c r="D205" s="7"/>
      <c r="E205" s="7" t="str">
        <f t="array" ref="E205">XLOOKUP(D205,'Master Barang'!B:B,'Master Barang'!C:C,,0)</f>
        <v/>
      </c>
      <c r="F205" s="7"/>
      <c r="G205" s="19" t="str">
        <f>IFERROR(__xludf.DUMMYFUNCTION("IF(OR(E205="""",F205&lt;&gt;""Barang Datang""), """",
  IFERROR(
    INDEX(
      SORT(
        FILTER(Jadwal!F:F, Jadwal!C:C=E205),
        FILTER(Jadwal!E:E, Jadwal!C:C=E205),
        FALSE
      ),
      1
    ),
    ""TIDAK ADA JADWAL""
  )
)"),"")</f>
        <v/>
      </c>
      <c r="H205" s="7" t="str">
        <f t="shared" si="2"/>
        <v/>
      </c>
      <c r="L205" s="13"/>
      <c r="M205" s="13"/>
    </row>
    <row r="206" ht="15.75" customHeight="1">
      <c r="A206" s="14" t="str">
        <f t="shared" si="1"/>
        <v/>
      </c>
      <c r="B206" s="17" t="str">
        <f t="shared" si="3"/>
        <v/>
      </c>
      <c r="C206" s="18" t="str">
        <f t="shared" si="4"/>
        <v/>
      </c>
      <c r="D206" s="7"/>
      <c r="E206" s="7" t="str">
        <f t="array" ref="E206">XLOOKUP(D206,'Master Barang'!B:B,'Master Barang'!C:C,,0)</f>
        <v/>
      </c>
      <c r="F206" s="7"/>
      <c r="G206" s="19" t="str">
        <f>IFERROR(__xludf.DUMMYFUNCTION("IF(OR(E206="""",F206&lt;&gt;""Barang Datang""), """",
  IFERROR(
    INDEX(
      SORT(
        FILTER(Jadwal!F:F, Jadwal!C:C=E206),
        FILTER(Jadwal!E:E, Jadwal!C:C=E206),
        FALSE
      ),
      1
    ),
    ""TIDAK ADA JADWAL""
  )
)"),"")</f>
        <v/>
      </c>
      <c r="H206" s="7" t="str">
        <f t="shared" si="2"/>
        <v/>
      </c>
      <c r="L206" s="13"/>
      <c r="M206" s="13"/>
    </row>
    <row r="207" ht="15.75" customHeight="1">
      <c r="A207" s="14" t="str">
        <f t="shared" si="1"/>
        <v/>
      </c>
      <c r="B207" s="17" t="str">
        <f t="shared" si="3"/>
        <v/>
      </c>
      <c r="C207" s="18" t="str">
        <f t="shared" si="4"/>
        <v/>
      </c>
      <c r="D207" s="7"/>
      <c r="E207" s="7" t="str">
        <f t="array" ref="E207">XLOOKUP(D207,'Master Barang'!B:B,'Master Barang'!C:C,,0)</f>
        <v/>
      </c>
      <c r="F207" s="7"/>
      <c r="G207" s="19" t="str">
        <f>IFERROR(__xludf.DUMMYFUNCTION("IF(OR(E207="""",F207&lt;&gt;""Barang Datang""), """",
  IFERROR(
    INDEX(
      SORT(
        FILTER(Jadwal!F:F, Jadwal!C:C=E207),
        FILTER(Jadwal!E:E, Jadwal!C:C=E207),
        FALSE
      ),
      1
    ),
    ""TIDAK ADA JADWAL""
  )
)"),"")</f>
        <v/>
      </c>
      <c r="H207" s="7" t="str">
        <f t="shared" si="2"/>
        <v/>
      </c>
      <c r="L207" s="13"/>
      <c r="M207" s="13"/>
    </row>
    <row r="208" ht="15.75" customHeight="1">
      <c r="A208" s="14" t="str">
        <f t="shared" si="1"/>
        <v/>
      </c>
      <c r="B208" s="17" t="str">
        <f t="shared" si="3"/>
        <v/>
      </c>
      <c r="C208" s="18" t="str">
        <f t="shared" si="4"/>
        <v/>
      </c>
      <c r="D208" s="7"/>
      <c r="E208" s="7" t="str">
        <f t="array" ref="E208">XLOOKUP(D208,'Master Barang'!B:B,'Master Barang'!C:C,,0)</f>
        <v/>
      </c>
      <c r="F208" s="7"/>
      <c r="G208" s="19" t="str">
        <f>IFERROR(__xludf.DUMMYFUNCTION("IF(OR(E208="""",F208&lt;&gt;""Barang Datang""), """",
  IFERROR(
    INDEX(
      SORT(
        FILTER(Jadwal!F:F, Jadwal!C:C=E208),
        FILTER(Jadwal!E:E, Jadwal!C:C=E208),
        FALSE
      ),
      1
    ),
    ""TIDAK ADA JADWAL""
  )
)"),"")</f>
        <v/>
      </c>
      <c r="H208" s="7" t="str">
        <f t="shared" si="2"/>
        <v/>
      </c>
      <c r="L208" s="13"/>
      <c r="M208" s="13"/>
    </row>
    <row r="209" ht="15.75" customHeight="1">
      <c r="A209" s="14" t="str">
        <f t="shared" si="1"/>
        <v/>
      </c>
      <c r="B209" s="17" t="str">
        <f t="shared" si="3"/>
        <v/>
      </c>
      <c r="C209" s="18" t="str">
        <f t="shared" si="4"/>
        <v/>
      </c>
      <c r="D209" s="7"/>
      <c r="E209" s="7" t="str">
        <f t="array" ref="E209">XLOOKUP(D209,'Master Barang'!B:B,'Master Barang'!C:C,,0)</f>
        <v/>
      </c>
      <c r="F209" s="7"/>
      <c r="G209" s="19" t="str">
        <f>IFERROR(__xludf.DUMMYFUNCTION("IF(OR(E209="""",F209&lt;&gt;""Barang Datang""), """",
  IFERROR(
    INDEX(
      SORT(
        FILTER(Jadwal!F:F, Jadwal!C:C=E209),
        FILTER(Jadwal!E:E, Jadwal!C:C=E209),
        FALSE
      ),
      1
    ),
    ""TIDAK ADA JADWAL""
  )
)"),"")</f>
        <v/>
      </c>
      <c r="H209" s="7" t="str">
        <f t="shared" si="2"/>
        <v/>
      </c>
      <c r="L209" s="13"/>
      <c r="M209" s="13"/>
    </row>
    <row r="210" ht="15.75" customHeight="1">
      <c r="A210" s="14" t="str">
        <f t="shared" si="1"/>
        <v/>
      </c>
      <c r="B210" s="17" t="str">
        <f t="shared" si="3"/>
        <v/>
      </c>
      <c r="C210" s="18" t="str">
        <f t="shared" si="4"/>
        <v/>
      </c>
      <c r="D210" s="7"/>
      <c r="E210" s="7" t="str">
        <f t="array" ref="E210">XLOOKUP(D210,'Master Barang'!B:B,'Master Barang'!C:C,,0)</f>
        <v/>
      </c>
      <c r="F210" s="7"/>
      <c r="G210" s="19" t="str">
        <f>IFERROR(__xludf.DUMMYFUNCTION("IF(OR(E210="""",F210&lt;&gt;""Barang Datang""), """",
  IFERROR(
    INDEX(
      SORT(
        FILTER(Jadwal!F:F, Jadwal!C:C=E210),
        FILTER(Jadwal!E:E, Jadwal!C:C=E210),
        FALSE
      ),
      1
    ),
    ""TIDAK ADA JADWAL""
  )
)"),"")</f>
        <v/>
      </c>
      <c r="H210" s="7" t="str">
        <f t="shared" si="2"/>
        <v/>
      </c>
      <c r="L210" s="13"/>
      <c r="M210" s="13"/>
    </row>
    <row r="211" ht="15.75" customHeight="1">
      <c r="A211" s="14" t="str">
        <f t="shared" si="1"/>
        <v/>
      </c>
      <c r="B211" s="17" t="str">
        <f t="shared" si="3"/>
        <v/>
      </c>
      <c r="C211" s="18" t="str">
        <f t="shared" si="4"/>
        <v/>
      </c>
      <c r="D211" s="7"/>
      <c r="E211" s="7" t="str">
        <f t="array" ref="E211">XLOOKUP(D211,'Master Barang'!B:B,'Master Barang'!C:C,,0)</f>
        <v/>
      </c>
      <c r="F211" s="7"/>
      <c r="G211" s="19" t="str">
        <f>IFERROR(__xludf.DUMMYFUNCTION("IF(OR(E211="""",F211&lt;&gt;""Barang Datang""), """",
  IFERROR(
    INDEX(
      SORT(
        FILTER(Jadwal!F:F, Jadwal!C:C=E211),
        FILTER(Jadwal!E:E, Jadwal!C:C=E211),
        FALSE
      ),
      1
    ),
    ""TIDAK ADA JADWAL""
  )
)"),"")</f>
        <v/>
      </c>
      <c r="H211" s="7" t="str">
        <f t="shared" si="2"/>
        <v/>
      </c>
      <c r="L211" s="13"/>
      <c r="M211" s="13"/>
    </row>
    <row r="212" ht="15.75" customHeight="1">
      <c r="A212" s="14" t="str">
        <f t="shared" si="1"/>
        <v/>
      </c>
      <c r="B212" s="17" t="str">
        <f t="shared" si="3"/>
        <v/>
      </c>
      <c r="C212" s="18" t="str">
        <f t="shared" si="4"/>
        <v/>
      </c>
      <c r="D212" s="7"/>
      <c r="E212" s="7" t="str">
        <f t="array" ref="E212">XLOOKUP(D212,'Master Barang'!B:B,'Master Barang'!C:C,,0)</f>
        <v/>
      </c>
      <c r="F212" s="7"/>
      <c r="G212" s="19" t="str">
        <f>IFERROR(__xludf.DUMMYFUNCTION("IF(OR(E212="""",F212&lt;&gt;""Barang Datang""), """",
  IFERROR(
    INDEX(
      SORT(
        FILTER(Jadwal!F:F, Jadwal!C:C=E212),
        FILTER(Jadwal!E:E, Jadwal!C:C=E212),
        FALSE
      ),
      1
    ),
    ""TIDAK ADA JADWAL""
  )
)"),"")</f>
        <v/>
      </c>
      <c r="H212" s="7" t="str">
        <f t="shared" si="2"/>
        <v/>
      </c>
      <c r="L212" s="13"/>
      <c r="M212" s="13"/>
    </row>
    <row r="213" ht="15.75" customHeight="1">
      <c r="A213" s="14" t="str">
        <f t="shared" si="1"/>
        <v/>
      </c>
      <c r="B213" s="17" t="str">
        <f t="shared" si="3"/>
        <v/>
      </c>
      <c r="C213" s="18" t="str">
        <f t="shared" si="4"/>
        <v/>
      </c>
      <c r="D213" s="7"/>
      <c r="E213" s="7" t="str">
        <f t="array" ref="E213">XLOOKUP(D213,'Master Barang'!B:B,'Master Barang'!C:C,,0)</f>
        <v/>
      </c>
      <c r="F213" s="7"/>
      <c r="G213" s="19" t="str">
        <f>IFERROR(__xludf.DUMMYFUNCTION("IF(OR(E213="""",F213&lt;&gt;""Barang Datang""), """",
  IFERROR(
    INDEX(
      SORT(
        FILTER(Jadwal!F:F, Jadwal!C:C=E213),
        FILTER(Jadwal!E:E, Jadwal!C:C=E213),
        FALSE
      ),
      1
    ),
    ""TIDAK ADA JADWAL""
  )
)"),"")</f>
        <v/>
      </c>
      <c r="H213" s="7" t="str">
        <f t="shared" si="2"/>
        <v/>
      </c>
      <c r="L213" s="13"/>
      <c r="M213" s="13"/>
    </row>
    <row r="214" ht="15.75" customHeight="1">
      <c r="A214" s="14" t="str">
        <f t="shared" si="1"/>
        <v/>
      </c>
      <c r="B214" s="17" t="str">
        <f t="shared" si="3"/>
        <v/>
      </c>
      <c r="C214" s="18" t="str">
        <f t="shared" si="4"/>
        <v/>
      </c>
      <c r="D214" s="7"/>
      <c r="E214" s="7" t="str">
        <f t="array" ref="E214">XLOOKUP(D214,'Master Barang'!B:B,'Master Barang'!C:C,,0)</f>
        <v/>
      </c>
      <c r="F214" s="7"/>
      <c r="G214" s="19" t="str">
        <f>IFERROR(__xludf.DUMMYFUNCTION("IF(OR(E214="""",F214&lt;&gt;""Barang Datang""), """",
  IFERROR(
    INDEX(
      SORT(
        FILTER(Jadwal!F:F, Jadwal!C:C=E214),
        FILTER(Jadwal!E:E, Jadwal!C:C=E214),
        FALSE
      ),
      1
    ),
    ""TIDAK ADA JADWAL""
  )
)"),"")</f>
        <v/>
      </c>
      <c r="H214" s="7" t="str">
        <f t="shared" si="2"/>
        <v/>
      </c>
      <c r="L214" s="13"/>
      <c r="M214" s="13"/>
    </row>
    <row r="215" ht="15.75" customHeight="1">
      <c r="A215" s="14" t="str">
        <f t="shared" si="1"/>
        <v/>
      </c>
      <c r="B215" s="17" t="str">
        <f t="shared" si="3"/>
        <v/>
      </c>
      <c r="C215" s="18" t="str">
        <f t="shared" si="4"/>
        <v/>
      </c>
      <c r="D215" s="7"/>
      <c r="E215" s="7" t="str">
        <f t="array" ref="E215">XLOOKUP(D215,'Master Barang'!B:B,'Master Barang'!C:C,,0)</f>
        <v/>
      </c>
      <c r="F215" s="7"/>
      <c r="G215" s="19" t="str">
        <f>IFERROR(__xludf.DUMMYFUNCTION("IF(OR(E215="""",F215&lt;&gt;""Barang Datang""), """",
  IFERROR(
    INDEX(
      SORT(
        FILTER(Jadwal!F:F, Jadwal!C:C=E215),
        FILTER(Jadwal!E:E, Jadwal!C:C=E215),
        FALSE
      ),
      1
    ),
    ""TIDAK ADA JADWAL""
  )
)"),"")</f>
        <v/>
      </c>
      <c r="H215" s="7" t="str">
        <f t="shared" si="2"/>
        <v/>
      </c>
      <c r="L215" s="13"/>
      <c r="M215" s="13"/>
    </row>
    <row r="216" ht="15.75" customHeight="1">
      <c r="A216" s="14" t="str">
        <f t="shared" si="1"/>
        <v/>
      </c>
      <c r="B216" s="17" t="str">
        <f t="shared" si="3"/>
        <v/>
      </c>
      <c r="C216" s="18" t="str">
        <f t="shared" si="4"/>
        <v/>
      </c>
      <c r="D216" s="7"/>
      <c r="E216" s="7" t="str">
        <f t="array" ref="E216">XLOOKUP(D216,'Master Barang'!B:B,'Master Barang'!C:C,,0)</f>
        <v/>
      </c>
      <c r="F216" s="7"/>
      <c r="G216" s="19" t="str">
        <f>IFERROR(__xludf.DUMMYFUNCTION("IF(OR(E216="""",F216&lt;&gt;""Barang Datang""), """",
  IFERROR(
    INDEX(
      SORT(
        FILTER(Jadwal!F:F, Jadwal!C:C=E216),
        FILTER(Jadwal!E:E, Jadwal!C:C=E216),
        FALSE
      ),
      1
    ),
    ""TIDAK ADA JADWAL""
  )
)"),"")</f>
        <v/>
      </c>
      <c r="H216" s="7" t="str">
        <f t="shared" si="2"/>
        <v/>
      </c>
      <c r="L216" s="13"/>
      <c r="M216" s="13"/>
    </row>
    <row r="217" ht="15.75" customHeight="1">
      <c r="A217" s="14" t="str">
        <f t="shared" si="1"/>
        <v/>
      </c>
      <c r="B217" s="17" t="str">
        <f t="shared" si="3"/>
        <v/>
      </c>
      <c r="C217" s="18" t="str">
        <f t="shared" si="4"/>
        <v/>
      </c>
      <c r="D217" s="7"/>
      <c r="E217" s="7" t="str">
        <f t="array" ref="E217">XLOOKUP(D217,'Master Barang'!B:B,'Master Barang'!C:C,,0)</f>
        <v/>
      </c>
      <c r="F217" s="7"/>
      <c r="G217" s="19" t="str">
        <f>IFERROR(__xludf.DUMMYFUNCTION("IF(OR(E217="""",F217&lt;&gt;""Barang Datang""), """",
  IFERROR(
    INDEX(
      SORT(
        FILTER(Jadwal!F:F, Jadwal!C:C=E217),
        FILTER(Jadwal!E:E, Jadwal!C:C=E217),
        FALSE
      ),
      1
    ),
    ""TIDAK ADA JADWAL""
  )
)"),"")</f>
        <v/>
      </c>
      <c r="H217" s="7" t="str">
        <f t="shared" si="2"/>
        <v/>
      </c>
      <c r="L217" s="13"/>
      <c r="M217" s="13"/>
    </row>
    <row r="218" ht="15.75" customHeight="1">
      <c r="A218" s="14" t="str">
        <f t="shared" si="1"/>
        <v/>
      </c>
      <c r="B218" s="17" t="str">
        <f t="shared" si="3"/>
        <v/>
      </c>
      <c r="C218" s="18" t="str">
        <f t="shared" si="4"/>
        <v/>
      </c>
      <c r="D218" s="7"/>
      <c r="E218" s="7" t="str">
        <f t="array" ref="E218">XLOOKUP(D218,'Master Barang'!B:B,'Master Barang'!C:C,,0)</f>
        <v/>
      </c>
      <c r="F218" s="7"/>
      <c r="G218" s="19" t="str">
        <f>IFERROR(__xludf.DUMMYFUNCTION("IF(OR(E218="""",F218&lt;&gt;""Barang Datang""), """",
  IFERROR(
    INDEX(
      SORT(
        FILTER(Jadwal!F:F, Jadwal!C:C=E218),
        FILTER(Jadwal!E:E, Jadwal!C:C=E218),
        FALSE
      ),
      1
    ),
    ""TIDAK ADA JADWAL""
  )
)"),"")</f>
        <v/>
      </c>
      <c r="H218" s="7" t="str">
        <f t="shared" si="2"/>
        <v/>
      </c>
      <c r="L218" s="13"/>
      <c r="M218" s="13"/>
    </row>
    <row r="219" ht="15.75" customHeight="1">
      <c r="A219" s="14" t="str">
        <f t="shared" si="1"/>
        <v/>
      </c>
      <c r="B219" s="17" t="str">
        <f t="shared" si="3"/>
        <v/>
      </c>
      <c r="C219" s="18" t="str">
        <f t="shared" si="4"/>
        <v/>
      </c>
      <c r="D219" s="7"/>
      <c r="E219" s="7" t="str">
        <f t="array" ref="E219">XLOOKUP(D219,'Master Barang'!B:B,'Master Barang'!C:C,,0)</f>
        <v/>
      </c>
      <c r="F219" s="7"/>
      <c r="G219" s="19" t="str">
        <f>IFERROR(__xludf.DUMMYFUNCTION("IF(OR(E219="""",F219&lt;&gt;""Barang Datang""), """",
  IFERROR(
    INDEX(
      SORT(
        FILTER(Jadwal!F:F, Jadwal!C:C=E219),
        FILTER(Jadwal!E:E, Jadwal!C:C=E219),
        FALSE
      ),
      1
    ),
    ""TIDAK ADA JADWAL""
  )
)"),"")</f>
        <v/>
      </c>
      <c r="H219" s="7" t="str">
        <f t="shared" si="2"/>
        <v/>
      </c>
      <c r="L219" s="13"/>
      <c r="M219" s="13"/>
    </row>
    <row r="220" ht="15.75" customHeight="1">
      <c r="A220" s="14" t="str">
        <f t="shared" si="1"/>
        <v/>
      </c>
      <c r="B220" s="17" t="str">
        <f t="shared" si="3"/>
        <v/>
      </c>
      <c r="C220" s="18" t="str">
        <f t="shared" si="4"/>
        <v/>
      </c>
      <c r="D220" s="7"/>
      <c r="E220" s="7" t="str">
        <f t="array" ref="E220">XLOOKUP(D220,'Master Barang'!B:B,'Master Barang'!C:C,,0)</f>
        <v/>
      </c>
      <c r="F220" s="7"/>
      <c r="G220" s="19" t="str">
        <f>IFERROR(__xludf.DUMMYFUNCTION("IF(OR(E220="""",F220&lt;&gt;""Barang Datang""), """",
  IFERROR(
    INDEX(
      SORT(
        FILTER(Jadwal!F:F, Jadwal!C:C=E220),
        FILTER(Jadwal!E:E, Jadwal!C:C=E220),
        FALSE
      ),
      1
    ),
    ""TIDAK ADA JADWAL""
  )
)"),"")</f>
        <v/>
      </c>
      <c r="H220" s="7" t="str">
        <f t="shared" si="2"/>
        <v/>
      </c>
      <c r="L220" s="13"/>
      <c r="M220" s="13"/>
    </row>
    <row r="221" ht="15.75" customHeight="1">
      <c r="A221" s="14" t="str">
        <f t="shared" si="1"/>
        <v/>
      </c>
      <c r="B221" s="17" t="str">
        <f t="shared" si="3"/>
        <v/>
      </c>
      <c r="C221" s="18" t="str">
        <f t="shared" si="4"/>
        <v/>
      </c>
      <c r="D221" s="7"/>
      <c r="E221" s="7" t="str">
        <f t="array" ref="E221">XLOOKUP(D221,'Master Barang'!B:B,'Master Barang'!C:C,,0)</f>
        <v/>
      </c>
      <c r="F221" s="7"/>
      <c r="G221" s="19" t="str">
        <f>IFERROR(__xludf.DUMMYFUNCTION("IF(OR(E221="""",F221&lt;&gt;""Barang Datang""), """",
  IFERROR(
    INDEX(
      SORT(
        FILTER(Jadwal!F:F, Jadwal!C:C=E221),
        FILTER(Jadwal!E:E, Jadwal!C:C=E221),
        FALSE
      ),
      1
    ),
    ""TIDAK ADA JADWAL""
  )
)"),"")</f>
        <v/>
      </c>
      <c r="H221" s="7" t="str">
        <f t="shared" si="2"/>
        <v/>
      </c>
      <c r="L221" s="13"/>
      <c r="M221" s="13"/>
    </row>
    <row r="222" ht="15.75" customHeight="1">
      <c r="A222" s="14" t="str">
        <f t="shared" si="1"/>
        <v/>
      </c>
      <c r="B222" s="17" t="str">
        <f t="shared" si="3"/>
        <v/>
      </c>
      <c r="C222" s="18" t="str">
        <f t="shared" si="4"/>
        <v/>
      </c>
      <c r="D222" s="7"/>
      <c r="E222" s="7" t="str">
        <f t="array" ref="E222">XLOOKUP(D222,'Master Barang'!B:B,'Master Barang'!C:C,,0)</f>
        <v/>
      </c>
      <c r="F222" s="7"/>
      <c r="G222" s="19" t="str">
        <f>IFERROR(__xludf.DUMMYFUNCTION("IF(OR(E222="""",F222&lt;&gt;""Barang Datang""), """",
  IFERROR(
    INDEX(
      SORT(
        FILTER(Jadwal!F:F, Jadwal!C:C=E222),
        FILTER(Jadwal!E:E, Jadwal!C:C=E222),
        FALSE
      ),
      1
    ),
    ""TIDAK ADA JADWAL""
  )
)"),"")</f>
        <v/>
      </c>
      <c r="H222" s="7" t="str">
        <f t="shared" si="2"/>
        <v/>
      </c>
      <c r="L222" s="13"/>
      <c r="M222" s="13"/>
    </row>
    <row r="223" ht="15.75" customHeight="1">
      <c r="A223" s="14" t="str">
        <f t="shared" si="1"/>
        <v/>
      </c>
      <c r="B223" s="17" t="str">
        <f t="shared" si="3"/>
        <v/>
      </c>
      <c r="C223" s="18" t="str">
        <f t="shared" si="4"/>
        <v/>
      </c>
      <c r="D223" s="7"/>
      <c r="E223" s="7" t="str">
        <f t="array" ref="E223">XLOOKUP(D223,'Master Barang'!B:B,'Master Barang'!C:C,,0)</f>
        <v/>
      </c>
      <c r="F223" s="7"/>
      <c r="G223" s="19" t="str">
        <f>IFERROR(__xludf.DUMMYFUNCTION("IF(OR(E223="""",F223&lt;&gt;""Barang Datang""), """",
  IFERROR(
    INDEX(
      SORT(
        FILTER(Jadwal!F:F, Jadwal!C:C=E223),
        FILTER(Jadwal!E:E, Jadwal!C:C=E223),
        FALSE
      ),
      1
    ),
    ""TIDAK ADA JADWAL""
  )
)"),"")</f>
        <v/>
      </c>
      <c r="H223" s="7" t="str">
        <f t="shared" si="2"/>
        <v/>
      </c>
      <c r="L223" s="13"/>
      <c r="M223" s="13"/>
    </row>
    <row r="224" ht="15.75" customHeight="1">
      <c r="A224" s="14" t="str">
        <f t="shared" si="1"/>
        <v/>
      </c>
      <c r="B224" s="17" t="str">
        <f t="shared" si="3"/>
        <v/>
      </c>
      <c r="C224" s="18" t="str">
        <f t="shared" si="4"/>
        <v/>
      </c>
      <c r="D224" s="7"/>
      <c r="E224" s="7" t="str">
        <f t="array" ref="E224">XLOOKUP(D224,'Master Barang'!B:B,'Master Barang'!C:C,,0)</f>
        <v/>
      </c>
      <c r="F224" s="7"/>
      <c r="G224" s="19" t="str">
        <f>IFERROR(__xludf.DUMMYFUNCTION("IF(OR(E224="""",F224&lt;&gt;""Barang Datang""), """",
  IFERROR(
    INDEX(
      SORT(
        FILTER(Jadwal!F:F, Jadwal!C:C=E224),
        FILTER(Jadwal!E:E, Jadwal!C:C=E224),
        FALSE
      ),
      1
    ),
    ""TIDAK ADA JADWAL""
  )
)"),"")</f>
        <v/>
      </c>
      <c r="H224" s="7" t="str">
        <f t="shared" si="2"/>
        <v/>
      </c>
      <c r="L224" s="13"/>
      <c r="M224" s="13"/>
    </row>
    <row r="225" ht="15.75" customHeight="1">
      <c r="A225" s="14" t="str">
        <f t="shared" si="1"/>
        <v/>
      </c>
      <c r="B225" s="17" t="str">
        <f t="shared" si="3"/>
        <v/>
      </c>
      <c r="C225" s="18" t="str">
        <f t="shared" si="4"/>
        <v/>
      </c>
      <c r="D225" s="7"/>
      <c r="E225" s="7" t="str">
        <f t="array" ref="E225">XLOOKUP(D225,'Master Barang'!B:B,'Master Barang'!C:C,,0)</f>
        <v/>
      </c>
      <c r="F225" s="7"/>
      <c r="G225" s="19" t="str">
        <f>IFERROR(__xludf.DUMMYFUNCTION("IF(OR(E225="""",F225&lt;&gt;""Barang Datang""), """",
  IFERROR(
    INDEX(
      SORT(
        FILTER(Jadwal!F:F, Jadwal!C:C=E225),
        FILTER(Jadwal!E:E, Jadwal!C:C=E225),
        FALSE
      ),
      1
    ),
    ""TIDAK ADA JADWAL""
  )
)"),"")</f>
        <v/>
      </c>
      <c r="H225" s="7" t="str">
        <f t="shared" si="2"/>
        <v/>
      </c>
      <c r="L225" s="13"/>
      <c r="M225" s="13"/>
    </row>
    <row r="226" ht="15.75" customHeight="1">
      <c r="A226" s="14" t="str">
        <f t="shared" si="1"/>
        <v/>
      </c>
      <c r="B226" s="17" t="str">
        <f t="shared" si="3"/>
        <v/>
      </c>
      <c r="C226" s="18" t="str">
        <f t="shared" si="4"/>
        <v/>
      </c>
      <c r="D226" s="7"/>
      <c r="E226" s="7" t="str">
        <f t="array" ref="E226">XLOOKUP(D226,'Master Barang'!B:B,'Master Barang'!C:C,,0)</f>
        <v/>
      </c>
      <c r="F226" s="7"/>
      <c r="G226" s="19" t="str">
        <f>IFERROR(__xludf.DUMMYFUNCTION("IF(OR(E226="""",F226&lt;&gt;""Barang Datang""), """",
  IFERROR(
    INDEX(
      SORT(
        FILTER(Jadwal!F:F, Jadwal!C:C=E226),
        FILTER(Jadwal!E:E, Jadwal!C:C=E226),
        FALSE
      ),
      1
    ),
    ""TIDAK ADA JADWAL""
  )
)"),"")</f>
        <v/>
      </c>
      <c r="H226" s="7" t="str">
        <f t="shared" si="2"/>
        <v/>
      </c>
      <c r="L226" s="13"/>
      <c r="M226" s="13"/>
    </row>
    <row r="227" ht="15.75" customHeight="1">
      <c r="A227" s="14" t="str">
        <f t="shared" si="1"/>
        <v/>
      </c>
      <c r="B227" s="17" t="str">
        <f t="shared" si="3"/>
        <v/>
      </c>
      <c r="C227" s="18" t="str">
        <f t="shared" si="4"/>
        <v/>
      </c>
      <c r="D227" s="7"/>
      <c r="E227" s="7" t="str">
        <f t="array" ref="E227">XLOOKUP(D227,'Master Barang'!B:B,'Master Barang'!C:C,,0)</f>
        <v/>
      </c>
      <c r="F227" s="7"/>
      <c r="G227" s="19" t="str">
        <f>IFERROR(__xludf.DUMMYFUNCTION("IF(OR(E227="""",F227&lt;&gt;""Barang Datang""), """",
  IFERROR(
    INDEX(
      SORT(
        FILTER(Jadwal!F:F, Jadwal!C:C=E227),
        FILTER(Jadwal!E:E, Jadwal!C:C=E227),
        FALSE
      ),
      1
    ),
    ""TIDAK ADA JADWAL""
  )
)"),"")</f>
        <v/>
      </c>
      <c r="H227" s="7" t="str">
        <f t="shared" si="2"/>
        <v/>
      </c>
      <c r="L227" s="13"/>
      <c r="M227" s="13"/>
    </row>
    <row r="228" ht="15.75" customHeight="1">
      <c r="A228" s="14" t="str">
        <f t="shared" si="1"/>
        <v/>
      </c>
      <c r="B228" s="17" t="str">
        <f t="shared" si="3"/>
        <v/>
      </c>
      <c r="C228" s="18" t="str">
        <f t="shared" si="4"/>
        <v/>
      </c>
      <c r="D228" s="7"/>
      <c r="E228" s="7" t="str">
        <f t="array" ref="E228">XLOOKUP(D228,'Master Barang'!B:B,'Master Barang'!C:C,,0)</f>
        <v/>
      </c>
      <c r="F228" s="7"/>
      <c r="G228" s="19" t="str">
        <f>IFERROR(__xludf.DUMMYFUNCTION("IF(OR(E228="""",F228&lt;&gt;""Barang Datang""), """",
  IFERROR(
    INDEX(
      SORT(
        FILTER(Jadwal!F:F, Jadwal!C:C=E228),
        FILTER(Jadwal!E:E, Jadwal!C:C=E228),
        FALSE
      ),
      1
    ),
    ""TIDAK ADA JADWAL""
  )
)"),"")</f>
        <v/>
      </c>
      <c r="H228" s="7" t="str">
        <f t="shared" si="2"/>
        <v/>
      </c>
      <c r="L228" s="13"/>
      <c r="M228" s="13"/>
    </row>
    <row r="229" ht="15.75" customHeight="1">
      <c r="A229" s="14" t="str">
        <f t="shared" si="1"/>
        <v/>
      </c>
      <c r="B229" s="17" t="str">
        <f t="shared" si="3"/>
        <v/>
      </c>
      <c r="C229" s="18" t="str">
        <f t="shared" si="4"/>
        <v/>
      </c>
      <c r="D229" s="7"/>
      <c r="E229" s="7" t="str">
        <f t="array" ref="E229">XLOOKUP(D229,'Master Barang'!B:B,'Master Barang'!C:C,,0)</f>
        <v/>
      </c>
      <c r="F229" s="7"/>
      <c r="G229" s="19" t="str">
        <f>IFERROR(__xludf.DUMMYFUNCTION("IF(OR(E229="""",F229&lt;&gt;""Barang Datang""), """",
  IFERROR(
    INDEX(
      SORT(
        FILTER(Jadwal!F:F, Jadwal!C:C=E229),
        FILTER(Jadwal!E:E, Jadwal!C:C=E229),
        FALSE
      ),
      1
    ),
    ""TIDAK ADA JADWAL""
  )
)"),"")</f>
        <v/>
      </c>
      <c r="H229" s="7" t="str">
        <f t="shared" si="2"/>
        <v/>
      </c>
      <c r="L229" s="13"/>
      <c r="M229" s="13"/>
    </row>
    <row r="230" ht="15.75" customHeight="1">
      <c r="A230" s="14" t="str">
        <f t="shared" si="1"/>
        <v/>
      </c>
      <c r="B230" s="17" t="str">
        <f t="shared" si="3"/>
        <v/>
      </c>
      <c r="C230" s="18" t="str">
        <f t="shared" si="4"/>
        <v/>
      </c>
      <c r="D230" s="7"/>
      <c r="E230" s="7" t="str">
        <f t="array" ref="E230">XLOOKUP(D230,'Master Barang'!B:B,'Master Barang'!C:C,,0)</f>
        <v/>
      </c>
      <c r="F230" s="7"/>
      <c r="G230" s="19" t="str">
        <f>IFERROR(__xludf.DUMMYFUNCTION("IF(OR(E230="""",F230&lt;&gt;""Barang Datang""), """",
  IFERROR(
    INDEX(
      SORT(
        FILTER(Jadwal!F:F, Jadwal!C:C=E230),
        FILTER(Jadwal!E:E, Jadwal!C:C=E230),
        FALSE
      ),
      1
    ),
    ""TIDAK ADA JADWAL""
  )
)"),"")</f>
        <v/>
      </c>
      <c r="H230" s="7" t="str">
        <f t="shared" si="2"/>
        <v/>
      </c>
      <c r="L230" s="13"/>
      <c r="M230" s="13"/>
    </row>
    <row r="231" ht="15.75" customHeight="1">
      <c r="A231" s="14" t="str">
        <f t="shared" si="1"/>
        <v/>
      </c>
      <c r="B231" s="17" t="str">
        <f t="shared" si="3"/>
        <v/>
      </c>
      <c r="C231" s="18" t="str">
        <f t="shared" si="4"/>
        <v/>
      </c>
      <c r="D231" s="7"/>
      <c r="E231" s="7" t="str">
        <f t="array" ref="E231">XLOOKUP(D231,'Master Barang'!B:B,'Master Barang'!C:C,,0)</f>
        <v/>
      </c>
      <c r="F231" s="7"/>
      <c r="G231" s="19" t="str">
        <f>IFERROR(__xludf.DUMMYFUNCTION("IF(OR(E231="""",F231&lt;&gt;""Barang Datang""), """",
  IFERROR(
    INDEX(
      SORT(
        FILTER(Jadwal!F:F, Jadwal!C:C=E231),
        FILTER(Jadwal!E:E, Jadwal!C:C=E231),
        FALSE
      ),
      1
    ),
    ""TIDAK ADA JADWAL""
  )
)"),"")</f>
        <v/>
      </c>
      <c r="H231" s="7" t="str">
        <f t="shared" si="2"/>
        <v/>
      </c>
      <c r="L231" s="13"/>
      <c r="M231" s="13"/>
    </row>
    <row r="232" ht="15.75" customHeight="1">
      <c r="A232" s="14" t="str">
        <f t="shared" si="1"/>
        <v/>
      </c>
      <c r="B232" s="17" t="str">
        <f t="shared" si="3"/>
        <v/>
      </c>
      <c r="C232" s="18" t="str">
        <f t="shared" si="4"/>
        <v/>
      </c>
      <c r="D232" s="7"/>
      <c r="E232" s="7" t="str">
        <f t="array" ref="E232">XLOOKUP(D232,'Master Barang'!B:B,'Master Barang'!C:C,,0)</f>
        <v/>
      </c>
      <c r="F232" s="7"/>
      <c r="G232" s="19" t="str">
        <f>IFERROR(__xludf.DUMMYFUNCTION("IF(OR(E232="""",F232&lt;&gt;""Barang Datang""), """",
  IFERROR(
    INDEX(
      SORT(
        FILTER(Jadwal!F:F, Jadwal!C:C=E232),
        FILTER(Jadwal!E:E, Jadwal!C:C=E232),
        FALSE
      ),
      1
    ),
    ""TIDAK ADA JADWAL""
  )
)"),"")</f>
        <v/>
      </c>
      <c r="H232" s="7" t="str">
        <f t="shared" si="2"/>
        <v/>
      </c>
      <c r="L232" s="13"/>
      <c r="M232" s="13"/>
    </row>
    <row r="233" ht="15.75" customHeight="1">
      <c r="A233" s="14" t="str">
        <f t="shared" si="1"/>
        <v/>
      </c>
      <c r="B233" s="17" t="str">
        <f t="shared" si="3"/>
        <v/>
      </c>
      <c r="C233" s="18" t="str">
        <f t="shared" si="4"/>
        <v/>
      </c>
      <c r="D233" s="7"/>
      <c r="E233" s="7" t="str">
        <f t="array" ref="E233">XLOOKUP(D233,'Master Barang'!B:B,'Master Barang'!C:C,,0)</f>
        <v/>
      </c>
      <c r="F233" s="7"/>
      <c r="G233" s="19" t="str">
        <f>IFERROR(__xludf.DUMMYFUNCTION("IF(OR(E233="""",F233&lt;&gt;""Barang Datang""), """",
  IFERROR(
    INDEX(
      SORT(
        FILTER(Jadwal!F:F, Jadwal!C:C=E233),
        FILTER(Jadwal!E:E, Jadwal!C:C=E233),
        FALSE
      ),
      1
    ),
    ""TIDAK ADA JADWAL""
  )
)"),"")</f>
        <v/>
      </c>
      <c r="H233" s="7" t="str">
        <f t="shared" si="2"/>
        <v/>
      </c>
      <c r="L233" s="13"/>
      <c r="M233" s="13"/>
    </row>
    <row r="234" ht="15.75" customHeight="1">
      <c r="A234" s="14" t="str">
        <f t="shared" si="1"/>
        <v/>
      </c>
      <c r="B234" s="17" t="str">
        <f t="shared" si="3"/>
        <v/>
      </c>
      <c r="C234" s="18" t="str">
        <f t="shared" si="4"/>
        <v/>
      </c>
      <c r="D234" s="7"/>
      <c r="E234" s="7" t="str">
        <f t="array" ref="E234">XLOOKUP(D234,'Master Barang'!B:B,'Master Barang'!C:C,,0)</f>
        <v/>
      </c>
      <c r="F234" s="7"/>
      <c r="G234" s="19" t="str">
        <f>IFERROR(__xludf.DUMMYFUNCTION("IF(OR(E234="""",F234&lt;&gt;""Barang Datang""), """",
  IFERROR(
    INDEX(
      SORT(
        FILTER(Jadwal!F:F, Jadwal!C:C=E234),
        FILTER(Jadwal!E:E, Jadwal!C:C=E234),
        FALSE
      ),
      1
    ),
    ""TIDAK ADA JADWAL""
  )
)"),"")</f>
        <v/>
      </c>
      <c r="H234" s="7" t="str">
        <f t="shared" si="2"/>
        <v/>
      </c>
      <c r="L234" s="13"/>
      <c r="M234" s="13"/>
    </row>
    <row r="235" ht="15.75" customHeight="1">
      <c r="A235" s="14" t="str">
        <f t="shared" si="1"/>
        <v/>
      </c>
      <c r="B235" s="17" t="str">
        <f t="shared" si="3"/>
        <v/>
      </c>
      <c r="C235" s="18" t="str">
        <f t="shared" si="4"/>
        <v/>
      </c>
      <c r="D235" s="7"/>
      <c r="E235" s="7" t="str">
        <f t="array" ref="E235">XLOOKUP(D235,'Master Barang'!B:B,'Master Barang'!C:C,,0)</f>
        <v/>
      </c>
      <c r="F235" s="7"/>
      <c r="G235" s="19" t="str">
        <f>IFERROR(__xludf.DUMMYFUNCTION("IF(OR(E235="""",F235&lt;&gt;""Barang Datang""), """",
  IFERROR(
    INDEX(
      SORT(
        FILTER(Jadwal!F:F, Jadwal!C:C=E235),
        FILTER(Jadwal!E:E, Jadwal!C:C=E235),
        FALSE
      ),
      1
    ),
    ""TIDAK ADA JADWAL""
  )
)"),"")</f>
        <v/>
      </c>
      <c r="H235" s="7" t="str">
        <f t="shared" si="2"/>
        <v/>
      </c>
      <c r="L235" s="13"/>
      <c r="M235" s="13"/>
    </row>
    <row r="236" ht="15.75" customHeight="1">
      <c r="A236" s="14" t="str">
        <f t="shared" si="1"/>
        <v/>
      </c>
      <c r="B236" s="17" t="str">
        <f t="shared" si="3"/>
        <v/>
      </c>
      <c r="C236" s="18" t="str">
        <f t="shared" si="4"/>
        <v/>
      </c>
      <c r="D236" s="7"/>
      <c r="E236" s="7" t="str">
        <f t="array" ref="E236">XLOOKUP(D236,'Master Barang'!B:B,'Master Barang'!C:C,,0)</f>
        <v/>
      </c>
      <c r="F236" s="7"/>
      <c r="G236" s="19" t="str">
        <f>IFERROR(__xludf.DUMMYFUNCTION("IF(OR(E236="""",F236&lt;&gt;""Barang Datang""), """",
  IFERROR(
    INDEX(
      SORT(
        FILTER(Jadwal!F:F, Jadwal!C:C=E236),
        FILTER(Jadwal!E:E, Jadwal!C:C=E236),
        FALSE
      ),
      1
    ),
    ""TIDAK ADA JADWAL""
  )
)"),"")</f>
        <v/>
      </c>
      <c r="H236" s="7" t="str">
        <f t="shared" si="2"/>
        <v/>
      </c>
      <c r="L236" s="13"/>
      <c r="M236" s="13"/>
    </row>
    <row r="237" ht="15.75" customHeight="1">
      <c r="A237" s="14" t="str">
        <f t="shared" si="1"/>
        <v/>
      </c>
      <c r="B237" s="17" t="str">
        <f t="shared" si="3"/>
        <v/>
      </c>
      <c r="C237" s="18" t="str">
        <f t="shared" si="4"/>
        <v/>
      </c>
      <c r="D237" s="7"/>
      <c r="E237" s="7" t="str">
        <f t="array" ref="E237">XLOOKUP(D237,'Master Barang'!B:B,'Master Barang'!C:C,,0)</f>
        <v/>
      </c>
      <c r="F237" s="7"/>
      <c r="G237" s="19" t="str">
        <f>IFERROR(__xludf.DUMMYFUNCTION("IF(OR(E237="""",F237&lt;&gt;""Barang Datang""), """",
  IFERROR(
    INDEX(
      SORT(
        FILTER(Jadwal!F:F, Jadwal!C:C=E237),
        FILTER(Jadwal!E:E, Jadwal!C:C=E237),
        FALSE
      ),
      1
    ),
    ""TIDAK ADA JADWAL""
  )
)"),"")</f>
        <v/>
      </c>
      <c r="H237" s="7" t="str">
        <f t="shared" si="2"/>
        <v/>
      </c>
      <c r="L237" s="13"/>
      <c r="M237" s="13"/>
    </row>
    <row r="238" ht="15.75" customHeight="1">
      <c r="A238" s="14" t="str">
        <f t="shared" si="1"/>
        <v/>
      </c>
      <c r="B238" s="17" t="str">
        <f t="shared" si="3"/>
        <v/>
      </c>
      <c r="C238" s="18" t="str">
        <f t="shared" si="4"/>
        <v/>
      </c>
      <c r="D238" s="7"/>
      <c r="E238" s="7" t="str">
        <f t="array" ref="E238">XLOOKUP(D238,'Master Barang'!B:B,'Master Barang'!C:C,,0)</f>
        <v/>
      </c>
      <c r="F238" s="7"/>
      <c r="G238" s="19" t="str">
        <f>IFERROR(__xludf.DUMMYFUNCTION("IF(OR(E238="""",F238&lt;&gt;""Barang Datang""), """",
  IFERROR(
    INDEX(
      SORT(
        FILTER(Jadwal!F:F, Jadwal!C:C=E238),
        FILTER(Jadwal!E:E, Jadwal!C:C=E238),
        FALSE
      ),
      1
    ),
    ""TIDAK ADA JADWAL""
  )
)"),"")</f>
        <v/>
      </c>
      <c r="H238" s="7" t="str">
        <f t="shared" si="2"/>
        <v/>
      </c>
      <c r="L238" s="13"/>
      <c r="M238" s="13"/>
    </row>
    <row r="239" ht="15.75" customHeight="1">
      <c r="A239" s="14" t="str">
        <f t="shared" si="1"/>
        <v/>
      </c>
      <c r="B239" s="17" t="str">
        <f t="shared" si="3"/>
        <v/>
      </c>
      <c r="C239" s="18" t="str">
        <f t="shared" si="4"/>
        <v/>
      </c>
      <c r="D239" s="7"/>
      <c r="E239" s="7" t="str">
        <f t="array" ref="E239">XLOOKUP(D239,'Master Barang'!B:B,'Master Barang'!C:C,,0)</f>
        <v/>
      </c>
      <c r="F239" s="7"/>
      <c r="G239" s="19" t="str">
        <f>IFERROR(__xludf.DUMMYFUNCTION("IF(OR(E239="""",F239&lt;&gt;""Barang Datang""), """",
  IFERROR(
    INDEX(
      SORT(
        FILTER(Jadwal!F:F, Jadwal!C:C=E239),
        FILTER(Jadwal!E:E, Jadwal!C:C=E239),
        FALSE
      ),
      1
    ),
    ""TIDAK ADA JADWAL""
  )
)"),"")</f>
        <v/>
      </c>
      <c r="H239" s="7" t="str">
        <f t="shared" si="2"/>
        <v/>
      </c>
      <c r="L239" s="13"/>
      <c r="M239" s="13"/>
    </row>
    <row r="240" ht="15.75" customHeight="1">
      <c r="A240" s="14" t="str">
        <f t="shared" si="1"/>
        <v/>
      </c>
      <c r="B240" s="17" t="str">
        <f t="shared" si="3"/>
        <v/>
      </c>
      <c r="C240" s="18" t="str">
        <f t="shared" si="4"/>
        <v/>
      </c>
      <c r="D240" s="7"/>
      <c r="E240" s="7" t="str">
        <f t="array" ref="E240">XLOOKUP(D240,'Master Barang'!B:B,'Master Barang'!C:C,,0)</f>
        <v/>
      </c>
      <c r="F240" s="7"/>
      <c r="G240" s="19" t="str">
        <f>IFERROR(__xludf.DUMMYFUNCTION("IF(OR(E240="""",F240&lt;&gt;""Barang Datang""), """",
  IFERROR(
    INDEX(
      SORT(
        FILTER(Jadwal!F:F, Jadwal!C:C=E240),
        FILTER(Jadwal!E:E, Jadwal!C:C=E240),
        FALSE
      ),
      1
    ),
    ""TIDAK ADA JADWAL""
  )
)"),"")</f>
        <v/>
      </c>
      <c r="H240" s="7" t="str">
        <f t="shared" si="2"/>
        <v/>
      </c>
      <c r="L240" s="13"/>
      <c r="M240" s="13"/>
    </row>
    <row r="241" ht="15.75" customHeight="1">
      <c r="A241" s="14" t="str">
        <f t="shared" si="1"/>
        <v/>
      </c>
      <c r="B241" s="17" t="str">
        <f t="shared" si="3"/>
        <v/>
      </c>
      <c r="C241" s="18" t="str">
        <f t="shared" si="4"/>
        <v/>
      </c>
      <c r="D241" s="7"/>
      <c r="E241" s="7" t="str">
        <f t="array" ref="E241">XLOOKUP(D241,'Master Barang'!B:B,'Master Barang'!C:C,,0)</f>
        <v/>
      </c>
      <c r="F241" s="7"/>
      <c r="G241" s="19" t="str">
        <f>IFERROR(__xludf.DUMMYFUNCTION("IF(OR(E241="""",F241&lt;&gt;""Barang Datang""), """",
  IFERROR(
    INDEX(
      SORT(
        FILTER(Jadwal!F:F, Jadwal!C:C=E241),
        FILTER(Jadwal!E:E, Jadwal!C:C=E241),
        FALSE
      ),
      1
    ),
    ""TIDAK ADA JADWAL""
  )
)"),"")</f>
        <v/>
      </c>
      <c r="H241" s="7" t="str">
        <f t="shared" si="2"/>
        <v/>
      </c>
      <c r="L241" s="13"/>
      <c r="M241" s="13"/>
    </row>
    <row r="242" ht="15.75" customHeight="1">
      <c r="A242" s="14" t="str">
        <f t="shared" si="1"/>
        <v/>
      </c>
      <c r="B242" s="17" t="str">
        <f t="shared" si="3"/>
        <v/>
      </c>
      <c r="C242" s="18" t="str">
        <f t="shared" si="4"/>
        <v/>
      </c>
      <c r="D242" s="7"/>
      <c r="E242" s="7" t="str">
        <f t="array" ref="E242">XLOOKUP(D242,'Master Barang'!B:B,'Master Barang'!C:C,,0)</f>
        <v/>
      </c>
      <c r="F242" s="7"/>
      <c r="G242" s="19" t="str">
        <f>IFERROR(__xludf.DUMMYFUNCTION("IF(OR(E242="""",F242&lt;&gt;""Barang Datang""), """",
  IFERROR(
    INDEX(
      SORT(
        FILTER(Jadwal!F:F, Jadwal!C:C=E242),
        FILTER(Jadwal!E:E, Jadwal!C:C=E242),
        FALSE
      ),
      1
    ),
    ""TIDAK ADA JADWAL""
  )
)"),"")</f>
        <v/>
      </c>
      <c r="H242" s="7" t="str">
        <f t="shared" si="2"/>
        <v/>
      </c>
      <c r="L242" s="13"/>
      <c r="M242" s="13"/>
    </row>
    <row r="243" ht="15.75" customHeight="1">
      <c r="A243" s="14" t="str">
        <f t="shared" si="1"/>
        <v/>
      </c>
      <c r="B243" s="17" t="str">
        <f t="shared" si="3"/>
        <v/>
      </c>
      <c r="C243" s="18" t="str">
        <f t="shared" si="4"/>
        <v/>
      </c>
      <c r="D243" s="7"/>
      <c r="E243" s="7" t="str">
        <f t="array" ref="E243">XLOOKUP(D243,'Master Barang'!B:B,'Master Barang'!C:C,,0)</f>
        <v/>
      </c>
      <c r="F243" s="7"/>
      <c r="G243" s="19" t="str">
        <f>IFERROR(__xludf.DUMMYFUNCTION("IF(OR(E243="""",F243&lt;&gt;""Barang Datang""), """",
  IFERROR(
    INDEX(
      SORT(
        FILTER(Jadwal!F:F, Jadwal!C:C=E243),
        FILTER(Jadwal!E:E, Jadwal!C:C=E243),
        FALSE
      ),
      1
    ),
    ""TIDAK ADA JADWAL""
  )
)"),"")</f>
        <v/>
      </c>
      <c r="H243" s="7" t="str">
        <f t="shared" si="2"/>
        <v/>
      </c>
      <c r="L243" s="13"/>
      <c r="M243" s="13"/>
    </row>
    <row r="244" ht="15.75" customHeight="1">
      <c r="A244" s="14" t="str">
        <f t="shared" si="1"/>
        <v/>
      </c>
      <c r="B244" s="17" t="str">
        <f t="shared" si="3"/>
        <v/>
      </c>
      <c r="C244" s="18" t="str">
        <f t="shared" si="4"/>
        <v/>
      </c>
      <c r="D244" s="7"/>
      <c r="E244" s="7" t="str">
        <f t="array" ref="E244">XLOOKUP(D244,'Master Barang'!B:B,'Master Barang'!C:C,,0)</f>
        <v/>
      </c>
      <c r="F244" s="7"/>
      <c r="G244" s="19" t="str">
        <f>IFERROR(__xludf.DUMMYFUNCTION("IF(OR(E244="""",F244&lt;&gt;""Barang Datang""), """",
  IFERROR(
    INDEX(
      SORT(
        FILTER(Jadwal!F:F, Jadwal!C:C=E244),
        FILTER(Jadwal!E:E, Jadwal!C:C=E244),
        FALSE
      ),
      1
    ),
    ""TIDAK ADA JADWAL""
  )
)"),"")</f>
        <v/>
      </c>
      <c r="H244" s="7" t="str">
        <f t="shared" si="2"/>
        <v/>
      </c>
      <c r="L244" s="13"/>
      <c r="M244" s="13"/>
    </row>
    <row r="245" ht="15.75" customHeight="1">
      <c r="A245" s="14" t="str">
        <f t="shared" si="1"/>
        <v/>
      </c>
      <c r="B245" s="17" t="str">
        <f t="shared" si="3"/>
        <v/>
      </c>
      <c r="C245" s="18" t="str">
        <f t="shared" si="4"/>
        <v/>
      </c>
      <c r="D245" s="7"/>
      <c r="E245" s="7" t="str">
        <f t="array" ref="E245">XLOOKUP(D245,'Master Barang'!B:B,'Master Barang'!C:C,,0)</f>
        <v/>
      </c>
      <c r="F245" s="7"/>
      <c r="G245" s="19" t="str">
        <f>IFERROR(__xludf.DUMMYFUNCTION("IF(OR(E245="""",F245&lt;&gt;""Barang Datang""), """",
  IFERROR(
    INDEX(
      SORT(
        FILTER(Jadwal!F:F, Jadwal!C:C=E245),
        FILTER(Jadwal!E:E, Jadwal!C:C=E245),
        FALSE
      ),
      1
    ),
    ""TIDAK ADA JADWAL""
  )
)"),"")</f>
        <v/>
      </c>
      <c r="H245" s="7" t="str">
        <f t="shared" si="2"/>
        <v/>
      </c>
      <c r="L245" s="13"/>
      <c r="M245" s="13"/>
    </row>
    <row r="246" ht="15.75" customHeight="1">
      <c r="A246" s="14" t="str">
        <f t="shared" si="1"/>
        <v/>
      </c>
      <c r="B246" s="17" t="str">
        <f t="shared" si="3"/>
        <v/>
      </c>
      <c r="C246" s="18" t="str">
        <f t="shared" si="4"/>
        <v/>
      </c>
      <c r="D246" s="7"/>
      <c r="E246" s="7" t="str">
        <f t="array" ref="E246">XLOOKUP(D246,'Master Barang'!B:B,'Master Barang'!C:C,,0)</f>
        <v/>
      </c>
      <c r="F246" s="7"/>
      <c r="G246" s="19" t="str">
        <f>IFERROR(__xludf.DUMMYFUNCTION("IF(OR(E246="""",F246&lt;&gt;""Barang Datang""), """",
  IFERROR(
    INDEX(
      SORT(
        FILTER(Jadwal!F:F, Jadwal!C:C=E246),
        FILTER(Jadwal!E:E, Jadwal!C:C=E246),
        FALSE
      ),
      1
    ),
    ""TIDAK ADA JADWAL""
  )
)"),"")</f>
        <v/>
      </c>
      <c r="H246" s="7" t="str">
        <f t="shared" si="2"/>
        <v/>
      </c>
      <c r="L246" s="13"/>
      <c r="M246" s="13"/>
    </row>
    <row r="247" ht="15.75" customHeight="1">
      <c r="A247" s="14" t="str">
        <f t="shared" si="1"/>
        <v/>
      </c>
      <c r="B247" s="17" t="str">
        <f t="shared" si="3"/>
        <v/>
      </c>
      <c r="C247" s="18" t="str">
        <f t="shared" si="4"/>
        <v/>
      </c>
      <c r="D247" s="7"/>
      <c r="E247" s="7" t="str">
        <f t="array" ref="E247">XLOOKUP(D247,'Master Barang'!B:B,'Master Barang'!C:C,,0)</f>
        <v/>
      </c>
      <c r="F247" s="7"/>
      <c r="G247" s="19" t="str">
        <f>IFERROR(__xludf.DUMMYFUNCTION("IF(OR(E247="""",F247&lt;&gt;""Barang Datang""), """",
  IFERROR(
    INDEX(
      SORT(
        FILTER(Jadwal!F:F, Jadwal!C:C=E247),
        FILTER(Jadwal!E:E, Jadwal!C:C=E247),
        FALSE
      ),
      1
    ),
    ""TIDAK ADA JADWAL""
  )
)"),"")</f>
        <v/>
      </c>
      <c r="H247" s="7" t="str">
        <f t="shared" si="2"/>
        <v/>
      </c>
      <c r="L247" s="13"/>
      <c r="M247" s="13"/>
    </row>
    <row r="248" ht="15.75" customHeight="1">
      <c r="A248" s="14" t="str">
        <f t="shared" si="1"/>
        <v/>
      </c>
      <c r="B248" s="17" t="str">
        <f t="shared" si="3"/>
        <v/>
      </c>
      <c r="C248" s="18" t="str">
        <f t="shared" si="4"/>
        <v/>
      </c>
      <c r="D248" s="7"/>
      <c r="E248" s="7" t="str">
        <f t="array" ref="E248">XLOOKUP(D248,'Master Barang'!B:B,'Master Barang'!C:C,,0)</f>
        <v/>
      </c>
      <c r="F248" s="7"/>
      <c r="G248" s="19" t="str">
        <f>IFERROR(__xludf.DUMMYFUNCTION("IF(OR(E248="""",F248&lt;&gt;""Barang Datang""), """",
  IFERROR(
    INDEX(
      SORT(
        FILTER(Jadwal!F:F, Jadwal!C:C=E248),
        FILTER(Jadwal!E:E, Jadwal!C:C=E248),
        FALSE
      ),
      1
    ),
    ""TIDAK ADA JADWAL""
  )
)"),"")</f>
        <v/>
      </c>
      <c r="H248" s="7" t="str">
        <f t="shared" si="2"/>
        <v/>
      </c>
      <c r="L248" s="13"/>
      <c r="M248" s="13"/>
    </row>
    <row r="249" ht="15.75" customHeight="1">
      <c r="A249" s="14" t="str">
        <f t="shared" si="1"/>
        <v/>
      </c>
      <c r="B249" s="17" t="str">
        <f t="shared" si="3"/>
        <v/>
      </c>
      <c r="C249" s="18" t="str">
        <f t="shared" si="4"/>
        <v/>
      </c>
      <c r="D249" s="7"/>
      <c r="E249" s="7" t="str">
        <f t="array" ref="E249">XLOOKUP(D249,'Master Barang'!B:B,'Master Barang'!C:C,,0)</f>
        <v/>
      </c>
      <c r="F249" s="7"/>
      <c r="G249" s="19" t="str">
        <f>IFERROR(__xludf.DUMMYFUNCTION("IF(OR(E249="""",F249&lt;&gt;""Barang Datang""), """",
  IFERROR(
    INDEX(
      SORT(
        FILTER(Jadwal!F:F, Jadwal!C:C=E249),
        FILTER(Jadwal!E:E, Jadwal!C:C=E249),
        FALSE
      ),
      1
    ),
    ""TIDAK ADA JADWAL""
  )
)"),"")</f>
        <v/>
      </c>
      <c r="H249" s="7" t="str">
        <f t="shared" si="2"/>
        <v/>
      </c>
      <c r="L249" s="13"/>
      <c r="M249" s="13"/>
    </row>
    <row r="250" ht="15.75" customHeight="1">
      <c r="A250" s="14" t="str">
        <f t="shared" si="1"/>
        <v/>
      </c>
      <c r="B250" s="17" t="str">
        <f t="shared" si="3"/>
        <v/>
      </c>
      <c r="C250" s="18" t="str">
        <f t="shared" si="4"/>
        <v/>
      </c>
      <c r="D250" s="7"/>
      <c r="E250" s="7" t="str">
        <f t="array" ref="E250">XLOOKUP(D250,'Master Barang'!B:B,'Master Barang'!C:C,,0)</f>
        <v/>
      </c>
      <c r="F250" s="7"/>
      <c r="G250" s="19" t="str">
        <f>IFERROR(__xludf.DUMMYFUNCTION("IF(OR(E250="""",F250&lt;&gt;""Barang Datang""), """",
  IFERROR(
    INDEX(
      SORT(
        FILTER(Jadwal!F:F, Jadwal!C:C=E250),
        FILTER(Jadwal!E:E, Jadwal!C:C=E250),
        FALSE
      ),
      1
    ),
    ""TIDAK ADA JADWAL""
  )
)"),"")</f>
        <v/>
      </c>
      <c r="H250" s="7" t="str">
        <f t="shared" si="2"/>
        <v/>
      </c>
      <c r="L250" s="13"/>
      <c r="M250" s="13"/>
    </row>
    <row r="251" ht="15.75" customHeight="1">
      <c r="A251" s="14" t="str">
        <f t="shared" si="1"/>
        <v/>
      </c>
      <c r="B251" s="17" t="str">
        <f t="shared" si="3"/>
        <v/>
      </c>
      <c r="C251" s="18" t="str">
        <f t="shared" si="4"/>
        <v/>
      </c>
      <c r="D251" s="7"/>
      <c r="E251" s="7" t="str">
        <f t="array" ref="E251">XLOOKUP(D251,'Master Barang'!B:B,'Master Barang'!C:C,,0)</f>
        <v/>
      </c>
      <c r="F251" s="7"/>
      <c r="G251" s="19" t="str">
        <f>IFERROR(__xludf.DUMMYFUNCTION("IF(OR(E251="""",F251&lt;&gt;""Barang Datang""), """",
  IFERROR(
    INDEX(
      SORT(
        FILTER(Jadwal!F:F, Jadwal!C:C=E251),
        FILTER(Jadwal!E:E, Jadwal!C:C=E251),
        FALSE
      ),
      1
    ),
    ""TIDAK ADA JADWAL""
  )
)"),"")</f>
        <v/>
      </c>
      <c r="H251" s="7" t="str">
        <f t="shared" si="2"/>
        <v/>
      </c>
      <c r="L251" s="13"/>
      <c r="M251" s="13"/>
    </row>
    <row r="252" ht="15.75" customHeight="1">
      <c r="A252" s="14" t="str">
        <f t="shared" si="1"/>
        <v/>
      </c>
      <c r="B252" s="17" t="str">
        <f t="shared" si="3"/>
        <v/>
      </c>
      <c r="C252" s="18" t="str">
        <f t="shared" si="4"/>
        <v/>
      </c>
      <c r="D252" s="7"/>
      <c r="E252" s="7" t="str">
        <f t="array" ref="E252">XLOOKUP(D252,'Master Barang'!B:B,'Master Barang'!C:C,,0)</f>
        <v/>
      </c>
      <c r="F252" s="7"/>
      <c r="G252" s="19" t="str">
        <f>IFERROR(__xludf.DUMMYFUNCTION("IF(OR(E252="""",F252&lt;&gt;""Barang Datang""), """",
  IFERROR(
    INDEX(
      SORT(
        FILTER(Jadwal!F:F, Jadwal!C:C=E252),
        FILTER(Jadwal!E:E, Jadwal!C:C=E252),
        FALSE
      ),
      1
    ),
    ""TIDAK ADA JADWAL""
  )
)"),"")</f>
        <v/>
      </c>
      <c r="H252" s="7" t="str">
        <f t="shared" si="2"/>
        <v/>
      </c>
      <c r="L252" s="13"/>
      <c r="M252" s="13"/>
    </row>
    <row r="253" ht="15.75" customHeight="1">
      <c r="A253" s="14" t="str">
        <f t="shared" si="1"/>
        <v/>
      </c>
      <c r="B253" s="17" t="str">
        <f t="shared" si="3"/>
        <v/>
      </c>
      <c r="C253" s="18" t="str">
        <f t="shared" si="4"/>
        <v/>
      </c>
      <c r="D253" s="7"/>
      <c r="E253" s="7" t="str">
        <f t="array" ref="E253">XLOOKUP(D253,'Master Barang'!B:B,'Master Barang'!C:C,,0)</f>
        <v/>
      </c>
      <c r="F253" s="7"/>
      <c r="G253" s="19" t="str">
        <f>IFERROR(__xludf.DUMMYFUNCTION("IF(OR(E253="""",F253&lt;&gt;""Barang Datang""), """",
  IFERROR(
    INDEX(
      SORT(
        FILTER(Jadwal!F:F, Jadwal!C:C=E253),
        FILTER(Jadwal!E:E, Jadwal!C:C=E253),
        FALSE
      ),
      1
    ),
    ""TIDAK ADA JADWAL""
  )
)"),"")</f>
        <v/>
      </c>
      <c r="H253" s="7" t="str">
        <f t="shared" si="2"/>
        <v/>
      </c>
      <c r="L253" s="13"/>
      <c r="M253" s="13"/>
    </row>
    <row r="254" ht="15.75" customHeight="1">
      <c r="A254" s="14" t="str">
        <f t="shared" si="1"/>
        <v/>
      </c>
      <c r="B254" s="17" t="str">
        <f t="shared" si="3"/>
        <v/>
      </c>
      <c r="C254" s="18" t="str">
        <f t="shared" si="4"/>
        <v/>
      </c>
      <c r="D254" s="7"/>
      <c r="E254" s="7" t="str">
        <f t="array" ref="E254">XLOOKUP(D254,'Master Barang'!B:B,'Master Barang'!C:C,,0)</f>
        <v/>
      </c>
      <c r="F254" s="7"/>
      <c r="G254" s="19" t="str">
        <f>IFERROR(__xludf.DUMMYFUNCTION("IF(OR(E254="""",F254&lt;&gt;""Barang Datang""), """",
  IFERROR(
    INDEX(
      SORT(
        FILTER(Jadwal!F:F, Jadwal!C:C=E254),
        FILTER(Jadwal!E:E, Jadwal!C:C=E254),
        FALSE
      ),
      1
    ),
    ""TIDAK ADA JADWAL""
  )
)"),"")</f>
        <v/>
      </c>
      <c r="H254" s="7" t="str">
        <f t="shared" si="2"/>
        <v/>
      </c>
      <c r="L254" s="13"/>
      <c r="M254" s="13"/>
    </row>
    <row r="255" ht="15.75" customHeight="1">
      <c r="A255" s="14" t="str">
        <f t="shared" si="1"/>
        <v/>
      </c>
      <c r="B255" s="17" t="str">
        <f t="shared" si="3"/>
        <v/>
      </c>
      <c r="C255" s="18" t="str">
        <f t="shared" si="4"/>
        <v/>
      </c>
      <c r="D255" s="7"/>
      <c r="E255" s="7" t="str">
        <f t="array" ref="E255">XLOOKUP(D255,'Master Barang'!B:B,'Master Barang'!C:C,,0)</f>
        <v/>
      </c>
      <c r="F255" s="7"/>
      <c r="G255" s="19" t="str">
        <f>IFERROR(__xludf.DUMMYFUNCTION("IF(OR(E255="""",F255&lt;&gt;""Barang Datang""), """",
  IFERROR(
    INDEX(
      SORT(
        FILTER(Jadwal!F:F, Jadwal!C:C=E255),
        FILTER(Jadwal!E:E, Jadwal!C:C=E255),
        FALSE
      ),
      1
    ),
    ""TIDAK ADA JADWAL""
  )
)"),"")</f>
        <v/>
      </c>
      <c r="H255" s="7" t="str">
        <f t="shared" si="2"/>
        <v/>
      </c>
      <c r="L255" s="13"/>
      <c r="M255" s="13"/>
    </row>
    <row r="256" ht="15.75" customHeight="1">
      <c r="A256" s="14" t="str">
        <f t="shared" si="1"/>
        <v/>
      </c>
      <c r="B256" s="17" t="str">
        <f t="shared" si="3"/>
        <v/>
      </c>
      <c r="C256" s="18" t="str">
        <f t="shared" si="4"/>
        <v/>
      </c>
      <c r="D256" s="7"/>
      <c r="E256" s="7" t="str">
        <f t="array" ref="E256">XLOOKUP(D256,'Master Barang'!B:B,'Master Barang'!C:C,,0)</f>
        <v/>
      </c>
      <c r="F256" s="7"/>
      <c r="G256" s="19" t="str">
        <f>IFERROR(__xludf.DUMMYFUNCTION("IF(OR(E256="""",F256&lt;&gt;""Barang Datang""), """",
  IFERROR(
    INDEX(
      SORT(
        FILTER(Jadwal!F:F, Jadwal!C:C=E256),
        FILTER(Jadwal!E:E, Jadwal!C:C=E256),
        FALSE
      ),
      1
    ),
    ""TIDAK ADA JADWAL""
  )
)"),"")</f>
        <v/>
      </c>
      <c r="H256" s="7" t="str">
        <f t="shared" si="2"/>
        <v/>
      </c>
      <c r="L256" s="13"/>
      <c r="M256" s="13"/>
    </row>
    <row r="257" ht="15.75" customHeight="1">
      <c r="A257" s="14" t="str">
        <f t="shared" si="1"/>
        <v/>
      </c>
      <c r="B257" s="17" t="str">
        <f t="shared" si="3"/>
        <v/>
      </c>
      <c r="C257" s="18" t="str">
        <f t="shared" si="4"/>
        <v/>
      </c>
      <c r="D257" s="7"/>
      <c r="E257" s="7" t="str">
        <f t="array" ref="E257">XLOOKUP(D257,'Master Barang'!B:B,'Master Barang'!C:C,,0)</f>
        <v/>
      </c>
      <c r="F257" s="7"/>
      <c r="G257" s="19" t="str">
        <f>IFERROR(__xludf.DUMMYFUNCTION("IF(OR(E257="""",F257&lt;&gt;""Barang Datang""), """",
  IFERROR(
    INDEX(
      SORT(
        FILTER(Jadwal!F:F, Jadwal!C:C=E257),
        FILTER(Jadwal!E:E, Jadwal!C:C=E257),
        FALSE
      ),
      1
    ),
    ""TIDAK ADA JADWAL""
  )
)"),"")</f>
        <v/>
      </c>
      <c r="H257" s="7" t="str">
        <f t="shared" si="2"/>
        <v/>
      </c>
      <c r="L257" s="13"/>
      <c r="M257" s="13"/>
    </row>
    <row r="258" ht="15.75" customHeight="1">
      <c r="A258" s="14" t="str">
        <f t="shared" si="1"/>
        <v/>
      </c>
      <c r="B258" s="17" t="str">
        <f t="shared" si="3"/>
        <v/>
      </c>
      <c r="C258" s="18" t="str">
        <f t="shared" si="4"/>
        <v/>
      </c>
      <c r="D258" s="7"/>
      <c r="E258" s="7" t="str">
        <f t="array" ref="E258">XLOOKUP(D258,'Master Barang'!B:B,'Master Barang'!C:C,,0)</f>
        <v/>
      </c>
      <c r="F258" s="7"/>
      <c r="G258" s="19" t="str">
        <f>IFERROR(__xludf.DUMMYFUNCTION("IF(OR(E258="""",F258&lt;&gt;""Barang Datang""), """",
  IFERROR(
    INDEX(
      SORT(
        FILTER(Jadwal!F:F, Jadwal!C:C=E258),
        FILTER(Jadwal!E:E, Jadwal!C:C=E258),
        FALSE
      ),
      1
    ),
    ""TIDAK ADA JADWAL""
  )
)"),"")</f>
        <v/>
      </c>
      <c r="H258" s="7" t="str">
        <f t="shared" si="2"/>
        <v/>
      </c>
      <c r="L258" s="13"/>
      <c r="M258" s="13"/>
    </row>
    <row r="259" ht="15.75" customHeight="1">
      <c r="A259" s="14" t="str">
        <f t="shared" si="1"/>
        <v/>
      </c>
      <c r="B259" s="17" t="str">
        <f t="shared" si="3"/>
        <v/>
      </c>
      <c r="C259" s="18" t="str">
        <f t="shared" si="4"/>
        <v/>
      </c>
      <c r="D259" s="7"/>
      <c r="E259" s="7" t="str">
        <f t="array" ref="E259">XLOOKUP(D259,'Master Barang'!B:B,'Master Barang'!C:C,,0)</f>
        <v/>
      </c>
      <c r="F259" s="7"/>
      <c r="G259" s="19" t="str">
        <f>IFERROR(__xludf.DUMMYFUNCTION("IF(OR(E259="""",F259&lt;&gt;""Barang Datang""), """",
  IFERROR(
    INDEX(
      SORT(
        FILTER(Jadwal!F:F, Jadwal!C:C=E259),
        FILTER(Jadwal!E:E, Jadwal!C:C=E259),
        FALSE
      ),
      1
    ),
    ""TIDAK ADA JADWAL""
  )
)"),"")</f>
        <v/>
      </c>
      <c r="H259" s="7" t="str">
        <f t="shared" si="2"/>
        <v/>
      </c>
      <c r="L259" s="13"/>
      <c r="M259" s="13"/>
    </row>
    <row r="260" ht="15.75" customHeight="1">
      <c r="A260" s="14" t="str">
        <f t="shared" si="1"/>
        <v/>
      </c>
      <c r="B260" s="17" t="str">
        <f t="shared" si="3"/>
        <v/>
      </c>
      <c r="C260" s="18" t="str">
        <f t="shared" si="4"/>
        <v/>
      </c>
      <c r="D260" s="7"/>
      <c r="E260" s="7" t="str">
        <f t="array" ref="E260">XLOOKUP(D260,'Master Barang'!B:B,'Master Barang'!C:C,,0)</f>
        <v/>
      </c>
      <c r="F260" s="7"/>
      <c r="G260" s="19" t="str">
        <f>IFERROR(__xludf.DUMMYFUNCTION("IF(OR(E260="""",F260&lt;&gt;""Barang Datang""), """",
  IFERROR(
    INDEX(
      SORT(
        FILTER(Jadwal!F:F, Jadwal!C:C=E260),
        FILTER(Jadwal!E:E, Jadwal!C:C=E260),
        FALSE
      ),
      1
    ),
    ""TIDAK ADA JADWAL""
  )
)"),"")</f>
        <v/>
      </c>
      <c r="H260" s="7" t="str">
        <f t="shared" si="2"/>
        <v/>
      </c>
      <c r="L260" s="13"/>
      <c r="M260" s="13"/>
    </row>
    <row r="261" ht="15.75" customHeight="1">
      <c r="A261" s="14" t="str">
        <f t="shared" si="1"/>
        <v/>
      </c>
      <c r="B261" s="17" t="str">
        <f t="shared" si="3"/>
        <v/>
      </c>
      <c r="C261" s="18" t="str">
        <f t="shared" si="4"/>
        <v/>
      </c>
      <c r="D261" s="7"/>
      <c r="E261" s="7" t="str">
        <f t="array" ref="E261">XLOOKUP(D261,'Master Barang'!B:B,'Master Barang'!C:C,,0)</f>
        <v/>
      </c>
      <c r="F261" s="7"/>
      <c r="G261" s="19" t="str">
        <f>IFERROR(__xludf.DUMMYFUNCTION("IF(OR(E261="""",F261&lt;&gt;""Barang Datang""), """",
  IFERROR(
    INDEX(
      SORT(
        FILTER(Jadwal!F:F, Jadwal!C:C=E261),
        FILTER(Jadwal!E:E, Jadwal!C:C=E261),
        FALSE
      ),
      1
    ),
    ""TIDAK ADA JADWAL""
  )
)"),"")</f>
        <v/>
      </c>
      <c r="H261" s="7" t="str">
        <f t="shared" si="2"/>
        <v/>
      </c>
      <c r="L261" s="13"/>
      <c r="M261" s="13"/>
    </row>
    <row r="262" ht="15.75" customHeight="1">
      <c r="A262" s="14" t="str">
        <f t="shared" si="1"/>
        <v/>
      </c>
      <c r="B262" s="17" t="str">
        <f t="shared" si="3"/>
        <v/>
      </c>
      <c r="C262" s="18" t="str">
        <f t="shared" si="4"/>
        <v/>
      </c>
      <c r="D262" s="7"/>
      <c r="E262" s="7" t="str">
        <f t="array" ref="E262">XLOOKUP(D262,'Master Barang'!B:B,'Master Barang'!C:C,,0)</f>
        <v/>
      </c>
      <c r="F262" s="7"/>
      <c r="G262" s="19" t="str">
        <f>IFERROR(__xludf.DUMMYFUNCTION("IF(OR(E262="""",F262&lt;&gt;""Barang Datang""), """",
  IFERROR(
    INDEX(
      SORT(
        FILTER(Jadwal!F:F, Jadwal!C:C=E262),
        FILTER(Jadwal!E:E, Jadwal!C:C=E262),
        FALSE
      ),
      1
    ),
    ""TIDAK ADA JADWAL""
  )
)"),"")</f>
        <v/>
      </c>
      <c r="H262" s="7" t="str">
        <f t="shared" si="2"/>
        <v/>
      </c>
      <c r="L262" s="13"/>
      <c r="M262" s="13"/>
    </row>
    <row r="263" ht="15.75" customHeight="1">
      <c r="A263" s="14" t="str">
        <f t="shared" si="1"/>
        <v/>
      </c>
      <c r="B263" s="17" t="str">
        <f t="shared" si="3"/>
        <v/>
      </c>
      <c r="C263" s="18" t="str">
        <f t="shared" si="4"/>
        <v/>
      </c>
      <c r="D263" s="7"/>
      <c r="E263" s="7" t="str">
        <f t="array" ref="E263">XLOOKUP(D263,'Master Barang'!B:B,'Master Barang'!C:C,,0)</f>
        <v/>
      </c>
      <c r="F263" s="7"/>
      <c r="G263" s="19" t="str">
        <f>IFERROR(__xludf.DUMMYFUNCTION("IF(OR(E263="""",F263&lt;&gt;""Barang Datang""), """",
  IFERROR(
    INDEX(
      SORT(
        FILTER(Jadwal!F:F, Jadwal!C:C=E263),
        FILTER(Jadwal!E:E, Jadwal!C:C=E263),
        FALSE
      ),
      1
    ),
    ""TIDAK ADA JADWAL""
  )
)"),"")</f>
        <v/>
      </c>
      <c r="H263" s="7" t="str">
        <f t="shared" si="2"/>
        <v/>
      </c>
      <c r="L263" s="13"/>
      <c r="M263" s="13"/>
    </row>
    <row r="264" ht="15.75" customHeight="1">
      <c r="A264" s="14" t="str">
        <f t="shared" si="1"/>
        <v/>
      </c>
      <c r="B264" s="17" t="str">
        <f t="shared" si="3"/>
        <v/>
      </c>
      <c r="C264" s="18" t="str">
        <f t="shared" si="4"/>
        <v/>
      </c>
      <c r="D264" s="7"/>
      <c r="E264" s="7" t="str">
        <f t="array" ref="E264">XLOOKUP(D264,'Master Barang'!B:B,'Master Barang'!C:C,,0)</f>
        <v/>
      </c>
      <c r="F264" s="7"/>
      <c r="G264" s="19" t="str">
        <f>IFERROR(__xludf.DUMMYFUNCTION("IF(OR(E264="""",F264&lt;&gt;""Barang Datang""), """",
  IFERROR(
    INDEX(
      SORT(
        FILTER(Jadwal!F:F, Jadwal!C:C=E264),
        FILTER(Jadwal!E:E, Jadwal!C:C=E264),
        FALSE
      ),
      1
    ),
    ""TIDAK ADA JADWAL""
  )
)"),"")</f>
        <v/>
      </c>
      <c r="H264" s="7" t="str">
        <f t="shared" si="2"/>
        <v/>
      </c>
      <c r="L264" s="13"/>
      <c r="M264" s="13"/>
    </row>
    <row r="265" ht="15.75" customHeight="1">
      <c r="A265" s="14" t="str">
        <f t="shared" si="1"/>
        <v/>
      </c>
      <c r="B265" s="17" t="str">
        <f t="shared" si="3"/>
        <v/>
      </c>
      <c r="C265" s="18" t="str">
        <f t="shared" si="4"/>
        <v/>
      </c>
      <c r="D265" s="7"/>
      <c r="E265" s="7" t="str">
        <f t="array" ref="E265">XLOOKUP(D265,'Master Barang'!B:B,'Master Barang'!C:C,,0)</f>
        <v/>
      </c>
      <c r="F265" s="7"/>
      <c r="G265" s="19" t="str">
        <f>IFERROR(__xludf.DUMMYFUNCTION("IF(OR(E265="""",F265&lt;&gt;""Barang Datang""), """",
  IFERROR(
    INDEX(
      SORT(
        FILTER(Jadwal!F:F, Jadwal!C:C=E265),
        FILTER(Jadwal!E:E, Jadwal!C:C=E265),
        FALSE
      ),
      1
    ),
    ""TIDAK ADA JADWAL""
  )
)"),"")</f>
        <v/>
      </c>
      <c r="H265" s="7" t="str">
        <f t="shared" si="2"/>
        <v/>
      </c>
      <c r="L265" s="13"/>
      <c r="M265" s="13"/>
    </row>
    <row r="266" ht="15.75" customHeight="1">
      <c r="A266" s="14" t="str">
        <f t="shared" si="1"/>
        <v/>
      </c>
      <c r="B266" s="17" t="str">
        <f t="shared" si="3"/>
        <v/>
      </c>
      <c r="C266" s="18" t="str">
        <f t="shared" si="4"/>
        <v/>
      </c>
      <c r="D266" s="7"/>
      <c r="E266" s="7" t="str">
        <f t="array" ref="E266">XLOOKUP(D266,'Master Barang'!B:B,'Master Barang'!C:C,,0)</f>
        <v/>
      </c>
      <c r="F266" s="7"/>
      <c r="G266" s="19" t="str">
        <f>IFERROR(__xludf.DUMMYFUNCTION("IF(OR(E266="""",F266&lt;&gt;""Barang Datang""), """",
  IFERROR(
    INDEX(
      SORT(
        FILTER(Jadwal!F:F, Jadwal!C:C=E266),
        FILTER(Jadwal!E:E, Jadwal!C:C=E266),
        FALSE
      ),
      1
    ),
    ""TIDAK ADA JADWAL""
  )
)"),"")</f>
        <v/>
      </c>
      <c r="H266" s="7" t="str">
        <f t="shared" si="2"/>
        <v/>
      </c>
      <c r="L266" s="13"/>
      <c r="M266" s="13"/>
    </row>
    <row r="267" ht="15.75" customHeight="1">
      <c r="A267" s="14" t="str">
        <f t="shared" si="1"/>
        <v/>
      </c>
      <c r="B267" s="17" t="str">
        <f t="shared" si="3"/>
        <v/>
      </c>
      <c r="C267" s="18" t="str">
        <f t="shared" si="4"/>
        <v/>
      </c>
      <c r="D267" s="7"/>
      <c r="E267" s="7" t="str">
        <f t="array" ref="E267">XLOOKUP(D267,'Master Barang'!B:B,'Master Barang'!C:C,,0)</f>
        <v/>
      </c>
      <c r="F267" s="7"/>
      <c r="G267" s="19" t="str">
        <f>IFERROR(__xludf.DUMMYFUNCTION("IF(OR(E267="""",F267&lt;&gt;""Barang Datang""), """",
  IFERROR(
    INDEX(
      SORT(
        FILTER(Jadwal!F:F, Jadwal!C:C=E267),
        FILTER(Jadwal!E:E, Jadwal!C:C=E267),
        FALSE
      ),
      1
    ),
    ""TIDAK ADA JADWAL""
  )
)"),"")</f>
        <v/>
      </c>
      <c r="H267" s="7" t="str">
        <f t="shared" si="2"/>
        <v/>
      </c>
      <c r="L267" s="13"/>
      <c r="M267" s="13"/>
    </row>
    <row r="268" ht="15.75" customHeight="1">
      <c r="A268" s="14" t="str">
        <f t="shared" si="1"/>
        <v/>
      </c>
      <c r="B268" s="17" t="str">
        <f t="shared" si="3"/>
        <v/>
      </c>
      <c r="C268" s="18" t="str">
        <f t="shared" si="4"/>
        <v/>
      </c>
      <c r="D268" s="7"/>
      <c r="E268" s="7" t="str">
        <f t="array" ref="E268">XLOOKUP(D268,'Master Barang'!B:B,'Master Barang'!C:C,,0)</f>
        <v/>
      </c>
      <c r="F268" s="7"/>
      <c r="G268" s="19" t="str">
        <f>IFERROR(__xludf.DUMMYFUNCTION("IF(OR(E268="""",F268&lt;&gt;""Barang Datang""), """",
  IFERROR(
    INDEX(
      SORT(
        FILTER(Jadwal!F:F, Jadwal!C:C=E268),
        FILTER(Jadwal!E:E, Jadwal!C:C=E268),
        FALSE
      ),
      1
    ),
    ""TIDAK ADA JADWAL""
  )
)"),"")</f>
        <v/>
      </c>
      <c r="H268" s="7" t="str">
        <f t="shared" si="2"/>
        <v/>
      </c>
      <c r="L268" s="13"/>
      <c r="M268" s="13"/>
    </row>
    <row r="269" ht="15.75" customHeight="1">
      <c r="A269" s="14" t="str">
        <f t="shared" si="1"/>
        <v/>
      </c>
      <c r="B269" s="17" t="str">
        <f t="shared" si="3"/>
        <v/>
      </c>
      <c r="C269" s="18" t="str">
        <f t="shared" si="4"/>
        <v/>
      </c>
      <c r="D269" s="7"/>
      <c r="E269" s="7" t="str">
        <f t="array" ref="E269">XLOOKUP(D269,'Master Barang'!B:B,'Master Barang'!C:C,,0)</f>
        <v/>
      </c>
      <c r="F269" s="7"/>
      <c r="G269" s="19" t="str">
        <f>IFERROR(__xludf.DUMMYFUNCTION("IF(OR(E269="""",F269&lt;&gt;""Barang Datang""), """",
  IFERROR(
    INDEX(
      SORT(
        FILTER(Jadwal!F:F, Jadwal!C:C=E269),
        FILTER(Jadwal!E:E, Jadwal!C:C=E269),
        FALSE
      ),
      1
    ),
    ""TIDAK ADA JADWAL""
  )
)"),"")</f>
        <v/>
      </c>
      <c r="H269" s="7" t="str">
        <f t="shared" si="2"/>
        <v/>
      </c>
      <c r="L269" s="13"/>
      <c r="M269" s="13"/>
    </row>
    <row r="270" ht="15.75" customHeight="1">
      <c r="A270" s="14" t="str">
        <f t="shared" si="1"/>
        <v/>
      </c>
      <c r="B270" s="17" t="str">
        <f t="shared" si="3"/>
        <v/>
      </c>
      <c r="C270" s="18" t="str">
        <f t="shared" si="4"/>
        <v/>
      </c>
      <c r="D270" s="7"/>
      <c r="E270" s="7" t="str">
        <f t="array" ref="E270">XLOOKUP(D270,'Master Barang'!B:B,'Master Barang'!C:C,,0)</f>
        <v/>
      </c>
      <c r="F270" s="7"/>
      <c r="G270" s="19" t="str">
        <f>IFERROR(__xludf.DUMMYFUNCTION("IF(OR(E270="""",F270&lt;&gt;""Barang Datang""), """",
  IFERROR(
    INDEX(
      SORT(
        FILTER(Jadwal!F:F, Jadwal!C:C=E270),
        FILTER(Jadwal!E:E, Jadwal!C:C=E270),
        FALSE
      ),
      1
    ),
    ""TIDAK ADA JADWAL""
  )
)"),"")</f>
        <v/>
      </c>
      <c r="H270" s="7" t="str">
        <f t="shared" si="2"/>
        <v/>
      </c>
      <c r="L270" s="13"/>
      <c r="M270" s="13"/>
    </row>
    <row r="271" ht="15.75" customHeight="1">
      <c r="A271" s="14" t="str">
        <f t="shared" si="1"/>
        <v/>
      </c>
      <c r="B271" s="17" t="str">
        <f t="shared" si="3"/>
        <v/>
      </c>
      <c r="C271" s="18" t="str">
        <f t="shared" si="4"/>
        <v/>
      </c>
      <c r="D271" s="7"/>
      <c r="E271" s="7" t="str">
        <f t="array" ref="E271">XLOOKUP(D271,'Master Barang'!B:B,'Master Barang'!C:C,,0)</f>
        <v/>
      </c>
      <c r="F271" s="7"/>
      <c r="G271" s="19" t="str">
        <f>IFERROR(__xludf.DUMMYFUNCTION("IF(OR(E271="""",F271&lt;&gt;""Barang Datang""), """",
  IFERROR(
    INDEX(
      SORT(
        FILTER(Jadwal!F:F, Jadwal!C:C=E271),
        FILTER(Jadwal!E:E, Jadwal!C:C=E271),
        FALSE
      ),
      1
    ),
    ""TIDAK ADA JADWAL""
  )
)"),"")</f>
        <v/>
      </c>
      <c r="H271" s="7" t="str">
        <f t="shared" si="2"/>
        <v/>
      </c>
      <c r="L271" s="13"/>
      <c r="M271" s="13"/>
    </row>
    <row r="272" ht="15.75" customHeight="1">
      <c r="A272" s="14" t="str">
        <f t="shared" si="1"/>
        <v/>
      </c>
      <c r="B272" s="17" t="str">
        <f t="shared" si="3"/>
        <v/>
      </c>
      <c r="C272" s="18" t="str">
        <f t="shared" si="4"/>
        <v/>
      </c>
      <c r="D272" s="7"/>
      <c r="E272" s="7" t="str">
        <f t="array" ref="E272">XLOOKUP(D272,'Master Barang'!B:B,'Master Barang'!C:C,,0)</f>
        <v/>
      </c>
      <c r="F272" s="7"/>
      <c r="G272" s="19" t="str">
        <f>IFERROR(__xludf.DUMMYFUNCTION("IF(OR(E272="""",F272&lt;&gt;""Barang Datang""), """",
  IFERROR(
    INDEX(
      SORT(
        FILTER(Jadwal!F:F, Jadwal!C:C=E272),
        FILTER(Jadwal!E:E, Jadwal!C:C=E272),
        FALSE
      ),
      1
    ),
    ""TIDAK ADA JADWAL""
  )
)"),"")</f>
        <v/>
      </c>
      <c r="H272" s="7" t="str">
        <f t="shared" si="2"/>
        <v/>
      </c>
      <c r="L272" s="13"/>
      <c r="M272" s="13"/>
    </row>
    <row r="273" ht="15.75" customHeight="1">
      <c r="A273" s="14" t="str">
        <f t="shared" si="1"/>
        <v/>
      </c>
      <c r="B273" s="17" t="str">
        <f t="shared" si="3"/>
        <v/>
      </c>
      <c r="C273" s="18" t="str">
        <f t="shared" si="4"/>
        <v/>
      </c>
      <c r="D273" s="7"/>
      <c r="E273" s="7" t="str">
        <f t="array" ref="E273">XLOOKUP(D273,'Master Barang'!B:B,'Master Barang'!C:C,,0)</f>
        <v/>
      </c>
      <c r="F273" s="7"/>
      <c r="G273" s="19" t="str">
        <f>IFERROR(__xludf.DUMMYFUNCTION("IF(OR(E273="""",F273&lt;&gt;""Barang Datang""), """",
  IFERROR(
    INDEX(
      SORT(
        FILTER(Jadwal!F:F, Jadwal!C:C=E273),
        FILTER(Jadwal!E:E, Jadwal!C:C=E273),
        FALSE
      ),
      1
    ),
    ""TIDAK ADA JADWAL""
  )
)"),"")</f>
        <v/>
      </c>
      <c r="H273" s="7" t="str">
        <f t="shared" si="2"/>
        <v/>
      </c>
      <c r="L273" s="13"/>
      <c r="M273" s="13"/>
    </row>
    <row r="274" ht="15.75" customHeight="1">
      <c r="A274" s="14" t="str">
        <f t="shared" si="1"/>
        <v/>
      </c>
      <c r="B274" s="17" t="str">
        <f t="shared" si="3"/>
        <v/>
      </c>
      <c r="C274" s="18" t="str">
        <f t="shared" si="4"/>
        <v/>
      </c>
      <c r="D274" s="7"/>
      <c r="E274" s="7" t="str">
        <f t="array" ref="E274">XLOOKUP(D274,'Master Barang'!B:B,'Master Barang'!C:C,,0)</f>
        <v/>
      </c>
      <c r="F274" s="7"/>
      <c r="G274" s="19" t="str">
        <f>IFERROR(__xludf.DUMMYFUNCTION("IF(OR(E274="""",F274&lt;&gt;""Barang Datang""), """",
  IFERROR(
    INDEX(
      SORT(
        FILTER(Jadwal!F:F, Jadwal!C:C=E274),
        FILTER(Jadwal!E:E, Jadwal!C:C=E274),
        FALSE
      ),
      1
    ),
    ""TIDAK ADA JADWAL""
  )
)"),"")</f>
        <v/>
      </c>
      <c r="H274" s="7" t="str">
        <f t="shared" si="2"/>
        <v/>
      </c>
      <c r="L274" s="13"/>
      <c r="M274" s="13"/>
    </row>
    <row r="275" ht="15.75" customHeight="1">
      <c r="A275" s="14" t="str">
        <f t="shared" si="1"/>
        <v/>
      </c>
      <c r="B275" s="17" t="str">
        <f t="shared" si="3"/>
        <v/>
      </c>
      <c r="C275" s="18" t="str">
        <f t="shared" si="4"/>
        <v/>
      </c>
      <c r="D275" s="7"/>
      <c r="E275" s="7" t="str">
        <f t="array" ref="E275">XLOOKUP(D275,'Master Barang'!B:B,'Master Barang'!C:C,,0)</f>
        <v/>
      </c>
      <c r="F275" s="7"/>
      <c r="G275" s="19" t="str">
        <f>IFERROR(__xludf.DUMMYFUNCTION("IF(OR(E275="""",F275&lt;&gt;""Barang Datang""), """",
  IFERROR(
    INDEX(
      SORT(
        FILTER(Jadwal!F:F, Jadwal!C:C=E275),
        FILTER(Jadwal!E:E, Jadwal!C:C=E275),
        FALSE
      ),
      1
    ),
    ""TIDAK ADA JADWAL""
  )
)"),"")</f>
        <v/>
      </c>
      <c r="H275" s="7" t="str">
        <f t="shared" si="2"/>
        <v/>
      </c>
      <c r="L275" s="13"/>
      <c r="M275" s="13"/>
    </row>
    <row r="276" ht="15.75" customHeight="1">
      <c r="A276" s="14" t="str">
        <f t="shared" si="1"/>
        <v/>
      </c>
      <c r="B276" s="17" t="str">
        <f t="shared" si="3"/>
        <v/>
      </c>
      <c r="C276" s="18" t="str">
        <f t="shared" si="4"/>
        <v/>
      </c>
      <c r="D276" s="7"/>
      <c r="E276" s="7" t="str">
        <f t="array" ref="E276">XLOOKUP(D276,'Master Barang'!B:B,'Master Barang'!C:C,,0)</f>
        <v/>
      </c>
      <c r="F276" s="7"/>
      <c r="G276" s="19" t="str">
        <f>IFERROR(__xludf.DUMMYFUNCTION("IF(OR(E276="""",F276&lt;&gt;""Barang Datang""), """",
  IFERROR(
    INDEX(
      SORT(
        FILTER(Jadwal!F:F, Jadwal!C:C=E276),
        FILTER(Jadwal!E:E, Jadwal!C:C=E276),
        FALSE
      ),
      1
    ),
    ""TIDAK ADA JADWAL""
  )
)"),"")</f>
        <v/>
      </c>
      <c r="H276" s="7" t="str">
        <f t="shared" si="2"/>
        <v/>
      </c>
      <c r="L276" s="13"/>
      <c r="M276" s="13"/>
    </row>
    <row r="277" ht="15.75" customHeight="1">
      <c r="A277" s="14" t="str">
        <f t="shared" si="1"/>
        <v/>
      </c>
      <c r="B277" s="17" t="str">
        <f t="shared" si="3"/>
        <v/>
      </c>
      <c r="C277" s="18" t="str">
        <f t="shared" si="4"/>
        <v/>
      </c>
      <c r="D277" s="7"/>
      <c r="E277" s="7" t="str">
        <f t="array" ref="E277">XLOOKUP(D277,'Master Barang'!B:B,'Master Barang'!C:C,,0)</f>
        <v/>
      </c>
      <c r="F277" s="7"/>
      <c r="G277" s="19" t="str">
        <f>IFERROR(__xludf.DUMMYFUNCTION("IF(OR(E277="""",F277&lt;&gt;""Barang Datang""), """",
  IFERROR(
    INDEX(
      SORT(
        FILTER(Jadwal!F:F, Jadwal!C:C=E277),
        FILTER(Jadwal!E:E, Jadwal!C:C=E277),
        FALSE
      ),
      1
    ),
    ""TIDAK ADA JADWAL""
  )
)"),"")</f>
        <v/>
      </c>
      <c r="H277" s="7" t="str">
        <f t="shared" si="2"/>
        <v/>
      </c>
      <c r="L277" s="13"/>
      <c r="M277" s="13"/>
    </row>
    <row r="278" ht="15.75" customHeight="1">
      <c r="A278" s="14" t="str">
        <f t="shared" si="1"/>
        <v/>
      </c>
      <c r="B278" s="17" t="str">
        <f t="shared" si="3"/>
        <v/>
      </c>
      <c r="C278" s="18" t="str">
        <f t="shared" si="4"/>
        <v/>
      </c>
      <c r="D278" s="7"/>
      <c r="E278" s="7" t="str">
        <f t="array" ref="E278">XLOOKUP(D278,'Master Barang'!B:B,'Master Barang'!C:C,,0)</f>
        <v/>
      </c>
      <c r="F278" s="7"/>
      <c r="G278" s="19" t="str">
        <f>IFERROR(__xludf.DUMMYFUNCTION("IF(OR(E278="""",F278&lt;&gt;""Barang Datang""), """",
  IFERROR(
    INDEX(
      SORT(
        FILTER(Jadwal!F:F, Jadwal!C:C=E278),
        FILTER(Jadwal!E:E, Jadwal!C:C=E278),
        FALSE
      ),
      1
    ),
    ""TIDAK ADA JADWAL""
  )
)"),"")</f>
        <v/>
      </c>
      <c r="H278" s="7" t="str">
        <f t="shared" si="2"/>
        <v/>
      </c>
      <c r="L278" s="13"/>
      <c r="M278" s="13"/>
    </row>
    <row r="279" ht="15.75" customHeight="1">
      <c r="A279" s="14" t="str">
        <f t="shared" si="1"/>
        <v/>
      </c>
      <c r="B279" s="17" t="str">
        <f t="shared" si="3"/>
        <v/>
      </c>
      <c r="C279" s="18" t="str">
        <f t="shared" si="4"/>
        <v/>
      </c>
      <c r="D279" s="7"/>
      <c r="E279" s="7" t="str">
        <f t="array" ref="E279">XLOOKUP(D279,'Master Barang'!B:B,'Master Barang'!C:C,,0)</f>
        <v/>
      </c>
      <c r="F279" s="7"/>
      <c r="G279" s="19" t="str">
        <f>IFERROR(__xludf.DUMMYFUNCTION("IF(OR(E279="""",F279&lt;&gt;""Barang Datang""), """",
  IFERROR(
    INDEX(
      SORT(
        FILTER(Jadwal!F:F, Jadwal!C:C=E279),
        FILTER(Jadwal!E:E, Jadwal!C:C=E279),
        FALSE
      ),
      1
    ),
    ""TIDAK ADA JADWAL""
  )
)"),"")</f>
        <v/>
      </c>
      <c r="H279" s="7" t="str">
        <f t="shared" si="2"/>
        <v/>
      </c>
      <c r="L279" s="13"/>
      <c r="M279" s="13"/>
    </row>
    <row r="280" ht="15.75" customHeight="1">
      <c r="A280" s="14" t="str">
        <f t="shared" si="1"/>
        <v/>
      </c>
      <c r="B280" s="17" t="str">
        <f t="shared" si="3"/>
        <v/>
      </c>
      <c r="C280" s="18" t="str">
        <f t="shared" si="4"/>
        <v/>
      </c>
      <c r="D280" s="7"/>
      <c r="E280" s="7" t="str">
        <f t="array" ref="E280">XLOOKUP(D280,'Master Barang'!B:B,'Master Barang'!C:C,,0)</f>
        <v/>
      </c>
      <c r="F280" s="7"/>
      <c r="G280" s="19" t="str">
        <f>IFERROR(__xludf.DUMMYFUNCTION("IF(OR(E280="""",F280&lt;&gt;""Barang Datang""), """",
  IFERROR(
    INDEX(
      SORT(
        FILTER(Jadwal!F:F, Jadwal!C:C=E280),
        FILTER(Jadwal!E:E, Jadwal!C:C=E280),
        FALSE
      ),
      1
    ),
    ""TIDAK ADA JADWAL""
  )
)"),"")</f>
        <v/>
      </c>
      <c r="H280" s="7" t="str">
        <f t="shared" si="2"/>
        <v/>
      </c>
      <c r="L280" s="13"/>
      <c r="M280" s="13"/>
    </row>
    <row r="281" ht="15.75" customHeight="1">
      <c r="A281" s="14" t="str">
        <f t="shared" si="1"/>
        <v/>
      </c>
      <c r="B281" s="17" t="str">
        <f t="shared" si="3"/>
        <v/>
      </c>
      <c r="C281" s="18" t="str">
        <f t="shared" si="4"/>
        <v/>
      </c>
      <c r="D281" s="7"/>
      <c r="E281" s="7" t="str">
        <f t="array" ref="E281">XLOOKUP(D281,'Master Barang'!B:B,'Master Barang'!C:C,,0)</f>
        <v/>
      </c>
      <c r="F281" s="7"/>
      <c r="G281" s="19" t="str">
        <f>IFERROR(__xludf.DUMMYFUNCTION("IF(OR(E281="""",F281&lt;&gt;""Barang Datang""), """",
  IFERROR(
    INDEX(
      SORT(
        FILTER(Jadwal!F:F, Jadwal!C:C=E281),
        FILTER(Jadwal!E:E, Jadwal!C:C=E281),
        FALSE
      ),
      1
    ),
    ""TIDAK ADA JADWAL""
  )
)"),"")</f>
        <v/>
      </c>
      <c r="H281" s="7" t="str">
        <f t="shared" si="2"/>
        <v/>
      </c>
      <c r="L281" s="13"/>
      <c r="M281" s="13"/>
    </row>
    <row r="282" ht="15.75" customHeight="1">
      <c r="A282" s="14" t="str">
        <f t="shared" si="1"/>
        <v/>
      </c>
      <c r="B282" s="17" t="str">
        <f t="shared" si="3"/>
        <v/>
      </c>
      <c r="C282" s="18" t="str">
        <f t="shared" si="4"/>
        <v/>
      </c>
      <c r="D282" s="7"/>
      <c r="E282" s="7" t="str">
        <f t="array" ref="E282">XLOOKUP(D282,'Master Barang'!B:B,'Master Barang'!C:C,,0)</f>
        <v/>
      </c>
      <c r="F282" s="7"/>
      <c r="G282" s="19" t="str">
        <f>IFERROR(__xludf.DUMMYFUNCTION("IF(OR(E282="""",F282&lt;&gt;""Barang Datang""), """",
  IFERROR(
    INDEX(
      SORT(
        FILTER(Jadwal!F:F, Jadwal!C:C=E282),
        FILTER(Jadwal!E:E, Jadwal!C:C=E282),
        FALSE
      ),
      1
    ),
    ""TIDAK ADA JADWAL""
  )
)"),"")</f>
        <v/>
      </c>
      <c r="H282" s="7" t="str">
        <f t="shared" si="2"/>
        <v/>
      </c>
      <c r="L282" s="13"/>
      <c r="M282" s="13"/>
    </row>
    <row r="283" ht="15.75" customHeight="1">
      <c r="A283" s="14" t="str">
        <f t="shared" si="1"/>
        <v/>
      </c>
      <c r="B283" s="17" t="str">
        <f t="shared" si="3"/>
        <v/>
      </c>
      <c r="C283" s="18" t="str">
        <f t="shared" si="4"/>
        <v/>
      </c>
      <c r="D283" s="7"/>
      <c r="E283" s="7" t="str">
        <f t="array" ref="E283">XLOOKUP(D283,'Master Barang'!B:B,'Master Barang'!C:C,,0)</f>
        <v/>
      </c>
      <c r="F283" s="7"/>
      <c r="G283" s="19" t="str">
        <f>IFERROR(__xludf.DUMMYFUNCTION("IF(OR(E283="""",F283&lt;&gt;""Barang Datang""), """",
  IFERROR(
    INDEX(
      SORT(
        FILTER(Jadwal!F:F, Jadwal!C:C=E283),
        FILTER(Jadwal!E:E, Jadwal!C:C=E283),
        FALSE
      ),
      1
    ),
    ""TIDAK ADA JADWAL""
  )
)"),"")</f>
        <v/>
      </c>
      <c r="H283" s="7" t="str">
        <f t="shared" si="2"/>
        <v/>
      </c>
      <c r="L283" s="13"/>
      <c r="M283" s="13"/>
    </row>
    <row r="284" ht="15.75" customHeight="1">
      <c r="A284" s="14" t="str">
        <f t="shared" si="1"/>
        <v/>
      </c>
      <c r="B284" s="17" t="str">
        <f t="shared" si="3"/>
        <v/>
      </c>
      <c r="C284" s="18" t="str">
        <f t="shared" si="4"/>
        <v/>
      </c>
      <c r="D284" s="7"/>
      <c r="E284" s="7" t="str">
        <f t="array" ref="E284">XLOOKUP(D284,'Master Barang'!B:B,'Master Barang'!C:C,,0)</f>
        <v/>
      </c>
      <c r="F284" s="7"/>
      <c r="G284" s="19" t="str">
        <f>IFERROR(__xludf.DUMMYFUNCTION("IF(OR(E284="""",F284&lt;&gt;""Barang Datang""), """",
  IFERROR(
    INDEX(
      SORT(
        FILTER(Jadwal!F:F, Jadwal!C:C=E284),
        FILTER(Jadwal!E:E, Jadwal!C:C=E284),
        FALSE
      ),
      1
    ),
    ""TIDAK ADA JADWAL""
  )
)"),"")</f>
        <v/>
      </c>
      <c r="H284" s="7" t="str">
        <f t="shared" si="2"/>
        <v/>
      </c>
      <c r="L284" s="13"/>
      <c r="M284" s="13"/>
    </row>
    <row r="285" ht="15.75" customHeight="1">
      <c r="A285" s="14" t="str">
        <f t="shared" si="1"/>
        <v/>
      </c>
      <c r="B285" s="17" t="str">
        <f t="shared" si="3"/>
        <v/>
      </c>
      <c r="C285" s="18" t="str">
        <f t="shared" si="4"/>
        <v/>
      </c>
      <c r="D285" s="7"/>
      <c r="E285" s="7" t="str">
        <f t="array" ref="E285">XLOOKUP(D285,'Master Barang'!B:B,'Master Barang'!C:C,,0)</f>
        <v/>
      </c>
      <c r="F285" s="7"/>
      <c r="G285" s="19" t="str">
        <f>IFERROR(__xludf.DUMMYFUNCTION("IF(OR(E285="""",F285&lt;&gt;""Barang Datang""), """",
  IFERROR(
    INDEX(
      SORT(
        FILTER(Jadwal!F:F, Jadwal!C:C=E285),
        FILTER(Jadwal!E:E, Jadwal!C:C=E285),
        FALSE
      ),
      1
    ),
    ""TIDAK ADA JADWAL""
  )
)"),"")</f>
        <v/>
      </c>
      <c r="H285" s="7" t="str">
        <f t="shared" si="2"/>
        <v/>
      </c>
      <c r="L285" s="13"/>
      <c r="M285" s="13"/>
    </row>
    <row r="286" ht="15.75" customHeight="1">
      <c r="A286" s="14" t="str">
        <f t="shared" si="1"/>
        <v/>
      </c>
      <c r="B286" s="17" t="str">
        <f t="shared" si="3"/>
        <v/>
      </c>
      <c r="C286" s="18" t="str">
        <f t="shared" si="4"/>
        <v/>
      </c>
      <c r="D286" s="7"/>
      <c r="E286" s="7" t="str">
        <f t="array" ref="E286">XLOOKUP(D286,'Master Barang'!B:B,'Master Barang'!C:C,,0)</f>
        <v/>
      </c>
      <c r="F286" s="7"/>
      <c r="G286" s="19" t="str">
        <f>IFERROR(__xludf.DUMMYFUNCTION("IF(OR(E286="""",F286&lt;&gt;""Barang Datang""), """",
  IFERROR(
    INDEX(
      SORT(
        FILTER(Jadwal!F:F, Jadwal!C:C=E286),
        FILTER(Jadwal!E:E, Jadwal!C:C=E286),
        FALSE
      ),
      1
    ),
    ""TIDAK ADA JADWAL""
  )
)"),"")</f>
        <v/>
      </c>
      <c r="H286" s="7" t="str">
        <f t="shared" si="2"/>
        <v/>
      </c>
      <c r="L286" s="13"/>
      <c r="M286" s="13"/>
    </row>
    <row r="287" ht="15.75" customHeight="1">
      <c r="A287" s="14" t="str">
        <f t="shared" si="1"/>
        <v/>
      </c>
      <c r="B287" s="17" t="str">
        <f t="shared" si="3"/>
        <v/>
      </c>
      <c r="C287" s="18" t="str">
        <f t="shared" si="4"/>
        <v/>
      </c>
      <c r="D287" s="7"/>
      <c r="E287" s="7" t="str">
        <f t="array" ref="E287">XLOOKUP(D287,'Master Barang'!B:B,'Master Barang'!C:C,,0)</f>
        <v/>
      </c>
      <c r="F287" s="7"/>
      <c r="G287" s="19" t="str">
        <f>IFERROR(__xludf.DUMMYFUNCTION("IF(OR(E287="""",F287&lt;&gt;""Barang Datang""), """",
  IFERROR(
    INDEX(
      SORT(
        FILTER(Jadwal!F:F, Jadwal!C:C=E287),
        FILTER(Jadwal!E:E, Jadwal!C:C=E287),
        FALSE
      ),
      1
    ),
    ""TIDAK ADA JADWAL""
  )
)"),"")</f>
        <v/>
      </c>
      <c r="H287" s="7" t="str">
        <f t="shared" si="2"/>
        <v/>
      </c>
      <c r="L287" s="13"/>
      <c r="M287" s="13"/>
    </row>
    <row r="288" ht="15.75" customHeight="1">
      <c r="A288" s="14" t="str">
        <f t="shared" si="1"/>
        <v/>
      </c>
      <c r="B288" s="17" t="str">
        <f t="shared" si="3"/>
        <v/>
      </c>
      <c r="C288" s="18" t="str">
        <f t="shared" si="4"/>
        <v/>
      </c>
      <c r="D288" s="7"/>
      <c r="E288" s="7" t="str">
        <f t="array" ref="E288">XLOOKUP(D288,'Master Barang'!B:B,'Master Barang'!C:C,,0)</f>
        <v/>
      </c>
      <c r="F288" s="7"/>
      <c r="G288" s="19" t="str">
        <f>IFERROR(__xludf.DUMMYFUNCTION("IF(OR(E288="""",F288&lt;&gt;""Barang Datang""), """",
  IFERROR(
    INDEX(
      SORT(
        FILTER(Jadwal!F:F, Jadwal!C:C=E288),
        FILTER(Jadwal!E:E, Jadwal!C:C=E288),
        FALSE
      ),
      1
    ),
    ""TIDAK ADA JADWAL""
  )
)"),"")</f>
        <v/>
      </c>
      <c r="H288" s="7" t="str">
        <f t="shared" si="2"/>
        <v/>
      </c>
      <c r="L288" s="13"/>
      <c r="M288" s="13"/>
    </row>
    <row r="289" ht="15.75" customHeight="1">
      <c r="A289" s="14" t="str">
        <f t="shared" si="1"/>
        <v/>
      </c>
      <c r="B289" s="17" t="str">
        <f t="shared" si="3"/>
        <v/>
      </c>
      <c r="C289" s="18" t="str">
        <f t="shared" si="4"/>
        <v/>
      </c>
      <c r="D289" s="7"/>
      <c r="E289" s="7" t="str">
        <f t="array" ref="E289">XLOOKUP(D289,'Master Barang'!B:B,'Master Barang'!C:C,,0)</f>
        <v/>
      </c>
      <c r="F289" s="7"/>
      <c r="G289" s="19" t="str">
        <f>IFERROR(__xludf.DUMMYFUNCTION("IF(OR(E289="""",F289&lt;&gt;""Barang Datang""), """",
  IFERROR(
    INDEX(
      SORT(
        FILTER(Jadwal!F:F, Jadwal!C:C=E289),
        FILTER(Jadwal!E:E, Jadwal!C:C=E289),
        FALSE
      ),
      1
    ),
    ""TIDAK ADA JADWAL""
  )
)"),"")</f>
        <v/>
      </c>
      <c r="H289" s="7" t="str">
        <f t="shared" si="2"/>
        <v/>
      </c>
      <c r="L289" s="13"/>
      <c r="M289" s="13"/>
    </row>
    <row r="290" ht="15.75" customHeight="1">
      <c r="A290" s="14" t="str">
        <f t="shared" si="1"/>
        <v/>
      </c>
      <c r="B290" s="17" t="str">
        <f t="shared" si="3"/>
        <v/>
      </c>
      <c r="C290" s="18" t="str">
        <f t="shared" si="4"/>
        <v/>
      </c>
      <c r="D290" s="7"/>
      <c r="E290" s="7" t="str">
        <f t="array" ref="E290">XLOOKUP(D290,'Master Barang'!B:B,'Master Barang'!C:C,,0)</f>
        <v/>
      </c>
      <c r="F290" s="7"/>
      <c r="G290" s="19" t="str">
        <f>IFERROR(__xludf.DUMMYFUNCTION("IF(OR(E290="""",F290&lt;&gt;""Barang Datang""), """",
  IFERROR(
    INDEX(
      SORT(
        FILTER(Jadwal!F:F, Jadwal!C:C=E290),
        FILTER(Jadwal!E:E, Jadwal!C:C=E290),
        FALSE
      ),
      1
    ),
    ""TIDAK ADA JADWAL""
  )
)"),"")</f>
        <v/>
      </c>
      <c r="H290" s="7" t="str">
        <f t="shared" si="2"/>
        <v/>
      </c>
      <c r="L290" s="13"/>
      <c r="M290" s="13"/>
    </row>
    <row r="291" ht="15.75" customHeight="1">
      <c r="A291" s="14" t="str">
        <f t="shared" si="1"/>
        <v/>
      </c>
      <c r="B291" s="17" t="str">
        <f t="shared" si="3"/>
        <v/>
      </c>
      <c r="C291" s="18" t="str">
        <f t="shared" si="4"/>
        <v/>
      </c>
      <c r="D291" s="7"/>
      <c r="E291" s="7" t="str">
        <f t="array" ref="E291">XLOOKUP(D291,'Master Barang'!B:B,'Master Barang'!C:C,,0)</f>
        <v/>
      </c>
      <c r="F291" s="7"/>
      <c r="G291" s="19" t="str">
        <f>IFERROR(__xludf.DUMMYFUNCTION("IF(OR(E291="""",F291&lt;&gt;""Barang Datang""), """",
  IFERROR(
    INDEX(
      SORT(
        FILTER(Jadwal!F:F, Jadwal!C:C=E291),
        FILTER(Jadwal!E:E, Jadwal!C:C=E291),
        FALSE
      ),
      1
    ),
    ""TIDAK ADA JADWAL""
  )
)"),"")</f>
        <v/>
      </c>
      <c r="H291" s="7" t="str">
        <f t="shared" si="2"/>
        <v/>
      </c>
      <c r="L291" s="13"/>
      <c r="M291" s="13"/>
    </row>
    <row r="292" ht="15.75" customHeight="1">
      <c r="A292" s="14" t="str">
        <f t="shared" si="1"/>
        <v/>
      </c>
      <c r="B292" s="17" t="str">
        <f t="shared" si="3"/>
        <v/>
      </c>
      <c r="C292" s="18" t="str">
        <f t="shared" si="4"/>
        <v/>
      </c>
      <c r="D292" s="7"/>
      <c r="E292" s="7" t="str">
        <f t="array" ref="E292">XLOOKUP(D292,'Master Barang'!B:B,'Master Barang'!C:C,,0)</f>
        <v/>
      </c>
      <c r="F292" s="7"/>
      <c r="G292" s="19" t="str">
        <f>IFERROR(__xludf.DUMMYFUNCTION("IF(OR(E292="""",F292&lt;&gt;""Barang Datang""), """",
  IFERROR(
    INDEX(
      SORT(
        FILTER(Jadwal!F:F, Jadwal!C:C=E292),
        FILTER(Jadwal!E:E, Jadwal!C:C=E292),
        FALSE
      ),
      1
    ),
    ""TIDAK ADA JADWAL""
  )
)"),"")</f>
        <v/>
      </c>
      <c r="H292" s="7" t="str">
        <f t="shared" si="2"/>
        <v/>
      </c>
      <c r="L292" s="13"/>
      <c r="M292" s="13"/>
    </row>
    <row r="293" ht="15.75" customHeight="1">
      <c r="A293" s="14" t="str">
        <f t="shared" si="1"/>
        <v/>
      </c>
      <c r="B293" s="17" t="str">
        <f t="shared" si="3"/>
        <v/>
      </c>
      <c r="C293" s="18" t="str">
        <f t="shared" si="4"/>
        <v/>
      </c>
      <c r="D293" s="7"/>
      <c r="E293" s="7" t="str">
        <f t="array" ref="E293">XLOOKUP(D293,'Master Barang'!B:B,'Master Barang'!C:C,,0)</f>
        <v/>
      </c>
      <c r="F293" s="7"/>
      <c r="G293" s="19" t="str">
        <f>IFERROR(__xludf.DUMMYFUNCTION("IF(OR(E293="""",F293&lt;&gt;""Barang Datang""), """",
  IFERROR(
    INDEX(
      SORT(
        FILTER(Jadwal!F:F, Jadwal!C:C=E293),
        FILTER(Jadwal!E:E, Jadwal!C:C=E293),
        FALSE
      ),
      1
    ),
    ""TIDAK ADA JADWAL""
  )
)"),"")</f>
        <v/>
      </c>
      <c r="H293" s="7" t="str">
        <f t="shared" si="2"/>
        <v/>
      </c>
      <c r="L293" s="13"/>
      <c r="M293" s="13"/>
    </row>
    <row r="294" ht="15.75" customHeight="1">
      <c r="A294" s="14" t="str">
        <f t="shared" si="1"/>
        <v/>
      </c>
      <c r="B294" s="17" t="str">
        <f t="shared" si="3"/>
        <v/>
      </c>
      <c r="C294" s="18" t="str">
        <f t="shared" si="4"/>
        <v/>
      </c>
      <c r="D294" s="7"/>
      <c r="E294" s="7" t="str">
        <f t="array" ref="E294">XLOOKUP(D294,'Master Barang'!B:B,'Master Barang'!C:C,,0)</f>
        <v/>
      </c>
      <c r="F294" s="7"/>
      <c r="G294" s="19" t="str">
        <f>IFERROR(__xludf.DUMMYFUNCTION("IF(OR(E294="""",F294&lt;&gt;""Barang Datang""), """",
  IFERROR(
    INDEX(
      SORT(
        FILTER(Jadwal!F:F, Jadwal!C:C=E294),
        FILTER(Jadwal!E:E, Jadwal!C:C=E294),
        FALSE
      ),
      1
    ),
    ""TIDAK ADA JADWAL""
  )
)"),"")</f>
        <v/>
      </c>
      <c r="H294" s="7" t="str">
        <f t="shared" si="2"/>
        <v/>
      </c>
      <c r="L294" s="13"/>
      <c r="M294" s="13"/>
    </row>
    <row r="295" ht="15.75" customHeight="1">
      <c r="A295" s="14" t="str">
        <f t="shared" si="1"/>
        <v/>
      </c>
      <c r="B295" s="17" t="str">
        <f t="shared" si="3"/>
        <v/>
      </c>
      <c r="C295" s="18" t="str">
        <f t="shared" si="4"/>
        <v/>
      </c>
      <c r="D295" s="7"/>
      <c r="E295" s="7" t="str">
        <f t="array" ref="E295">XLOOKUP(D295,'Master Barang'!B:B,'Master Barang'!C:C,,0)</f>
        <v/>
      </c>
      <c r="F295" s="7"/>
      <c r="G295" s="19" t="str">
        <f>IFERROR(__xludf.DUMMYFUNCTION("IF(OR(E295="""",F295&lt;&gt;""Barang Datang""), """",
  IFERROR(
    INDEX(
      SORT(
        FILTER(Jadwal!F:F, Jadwal!C:C=E295),
        FILTER(Jadwal!E:E, Jadwal!C:C=E295),
        FALSE
      ),
      1
    ),
    ""TIDAK ADA JADWAL""
  )
)"),"")</f>
        <v/>
      </c>
      <c r="H295" s="7" t="str">
        <f t="shared" si="2"/>
        <v/>
      </c>
      <c r="L295" s="13"/>
      <c r="M295" s="13"/>
    </row>
    <row r="296" ht="15.75" customHeight="1">
      <c r="A296" s="14" t="str">
        <f t="shared" si="1"/>
        <v/>
      </c>
      <c r="B296" s="17" t="str">
        <f t="shared" si="3"/>
        <v/>
      </c>
      <c r="C296" s="18" t="str">
        <f t="shared" si="4"/>
        <v/>
      </c>
      <c r="D296" s="7"/>
      <c r="E296" s="7" t="str">
        <f t="array" ref="E296">XLOOKUP(D296,'Master Barang'!B:B,'Master Barang'!C:C,,0)</f>
        <v/>
      </c>
      <c r="F296" s="7"/>
      <c r="G296" s="19" t="str">
        <f>IFERROR(__xludf.DUMMYFUNCTION("IF(OR(E296="""",F296&lt;&gt;""Barang Datang""), """",
  IFERROR(
    INDEX(
      SORT(
        FILTER(Jadwal!F:F, Jadwal!C:C=E296),
        FILTER(Jadwal!E:E, Jadwal!C:C=E296),
        FALSE
      ),
      1
    ),
    ""TIDAK ADA JADWAL""
  )
)"),"")</f>
        <v/>
      </c>
      <c r="H296" s="7" t="str">
        <f t="shared" si="2"/>
        <v/>
      </c>
      <c r="L296" s="13"/>
      <c r="M296" s="13"/>
    </row>
    <row r="297" ht="15.75" customHeight="1">
      <c r="A297" s="14" t="str">
        <f t="shared" si="1"/>
        <v/>
      </c>
      <c r="B297" s="17" t="str">
        <f t="shared" si="3"/>
        <v/>
      </c>
      <c r="C297" s="18" t="str">
        <f t="shared" si="4"/>
        <v/>
      </c>
      <c r="D297" s="7"/>
      <c r="E297" s="7" t="str">
        <f t="array" ref="E297">XLOOKUP(D297,'Master Barang'!B:B,'Master Barang'!C:C,,0)</f>
        <v/>
      </c>
      <c r="F297" s="7"/>
      <c r="G297" s="19" t="str">
        <f>IFERROR(__xludf.DUMMYFUNCTION("IF(OR(E297="""",F297&lt;&gt;""Barang Datang""), """",
  IFERROR(
    INDEX(
      SORT(
        FILTER(Jadwal!F:F, Jadwal!C:C=E297),
        FILTER(Jadwal!E:E, Jadwal!C:C=E297),
        FALSE
      ),
      1
    ),
    ""TIDAK ADA JADWAL""
  )
)"),"")</f>
        <v/>
      </c>
      <c r="H297" s="7" t="str">
        <f t="shared" si="2"/>
        <v/>
      </c>
      <c r="L297" s="13"/>
      <c r="M297" s="13"/>
    </row>
    <row r="298" ht="15.75" customHeight="1">
      <c r="A298" s="14" t="str">
        <f t="shared" si="1"/>
        <v/>
      </c>
      <c r="B298" s="17" t="str">
        <f t="shared" si="3"/>
        <v/>
      </c>
      <c r="C298" s="18" t="str">
        <f t="shared" si="4"/>
        <v/>
      </c>
      <c r="D298" s="7"/>
      <c r="E298" s="7" t="str">
        <f t="array" ref="E298">XLOOKUP(D298,'Master Barang'!B:B,'Master Barang'!C:C,,0)</f>
        <v/>
      </c>
      <c r="F298" s="7"/>
      <c r="G298" s="19" t="str">
        <f>IFERROR(__xludf.DUMMYFUNCTION("IF(OR(E298="""",F298&lt;&gt;""Barang Datang""), """",
  IFERROR(
    INDEX(
      SORT(
        FILTER(Jadwal!F:F, Jadwal!C:C=E298),
        FILTER(Jadwal!E:E, Jadwal!C:C=E298),
        FALSE
      ),
      1
    ),
    ""TIDAK ADA JADWAL""
  )
)"),"")</f>
        <v/>
      </c>
      <c r="H298" s="7" t="str">
        <f t="shared" si="2"/>
        <v/>
      </c>
      <c r="L298" s="13"/>
      <c r="M298" s="13"/>
    </row>
    <row r="299" ht="15.75" customHeight="1">
      <c r="A299" s="14" t="str">
        <f t="shared" si="1"/>
        <v/>
      </c>
      <c r="B299" s="17" t="str">
        <f t="shared" si="3"/>
        <v/>
      </c>
      <c r="C299" s="18" t="str">
        <f t="shared" si="4"/>
        <v/>
      </c>
      <c r="D299" s="7"/>
      <c r="E299" s="7" t="str">
        <f t="array" ref="E299">XLOOKUP(D299,'Master Barang'!B:B,'Master Barang'!C:C,,0)</f>
        <v/>
      </c>
      <c r="F299" s="7"/>
      <c r="G299" s="19" t="str">
        <f>IFERROR(__xludf.DUMMYFUNCTION("IF(OR(E299="""",F299&lt;&gt;""Barang Datang""), """",
  IFERROR(
    INDEX(
      SORT(
        FILTER(Jadwal!F:F, Jadwal!C:C=E299),
        FILTER(Jadwal!E:E, Jadwal!C:C=E299),
        FALSE
      ),
      1
    ),
    ""TIDAK ADA JADWAL""
  )
)"),"")</f>
        <v/>
      </c>
      <c r="H299" s="7" t="str">
        <f t="shared" si="2"/>
        <v/>
      </c>
      <c r="L299" s="13"/>
      <c r="M299" s="13"/>
    </row>
    <row r="300" ht="15.75" customHeight="1">
      <c r="A300" s="14" t="str">
        <f t="shared" si="1"/>
        <v/>
      </c>
      <c r="B300" s="17" t="str">
        <f t="shared" si="3"/>
        <v/>
      </c>
      <c r="C300" s="18" t="str">
        <f t="shared" si="4"/>
        <v/>
      </c>
      <c r="D300" s="7"/>
      <c r="E300" s="7" t="str">
        <f t="array" ref="E300">XLOOKUP(D300,'Master Barang'!B:B,'Master Barang'!C:C,,0)</f>
        <v/>
      </c>
      <c r="F300" s="7"/>
      <c r="G300" s="19" t="str">
        <f>IFERROR(__xludf.DUMMYFUNCTION("IF(OR(E300="""",F300&lt;&gt;""Barang Datang""), """",
  IFERROR(
    INDEX(
      SORT(
        FILTER(Jadwal!F:F, Jadwal!C:C=E300),
        FILTER(Jadwal!E:E, Jadwal!C:C=E300),
        FALSE
      ),
      1
    ),
    ""TIDAK ADA JADWAL""
  )
)"),"")</f>
        <v/>
      </c>
      <c r="H300" s="7" t="str">
        <f t="shared" si="2"/>
        <v/>
      </c>
      <c r="L300" s="13"/>
      <c r="M300" s="13"/>
    </row>
    <row r="301" ht="15.75" customHeight="1">
      <c r="A301" s="14" t="str">
        <f t="shared" si="1"/>
        <v/>
      </c>
      <c r="B301" s="17" t="str">
        <f t="shared" si="3"/>
        <v/>
      </c>
      <c r="C301" s="18" t="str">
        <f t="shared" si="4"/>
        <v/>
      </c>
      <c r="D301" s="7"/>
      <c r="E301" s="7" t="str">
        <f t="array" ref="E301">XLOOKUP(D301,'Master Barang'!B:B,'Master Barang'!C:C,,0)</f>
        <v/>
      </c>
      <c r="F301" s="7"/>
      <c r="G301" s="19" t="str">
        <f>IFERROR(__xludf.DUMMYFUNCTION("IF(OR(E301="""",F301&lt;&gt;""Barang Datang""), """",
  IFERROR(
    INDEX(
      SORT(
        FILTER(Jadwal!F:F, Jadwal!C:C=E301),
        FILTER(Jadwal!E:E, Jadwal!C:C=E301),
        FALSE
      ),
      1
    ),
    ""TIDAK ADA JADWAL""
  )
)"),"")</f>
        <v/>
      </c>
      <c r="H301" s="7" t="str">
        <f t="shared" si="2"/>
        <v/>
      </c>
      <c r="L301" s="13"/>
      <c r="M301" s="13"/>
    </row>
    <row r="302" ht="15.75" customHeight="1">
      <c r="A302" s="14" t="str">
        <f t="shared" si="1"/>
        <v/>
      </c>
      <c r="B302" s="17" t="str">
        <f t="shared" si="3"/>
        <v/>
      </c>
      <c r="C302" s="18" t="str">
        <f t="shared" si="4"/>
        <v/>
      </c>
      <c r="D302" s="7"/>
      <c r="E302" s="7" t="str">
        <f t="array" ref="E302">XLOOKUP(D302,'Master Barang'!B:B,'Master Barang'!C:C,,0)</f>
        <v/>
      </c>
      <c r="F302" s="7"/>
      <c r="G302" s="19" t="str">
        <f>IFERROR(__xludf.DUMMYFUNCTION("IF(OR(E302="""",F302&lt;&gt;""Barang Datang""), """",
  IFERROR(
    INDEX(
      SORT(
        FILTER(Jadwal!F:F, Jadwal!C:C=E302),
        FILTER(Jadwal!E:E, Jadwal!C:C=E302),
        FALSE
      ),
      1
    ),
    ""TIDAK ADA JADWAL""
  )
)"),"")</f>
        <v/>
      </c>
      <c r="H302" s="7" t="str">
        <f t="shared" si="2"/>
        <v/>
      </c>
      <c r="L302" s="13"/>
      <c r="M302" s="13"/>
    </row>
    <row r="303" ht="15.75" customHeight="1">
      <c r="A303" s="14" t="str">
        <f t="shared" si="1"/>
        <v/>
      </c>
      <c r="B303" s="17" t="str">
        <f t="shared" si="3"/>
        <v/>
      </c>
      <c r="C303" s="18" t="str">
        <f t="shared" si="4"/>
        <v/>
      </c>
      <c r="D303" s="7"/>
      <c r="E303" s="7" t="str">
        <f t="array" ref="E303">XLOOKUP(D303,'Master Barang'!B:B,'Master Barang'!C:C,,0)</f>
        <v/>
      </c>
      <c r="F303" s="7"/>
      <c r="G303" s="19" t="str">
        <f>IFERROR(__xludf.DUMMYFUNCTION("IF(OR(E303="""",F303&lt;&gt;""Barang Datang""), """",
  IFERROR(
    INDEX(
      SORT(
        FILTER(Jadwal!F:F, Jadwal!C:C=E303),
        FILTER(Jadwal!E:E, Jadwal!C:C=E303),
        FALSE
      ),
      1
    ),
    ""TIDAK ADA JADWAL""
  )
)"),"")</f>
        <v/>
      </c>
      <c r="H303" s="7" t="str">
        <f t="shared" si="2"/>
        <v/>
      </c>
      <c r="L303" s="13"/>
      <c r="M303" s="13"/>
    </row>
    <row r="304" ht="15.75" customHeight="1">
      <c r="A304" s="14" t="str">
        <f t="shared" si="1"/>
        <v/>
      </c>
      <c r="B304" s="17" t="str">
        <f t="shared" si="3"/>
        <v/>
      </c>
      <c r="C304" s="18" t="str">
        <f t="shared" si="4"/>
        <v/>
      </c>
      <c r="D304" s="7"/>
      <c r="E304" s="7" t="str">
        <f t="array" ref="E304">XLOOKUP(D304,'Master Barang'!B:B,'Master Barang'!C:C,,0)</f>
        <v/>
      </c>
      <c r="F304" s="7"/>
      <c r="G304" s="19" t="str">
        <f>IFERROR(__xludf.DUMMYFUNCTION("IF(OR(E304="""",F304&lt;&gt;""Barang Datang""), """",
  IFERROR(
    INDEX(
      SORT(
        FILTER(Jadwal!F:F, Jadwal!C:C=E304),
        FILTER(Jadwal!E:E, Jadwal!C:C=E304),
        FALSE
      ),
      1
    ),
    ""TIDAK ADA JADWAL""
  )
)"),"")</f>
        <v/>
      </c>
      <c r="H304" s="7" t="str">
        <f t="shared" si="2"/>
        <v/>
      </c>
      <c r="L304" s="13"/>
      <c r="M304" s="13"/>
    </row>
    <row r="305" ht="15.75" customHeight="1">
      <c r="A305" s="14" t="str">
        <f t="shared" si="1"/>
        <v/>
      </c>
      <c r="B305" s="17" t="str">
        <f t="shared" si="3"/>
        <v/>
      </c>
      <c r="C305" s="18" t="str">
        <f t="shared" si="4"/>
        <v/>
      </c>
      <c r="D305" s="7"/>
      <c r="E305" s="7" t="str">
        <f t="array" ref="E305">XLOOKUP(D305,'Master Barang'!B:B,'Master Barang'!C:C,,0)</f>
        <v/>
      </c>
      <c r="F305" s="7"/>
      <c r="G305" s="19" t="str">
        <f>IFERROR(__xludf.DUMMYFUNCTION("IF(OR(E305="""",F305&lt;&gt;""Barang Datang""), """",
  IFERROR(
    INDEX(
      SORT(
        FILTER(Jadwal!F:F, Jadwal!C:C=E305),
        FILTER(Jadwal!E:E, Jadwal!C:C=E305),
        FALSE
      ),
      1
    ),
    ""TIDAK ADA JADWAL""
  )
)"),"")</f>
        <v/>
      </c>
      <c r="H305" s="7" t="str">
        <f t="shared" si="2"/>
        <v/>
      </c>
      <c r="L305" s="13"/>
      <c r="M305" s="13"/>
    </row>
    <row r="306" ht="15.75" customHeight="1">
      <c r="A306" s="14" t="str">
        <f t="shared" si="1"/>
        <v/>
      </c>
      <c r="B306" s="17" t="str">
        <f t="shared" si="3"/>
        <v/>
      </c>
      <c r="C306" s="18" t="str">
        <f t="shared" si="4"/>
        <v/>
      </c>
      <c r="D306" s="7"/>
      <c r="E306" s="7" t="str">
        <f t="array" ref="E306">XLOOKUP(D306,'Master Barang'!B:B,'Master Barang'!C:C,,0)</f>
        <v/>
      </c>
      <c r="F306" s="7"/>
      <c r="G306" s="19" t="str">
        <f>IFERROR(__xludf.DUMMYFUNCTION("IF(OR(E306="""",F306&lt;&gt;""Barang Datang""), """",
  IFERROR(
    INDEX(
      SORT(
        FILTER(Jadwal!F:F, Jadwal!C:C=E306),
        FILTER(Jadwal!E:E, Jadwal!C:C=E306),
        FALSE
      ),
      1
    ),
    ""TIDAK ADA JADWAL""
  )
)"),"")</f>
        <v/>
      </c>
      <c r="H306" s="7" t="str">
        <f t="shared" si="2"/>
        <v/>
      </c>
      <c r="L306" s="13"/>
      <c r="M306" s="13"/>
    </row>
    <row r="307" ht="15.75" customHeight="1">
      <c r="A307" s="14" t="str">
        <f t="shared" si="1"/>
        <v/>
      </c>
      <c r="B307" s="17" t="str">
        <f t="shared" si="3"/>
        <v/>
      </c>
      <c r="C307" s="18" t="str">
        <f t="shared" si="4"/>
        <v/>
      </c>
      <c r="D307" s="7"/>
      <c r="E307" s="7" t="str">
        <f t="array" ref="E307">XLOOKUP(D307,'Master Barang'!B:B,'Master Barang'!C:C,,0)</f>
        <v/>
      </c>
      <c r="F307" s="7"/>
      <c r="G307" s="19" t="str">
        <f>IFERROR(__xludf.DUMMYFUNCTION("IF(OR(E307="""",F307&lt;&gt;""Barang Datang""), """",
  IFERROR(
    INDEX(
      SORT(
        FILTER(Jadwal!F:F, Jadwal!C:C=E307),
        FILTER(Jadwal!E:E, Jadwal!C:C=E307),
        FALSE
      ),
      1
    ),
    ""TIDAK ADA JADWAL""
  )
)"),"")</f>
        <v/>
      </c>
      <c r="H307" s="7" t="str">
        <f t="shared" si="2"/>
        <v/>
      </c>
      <c r="L307" s="13"/>
      <c r="M307" s="13"/>
    </row>
    <row r="308" ht="15.75" customHeight="1">
      <c r="A308" s="14" t="str">
        <f t="shared" si="1"/>
        <v/>
      </c>
      <c r="B308" s="17" t="str">
        <f t="shared" si="3"/>
        <v/>
      </c>
      <c r="C308" s="18" t="str">
        <f t="shared" si="4"/>
        <v/>
      </c>
      <c r="D308" s="7"/>
      <c r="E308" s="7" t="str">
        <f t="array" ref="E308">XLOOKUP(D308,'Master Barang'!B:B,'Master Barang'!C:C,,0)</f>
        <v/>
      </c>
      <c r="F308" s="7"/>
      <c r="G308" s="19" t="str">
        <f>IFERROR(__xludf.DUMMYFUNCTION("IF(OR(E308="""",F308&lt;&gt;""Barang Datang""), """",
  IFERROR(
    INDEX(
      SORT(
        FILTER(Jadwal!F:F, Jadwal!C:C=E308),
        FILTER(Jadwal!E:E, Jadwal!C:C=E308),
        FALSE
      ),
      1
    ),
    ""TIDAK ADA JADWAL""
  )
)"),"")</f>
        <v/>
      </c>
      <c r="H308" s="7" t="str">
        <f t="shared" si="2"/>
        <v/>
      </c>
      <c r="L308" s="13"/>
      <c r="M308" s="13"/>
    </row>
    <row r="309" ht="15.75" customHeight="1">
      <c r="A309" s="14" t="str">
        <f t="shared" si="1"/>
        <v/>
      </c>
      <c r="B309" s="17" t="str">
        <f t="shared" si="3"/>
        <v/>
      </c>
      <c r="C309" s="18" t="str">
        <f t="shared" si="4"/>
        <v/>
      </c>
      <c r="D309" s="7"/>
      <c r="E309" s="7" t="str">
        <f t="array" ref="E309">XLOOKUP(D309,'Master Barang'!B:B,'Master Barang'!C:C,,0)</f>
        <v/>
      </c>
      <c r="F309" s="7"/>
      <c r="G309" s="19" t="str">
        <f>IFERROR(__xludf.DUMMYFUNCTION("IF(OR(E309="""",F309&lt;&gt;""Barang Datang""), """",
  IFERROR(
    INDEX(
      SORT(
        FILTER(Jadwal!F:F, Jadwal!C:C=E309),
        FILTER(Jadwal!E:E, Jadwal!C:C=E309),
        FALSE
      ),
      1
    ),
    ""TIDAK ADA JADWAL""
  )
)"),"")</f>
        <v/>
      </c>
      <c r="H309" s="7" t="str">
        <f t="shared" si="2"/>
        <v/>
      </c>
      <c r="L309" s="13"/>
      <c r="M309" s="13"/>
    </row>
    <row r="310" ht="15.75" customHeight="1">
      <c r="A310" s="14" t="str">
        <f t="shared" si="1"/>
        <v/>
      </c>
      <c r="B310" s="17" t="str">
        <f t="shared" si="3"/>
        <v/>
      </c>
      <c r="C310" s="18" t="str">
        <f t="shared" si="4"/>
        <v/>
      </c>
      <c r="D310" s="7"/>
      <c r="E310" s="7" t="str">
        <f t="array" ref="E310">XLOOKUP(D310,'Master Barang'!B:B,'Master Barang'!C:C,,0)</f>
        <v/>
      </c>
      <c r="F310" s="7"/>
      <c r="G310" s="19" t="str">
        <f>IFERROR(__xludf.DUMMYFUNCTION("IF(OR(E310="""",F310&lt;&gt;""Barang Datang""), """",
  IFERROR(
    INDEX(
      SORT(
        FILTER(Jadwal!F:F, Jadwal!C:C=E310),
        FILTER(Jadwal!E:E, Jadwal!C:C=E310),
        FALSE
      ),
      1
    ),
    ""TIDAK ADA JADWAL""
  )
)"),"")</f>
        <v/>
      </c>
      <c r="H310" s="7" t="str">
        <f t="shared" si="2"/>
        <v/>
      </c>
      <c r="L310" s="13"/>
      <c r="M310" s="13"/>
    </row>
    <row r="311" ht="15.75" customHeight="1">
      <c r="A311" s="14" t="str">
        <f t="shared" si="1"/>
        <v/>
      </c>
      <c r="B311" s="17" t="str">
        <f t="shared" si="3"/>
        <v/>
      </c>
      <c r="C311" s="18" t="str">
        <f t="shared" si="4"/>
        <v/>
      </c>
      <c r="D311" s="7"/>
      <c r="E311" s="7" t="str">
        <f t="array" ref="E311">XLOOKUP(D311,'Master Barang'!B:B,'Master Barang'!C:C,,0)</f>
        <v/>
      </c>
      <c r="F311" s="7"/>
      <c r="G311" s="19" t="str">
        <f>IFERROR(__xludf.DUMMYFUNCTION("IF(OR(E311="""",F311&lt;&gt;""Barang Datang""), """",
  IFERROR(
    INDEX(
      SORT(
        FILTER(Jadwal!F:F, Jadwal!C:C=E311),
        FILTER(Jadwal!E:E, Jadwal!C:C=E311),
        FALSE
      ),
      1
    ),
    ""TIDAK ADA JADWAL""
  )
)"),"")</f>
        <v/>
      </c>
      <c r="H311" s="7" t="str">
        <f t="shared" si="2"/>
        <v/>
      </c>
      <c r="L311" s="13"/>
      <c r="M311" s="13"/>
    </row>
    <row r="312" ht="15.75" customHeight="1">
      <c r="A312" s="14" t="str">
        <f t="shared" si="1"/>
        <v/>
      </c>
      <c r="B312" s="17" t="str">
        <f t="shared" si="3"/>
        <v/>
      </c>
      <c r="C312" s="18" t="str">
        <f t="shared" si="4"/>
        <v/>
      </c>
      <c r="D312" s="7"/>
      <c r="E312" s="7" t="str">
        <f t="array" ref="E312">XLOOKUP(D312,'Master Barang'!B:B,'Master Barang'!C:C,,0)</f>
        <v/>
      </c>
      <c r="F312" s="7"/>
      <c r="G312" s="19" t="str">
        <f>IFERROR(__xludf.DUMMYFUNCTION("IF(OR(E312="""",F312&lt;&gt;""Barang Datang""), """",
  IFERROR(
    INDEX(
      SORT(
        FILTER(Jadwal!F:F, Jadwal!C:C=E312),
        FILTER(Jadwal!E:E, Jadwal!C:C=E312),
        FALSE
      ),
      1
    ),
    ""TIDAK ADA JADWAL""
  )
)"),"")</f>
        <v/>
      </c>
      <c r="H312" s="7" t="str">
        <f t="shared" si="2"/>
        <v/>
      </c>
      <c r="L312" s="13"/>
      <c r="M312" s="13"/>
    </row>
    <row r="313" ht="15.75" customHeight="1">
      <c r="A313" s="14" t="str">
        <f t="shared" si="1"/>
        <v/>
      </c>
      <c r="B313" s="17" t="str">
        <f t="shared" si="3"/>
        <v/>
      </c>
      <c r="C313" s="18" t="str">
        <f t="shared" si="4"/>
        <v/>
      </c>
      <c r="D313" s="7"/>
      <c r="E313" s="7" t="str">
        <f t="array" ref="E313">XLOOKUP(D313,'Master Barang'!B:B,'Master Barang'!C:C,,0)</f>
        <v/>
      </c>
      <c r="F313" s="7"/>
      <c r="G313" s="19" t="str">
        <f>IFERROR(__xludf.DUMMYFUNCTION("IF(OR(E313="""",F313&lt;&gt;""Barang Datang""), """",
  IFERROR(
    INDEX(
      SORT(
        FILTER(Jadwal!F:F, Jadwal!C:C=E313),
        FILTER(Jadwal!E:E, Jadwal!C:C=E313),
        FALSE
      ),
      1
    ),
    ""TIDAK ADA JADWAL""
  )
)"),"")</f>
        <v/>
      </c>
      <c r="H313" s="7" t="str">
        <f t="shared" si="2"/>
        <v/>
      </c>
      <c r="L313" s="13"/>
      <c r="M313" s="13"/>
    </row>
    <row r="314" ht="15.75" customHeight="1">
      <c r="A314" s="14" t="str">
        <f t="shared" si="1"/>
        <v/>
      </c>
      <c r="B314" s="17" t="str">
        <f t="shared" si="3"/>
        <v/>
      </c>
      <c r="C314" s="18" t="str">
        <f t="shared" si="4"/>
        <v/>
      </c>
      <c r="D314" s="7"/>
      <c r="E314" s="7" t="str">
        <f t="array" ref="E314">XLOOKUP(D314,'Master Barang'!B:B,'Master Barang'!C:C,,0)</f>
        <v/>
      </c>
      <c r="F314" s="7"/>
      <c r="G314" s="19" t="str">
        <f>IFERROR(__xludf.DUMMYFUNCTION("IF(OR(E314="""",F314&lt;&gt;""Barang Datang""), """",
  IFERROR(
    INDEX(
      SORT(
        FILTER(Jadwal!F:F, Jadwal!C:C=E314),
        FILTER(Jadwal!E:E, Jadwal!C:C=E314),
        FALSE
      ),
      1
    ),
    ""TIDAK ADA JADWAL""
  )
)"),"")</f>
        <v/>
      </c>
      <c r="H314" s="7" t="str">
        <f t="shared" si="2"/>
        <v/>
      </c>
      <c r="L314" s="13"/>
      <c r="M314" s="13"/>
    </row>
    <row r="315" ht="15.75" customHeight="1">
      <c r="A315" s="14" t="str">
        <f t="shared" si="1"/>
        <v/>
      </c>
      <c r="B315" s="17" t="str">
        <f t="shared" si="3"/>
        <v/>
      </c>
      <c r="C315" s="18" t="str">
        <f t="shared" si="4"/>
        <v/>
      </c>
      <c r="D315" s="7"/>
      <c r="E315" s="7" t="str">
        <f t="array" ref="E315">XLOOKUP(D315,'Master Barang'!B:B,'Master Barang'!C:C,,0)</f>
        <v/>
      </c>
      <c r="F315" s="7"/>
      <c r="G315" s="19" t="str">
        <f>IFERROR(__xludf.DUMMYFUNCTION("IF(OR(E315="""",F315&lt;&gt;""Barang Datang""), """",
  IFERROR(
    INDEX(
      SORT(
        FILTER(Jadwal!F:F, Jadwal!C:C=E315),
        FILTER(Jadwal!E:E, Jadwal!C:C=E315),
        FALSE
      ),
      1
    ),
    ""TIDAK ADA JADWAL""
  )
)"),"")</f>
        <v/>
      </c>
      <c r="H315" s="7" t="str">
        <f t="shared" si="2"/>
        <v/>
      </c>
      <c r="L315" s="13"/>
      <c r="M315" s="13"/>
    </row>
    <row r="316" ht="15.75" customHeight="1">
      <c r="A316" s="14" t="str">
        <f t="shared" si="1"/>
        <v/>
      </c>
      <c r="B316" s="17" t="str">
        <f t="shared" si="3"/>
        <v/>
      </c>
      <c r="C316" s="18" t="str">
        <f t="shared" si="4"/>
        <v/>
      </c>
      <c r="D316" s="7"/>
      <c r="E316" s="7" t="str">
        <f t="array" ref="E316">XLOOKUP(D316,'Master Barang'!B:B,'Master Barang'!C:C,,0)</f>
        <v/>
      </c>
      <c r="F316" s="7"/>
      <c r="G316" s="19" t="str">
        <f>IFERROR(__xludf.DUMMYFUNCTION("IF(OR(E316="""",F316&lt;&gt;""Barang Datang""), """",
  IFERROR(
    INDEX(
      SORT(
        FILTER(Jadwal!F:F, Jadwal!C:C=E316),
        FILTER(Jadwal!E:E, Jadwal!C:C=E316),
        FALSE
      ),
      1
    ),
    ""TIDAK ADA JADWAL""
  )
)"),"")</f>
        <v/>
      </c>
      <c r="H316" s="7" t="str">
        <f t="shared" si="2"/>
        <v/>
      </c>
      <c r="L316" s="13"/>
      <c r="M316" s="13"/>
    </row>
    <row r="317" ht="15.75" customHeight="1">
      <c r="A317" s="14" t="str">
        <f t="shared" si="1"/>
        <v/>
      </c>
      <c r="B317" s="17" t="str">
        <f t="shared" si="3"/>
        <v/>
      </c>
      <c r="C317" s="18" t="str">
        <f t="shared" si="4"/>
        <v/>
      </c>
      <c r="D317" s="7"/>
      <c r="E317" s="7" t="str">
        <f t="array" ref="E317">XLOOKUP(D317,'Master Barang'!B:B,'Master Barang'!C:C,,0)</f>
        <v/>
      </c>
      <c r="F317" s="7"/>
      <c r="G317" s="19" t="str">
        <f>IFERROR(__xludf.DUMMYFUNCTION("IF(OR(E317="""",F317&lt;&gt;""Barang Datang""), """",
  IFERROR(
    INDEX(
      SORT(
        FILTER(Jadwal!F:F, Jadwal!C:C=E317),
        FILTER(Jadwal!E:E, Jadwal!C:C=E317),
        FALSE
      ),
      1
    ),
    ""TIDAK ADA JADWAL""
  )
)"),"")</f>
        <v/>
      </c>
      <c r="H317" s="7" t="str">
        <f t="shared" si="2"/>
        <v/>
      </c>
      <c r="L317" s="13"/>
      <c r="M317" s="13"/>
    </row>
    <row r="318" ht="15.75" customHeight="1">
      <c r="A318" s="14" t="str">
        <f t="shared" si="1"/>
        <v/>
      </c>
      <c r="B318" s="17" t="str">
        <f t="shared" si="3"/>
        <v/>
      </c>
      <c r="C318" s="18" t="str">
        <f t="shared" si="4"/>
        <v/>
      </c>
      <c r="D318" s="7"/>
      <c r="E318" s="7" t="str">
        <f t="array" ref="E318">XLOOKUP(D318,'Master Barang'!B:B,'Master Barang'!C:C,,0)</f>
        <v/>
      </c>
      <c r="F318" s="7"/>
      <c r="G318" s="19" t="str">
        <f>IFERROR(__xludf.DUMMYFUNCTION("IF(OR(E318="""",F318&lt;&gt;""Barang Datang""), """",
  IFERROR(
    INDEX(
      SORT(
        FILTER(Jadwal!F:F, Jadwal!C:C=E318),
        FILTER(Jadwal!E:E, Jadwal!C:C=E318),
        FALSE
      ),
      1
    ),
    ""TIDAK ADA JADWAL""
  )
)"),"")</f>
        <v/>
      </c>
      <c r="H318" s="7" t="str">
        <f t="shared" si="2"/>
        <v/>
      </c>
      <c r="L318" s="13"/>
      <c r="M318" s="13"/>
    </row>
    <row r="319" ht="15.75" customHeight="1">
      <c r="A319" s="14" t="str">
        <f t="shared" si="1"/>
        <v/>
      </c>
      <c r="B319" s="17" t="str">
        <f t="shared" si="3"/>
        <v/>
      </c>
      <c r="C319" s="18" t="str">
        <f t="shared" si="4"/>
        <v/>
      </c>
      <c r="D319" s="7"/>
      <c r="E319" s="7" t="str">
        <f t="array" ref="E319">XLOOKUP(D319,'Master Barang'!B:B,'Master Barang'!C:C,,0)</f>
        <v/>
      </c>
      <c r="F319" s="7"/>
      <c r="G319" s="19" t="str">
        <f>IFERROR(__xludf.DUMMYFUNCTION("IF(OR(E319="""",F319&lt;&gt;""Barang Datang""), """",
  IFERROR(
    INDEX(
      SORT(
        FILTER(Jadwal!F:F, Jadwal!C:C=E319),
        FILTER(Jadwal!E:E, Jadwal!C:C=E319),
        FALSE
      ),
      1
    ),
    ""TIDAK ADA JADWAL""
  )
)"),"")</f>
        <v/>
      </c>
      <c r="H319" s="7" t="str">
        <f t="shared" si="2"/>
        <v/>
      </c>
      <c r="L319" s="13"/>
      <c r="M319" s="13"/>
    </row>
    <row r="320" ht="15.75" customHeight="1">
      <c r="A320" s="14" t="str">
        <f t="shared" si="1"/>
        <v/>
      </c>
      <c r="B320" s="17" t="str">
        <f t="shared" si="3"/>
        <v/>
      </c>
      <c r="C320" s="18" t="str">
        <f t="shared" si="4"/>
        <v/>
      </c>
      <c r="D320" s="7"/>
      <c r="E320" s="7" t="str">
        <f t="array" ref="E320">XLOOKUP(D320,'Master Barang'!B:B,'Master Barang'!C:C,,0)</f>
        <v/>
      </c>
      <c r="F320" s="7"/>
      <c r="G320" s="19" t="str">
        <f>IFERROR(__xludf.DUMMYFUNCTION("IF(OR(E320="""",F320&lt;&gt;""Barang Datang""), """",
  IFERROR(
    INDEX(
      SORT(
        FILTER(Jadwal!F:F, Jadwal!C:C=E320),
        FILTER(Jadwal!E:E, Jadwal!C:C=E320),
        FALSE
      ),
      1
    ),
    ""TIDAK ADA JADWAL""
  )
)"),"")</f>
        <v/>
      </c>
      <c r="H320" s="7" t="str">
        <f t="shared" si="2"/>
        <v/>
      </c>
      <c r="L320" s="13"/>
      <c r="M320" s="13"/>
    </row>
    <row r="321" ht="15.75" customHeight="1">
      <c r="A321" s="14" t="str">
        <f t="shared" si="1"/>
        <v/>
      </c>
      <c r="B321" s="17" t="str">
        <f t="shared" si="3"/>
        <v/>
      </c>
      <c r="C321" s="18" t="str">
        <f t="shared" si="4"/>
        <v/>
      </c>
      <c r="D321" s="7"/>
      <c r="E321" s="7" t="str">
        <f t="array" ref="E321">XLOOKUP(D321,'Master Barang'!B:B,'Master Barang'!C:C,,0)</f>
        <v/>
      </c>
      <c r="F321" s="7"/>
      <c r="G321" s="19" t="str">
        <f>IFERROR(__xludf.DUMMYFUNCTION("IF(OR(E321="""",F321&lt;&gt;""Barang Datang""), """",
  IFERROR(
    INDEX(
      SORT(
        FILTER(Jadwal!F:F, Jadwal!C:C=E321),
        FILTER(Jadwal!E:E, Jadwal!C:C=E321),
        FALSE
      ),
      1
    ),
    ""TIDAK ADA JADWAL""
  )
)"),"")</f>
        <v/>
      </c>
      <c r="H321" s="7" t="str">
        <f t="shared" si="2"/>
        <v/>
      </c>
      <c r="L321" s="13"/>
      <c r="M321" s="13"/>
    </row>
    <row r="322" ht="15.75" customHeight="1">
      <c r="A322" s="14" t="str">
        <f t="shared" si="1"/>
        <v/>
      </c>
      <c r="B322" s="17" t="str">
        <f t="shared" si="3"/>
        <v/>
      </c>
      <c r="C322" s="18" t="str">
        <f t="shared" si="4"/>
        <v/>
      </c>
      <c r="D322" s="7"/>
      <c r="E322" s="7" t="str">
        <f t="array" ref="E322">XLOOKUP(D322,'Master Barang'!B:B,'Master Barang'!C:C,,0)</f>
        <v/>
      </c>
      <c r="F322" s="7"/>
      <c r="G322" s="19" t="str">
        <f>IFERROR(__xludf.DUMMYFUNCTION("IF(OR(E322="""",F322&lt;&gt;""Barang Datang""), """",
  IFERROR(
    INDEX(
      SORT(
        FILTER(Jadwal!F:F, Jadwal!C:C=E322),
        FILTER(Jadwal!E:E, Jadwal!C:C=E322),
        FALSE
      ),
      1
    ),
    ""TIDAK ADA JADWAL""
  )
)"),"")</f>
        <v/>
      </c>
      <c r="H322" s="7" t="str">
        <f t="shared" si="2"/>
        <v/>
      </c>
      <c r="L322" s="13"/>
      <c r="M322" s="13"/>
    </row>
    <row r="323" ht="15.75" customHeight="1">
      <c r="A323" s="14" t="str">
        <f t="shared" si="1"/>
        <v/>
      </c>
      <c r="B323" s="17" t="str">
        <f t="shared" si="3"/>
        <v/>
      </c>
      <c r="C323" s="18" t="str">
        <f t="shared" si="4"/>
        <v/>
      </c>
      <c r="D323" s="7"/>
      <c r="E323" s="7" t="str">
        <f t="array" ref="E323">XLOOKUP(D323,'Master Barang'!B:B,'Master Barang'!C:C,,0)</f>
        <v/>
      </c>
      <c r="F323" s="7"/>
      <c r="G323" s="19" t="str">
        <f>IFERROR(__xludf.DUMMYFUNCTION("IF(OR(E323="""",F323&lt;&gt;""Barang Datang""), """",
  IFERROR(
    INDEX(
      SORT(
        FILTER(Jadwal!F:F, Jadwal!C:C=E323),
        FILTER(Jadwal!E:E, Jadwal!C:C=E323),
        FALSE
      ),
      1
    ),
    ""TIDAK ADA JADWAL""
  )
)"),"")</f>
        <v/>
      </c>
      <c r="H323" s="7" t="str">
        <f t="shared" si="2"/>
        <v/>
      </c>
      <c r="L323" s="13"/>
      <c r="M323" s="13"/>
    </row>
    <row r="324" ht="15.75" customHeight="1">
      <c r="A324" s="14" t="str">
        <f t="shared" si="1"/>
        <v/>
      </c>
      <c r="B324" s="17" t="str">
        <f t="shared" si="3"/>
        <v/>
      </c>
      <c r="C324" s="18" t="str">
        <f t="shared" si="4"/>
        <v/>
      </c>
      <c r="D324" s="7"/>
      <c r="E324" s="7" t="str">
        <f t="array" ref="E324">XLOOKUP(D324,'Master Barang'!B:B,'Master Barang'!C:C,,0)</f>
        <v/>
      </c>
      <c r="F324" s="7"/>
      <c r="G324" s="19" t="str">
        <f>IFERROR(__xludf.DUMMYFUNCTION("IF(OR(E324="""",F324&lt;&gt;""Barang Datang""), """",
  IFERROR(
    INDEX(
      SORT(
        FILTER(Jadwal!F:F, Jadwal!C:C=E324),
        FILTER(Jadwal!E:E, Jadwal!C:C=E324),
        FALSE
      ),
      1
    ),
    ""TIDAK ADA JADWAL""
  )
)"),"")</f>
        <v/>
      </c>
      <c r="H324" s="7" t="str">
        <f t="shared" si="2"/>
        <v/>
      </c>
      <c r="L324" s="13"/>
      <c r="M324" s="13"/>
    </row>
    <row r="325" ht="15.75" customHeight="1">
      <c r="A325" s="14" t="str">
        <f t="shared" si="1"/>
        <v/>
      </c>
      <c r="B325" s="17" t="str">
        <f t="shared" si="3"/>
        <v/>
      </c>
      <c r="C325" s="18" t="str">
        <f t="shared" si="4"/>
        <v/>
      </c>
      <c r="D325" s="7"/>
      <c r="E325" s="7" t="str">
        <f t="array" ref="E325">XLOOKUP(D325,'Master Barang'!B:B,'Master Barang'!C:C,,0)</f>
        <v/>
      </c>
      <c r="F325" s="7"/>
      <c r="G325" s="19" t="str">
        <f>IFERROR(__xludf.DUMMYFUNCTION("IF(OR(E325="""",F325&lt;&gt;""Barang Datang""), """",
  IFERROR(
    INDEX(
      SORT(
        FILTER(Jadwal!F:F, Jadwal!C:C=E325),
        FILTER(Jadwal!E:E, Jadwal!C:C=E325),
        FALSE
      ),
      1
    ),
    ""TIDAK ADA JADWAL""
  )
)"),"")</f>
        <v/>
      </c>
      <c r="H325" s="7" t="str">
        <f t="shared" si="2"/>
        <v/>
      </c>
      <c r="L325" s="13"/>
      <c r="M325" s="13"/>
    </row>
    <row r="326" ht="15.75" customHeight="1">
      <c r="A326" s="14" t="str">
        <f t="shared" si="1"/>
        <v/>
      </c>
      <c r="B326" s="17" t="str">
        <f t="shared" si="3"/>
        <v/>
      </c>
      <c r="C326" s="18" t="str">
        <f t="shared" si="4"/>
        <v/>
      </c>
      <c r="D326" s="7"/>
      <c r="E326" s="7" t="str">
        <f t="array" ref="E326">XLOOKUP(D326,'Master Barang'!B:B,'Master Barang'!C:C,,0)</f>
        <v/>
      </c>
      <c r="F326" s="7"/>
      <c r="G326" s="19" t="str">
        <f>IFERROR(__xludf.DUMMYFUNCTION("IF(OR(E326="""",F326&lt;&gt;""Barang Datang""), """",
  IFERROR(
    INDEX(
      SORT(
        FILTER(Jadwal!F:F, Jadwal!C:C=E326),
        FILTER(Jadwal!E:E, Jadwal!C:C=E326),
        FALSE
      ),
      1
    ),
    ""TIDAK ADA JADWAL""
  )
)"),"")</f>
        <v/>
      </c>
      <c r="H326" s="7" t="str">
        <f t="shared" si="2"/>
        <v/>
      </c>
      <c r="L326" s="13"/>
      <c r="M326" s="13"/>
    </row>
    <row r="327" ht="15.75" customHeight="1">
      <c r="A327" s="14" t="str">
        <f t="shared" si="1"/>
        <v/>
      </c>
      <c r="B327" s="17" t="str">
        <f t="shared" si="3"/>
        <v/>
      </c>
      <c r="C327" s="18" t="str">
        <f t="shared" si="4"/>
        <v/>
      </c>
      <c r="D327" s="7"/>
      <c r="E327" s="7" t="str">
        <f t="array" ref="E327">XLOOKUP(D327,'Master Barang'!B:B,'Master Barang'!C:C,,0)</f>
        <v/>
      </c>
      <c r="F327" s="7"/>
      <c r="G327" s="19" t="str">
        <f>IFERROR(__xludf.DUMMYFUNCTION("IF(OR(E327="""",F327&lt;&gt;""Barang Datang""), """",
  IFERROR(
    INDEX(
      SORT(
        FILTER(Jadwal!F:F, Jadwal!C:C=E327),
        FILTER(Jadwal!E:E, Jadwal!C:C=E327),
        FALSE
      ),
      1
    ),
    ""TIDAK ADA JADWAL""
  )
)"),"")</f>
        <v/>
      </c>
      <c r="H327" s="7" t="str">
        <f t="shared" si="2"/>
        <v/>
      </c>
      <c r="L327" s="13"/>
      <c r="M327" s="13"/>
    </row>
    <row r="328" ht="15.75" customHeight="1">
      <c r="A328" s="14" t="str">
        <f t="shared" si="1"/>
        <v/>
      </c>
      <c r="B328" s="17" t="str">
        <f t="shared" si="3"/>
        <v/>
      </c>
      <c r="C328" s="18" t="str">
        <f t="shared" si="4"/>
        <v/>
      </c>
      <c r="D328" s="7"/>
      <c r="E328" s="7" t="str">
        <f t="array" ref="E328">XLOOKUP(D328,'Master Barang'!B:B,'Master Barang'!C:C,,0)</f>
        <v/>
      </c>
      <c r="F328" s="7"/>
      <c r="G328" s="19" t="str">
        <f>IFERROR(__xludf.DUMMYFUNCTION("IF(OR(E328="""",F328&lt;&gt;""Barang Datang""), """",
  IFERROR(
    INDEX(
      SORT(
        FILTER(Jadwal!F:F, Jadwal!C:C=E328),
        FILTER(Jadwal!E:E, Jadwal!C:C=E328),
        FALSE
      ),
      1
    ),
    ""TIDAK ADA JADWAL""
  )
)"),"")</f>
        <v/>
      </c>
      <c r="H328" s="7" t="str">
        <f t="shared" si="2"/>
        <v/>
      </c>
      <c r="L328" s="13"/>
      <c r="M328" s="13"/>
    </row>
    <row r="329" ht="15.75" customHeight="1">
      <c r="A329" s="14" t="str">
        <f t="shared" si="1"/>
        <v/>
      </c>
      <c r="B329" s="17" t="str">
        <f t="shared" si="3"/>
        <v/>
      </c>
      <c r="C329" s="18" t="str">
        <f t="shared" si="4"/>
        <v/>
      </c>
      <c r="D329" s="7"/>
      <c r="E329" s="7" t="str">
        <f t="array" ref="E329">XLOOKUP(D329,'Master Barang'!B:B,'Master Barang'!C:C,,0)</f>
        <v/>
      </c>
      <c r="F329" s="7"/>
      <c r="G329" s="19" t="str">
        <f>IFERROR(__xludf.DUMMYFUNCTION("IF(OR(E329="""",F329&lt;&gt;""Barang Datang""), """",
  IFERROR(
    INDEX(
      SORT(
        FILTER(Jadwal!F:F, Jadwal!C:C=E329),
        FILTER(Jadwal!E:E, Jadwal!C:C=E329),
        FALSE
      ),
      1
    ),
    ""TIDAK ADA JADWAL""
  )
)"),"")</f>
        <v/>
      </c>
      <c r="H329" s="7" t="str">
        <f t="shared" si="2"/>
        <v/>
      </c>
      <c r="L329" s="13"/>
      <c r="M329" s="13"/>
    </row>
    <row r="330" ht="15.75" customHeight="1">
      <c r="A330" s="14" t="str">
        <f t="shared" si="1"/>
        <v/>
      </c>
      <c r="B330" s="17" t="str">
        <f t="shared" si="3"/>
        <v/>
      </c>
      <c r="C330" s="18" t="str">
        <f t="shared" si="4"/>
        <v/>
      </c>
      <c r="D330" s="7"/>
      <c r="E330" s="7" t="str">
        <f t="array" ref="E330">XLOOKUP(D330,'Master Barang'!B:B,'Master Barang'!C:C,,0)</f>
        <v/>
      </c>
      <c r="F330" s="7"/>
      <c r="G330" s="19" t="str">
        <f>IFERROR(__xludf.DUMMYFUNCTION("IF(OR(E330="""",F330&lt;&gt;""Barang Datang""), """",
  IFERROR(
    INDEX(
      SORT(
        FILTER(Jadwal!F:F, Jadwal!C:C=E330),
        FILTER(Jadwal!E:E, Jadwal!C:C=E330),
        FALSE
      ),
      1
    ),
    ""TIDAK ADA JADWAL""
  )
)"),"")</f>
        <v/>
      </c>
      <c r="H330" s="7" t="str">
        <f t="shared" si="2"/>
        <v/>
      </c>
      <c r="L330" s="13"/>
      <c r="M330" s="13"/>
    </row>
    <row r="331" ht="15.75" customHeight="1">
      <c r="A331" s="14" t="str">
        <f t="shared" si="1"/>
        <v/>
      </c>
      <c r="B331" s="17" t="str">
        <f t="shared" si="3"/>
        <v/>
      </c>
      <c r="C331" s="18" t="str">
        <f t="shared" si="4"/>
        <v/>
      </c>
      <c r="D331" s="7"/>
      <c r="E331" s="7" t="str">
        <f t="array" ref="E331">XLOOKUP(D331,'Master Barang'!B:B,'Master Barang'!C:C,,0)</f>
        <v/>
      </c>
      <c r="F331" s="7"/>
      <c r="G331" s="19" t="str">
        <f>IFERROR(__xludf.DUMMYFUNCTION("IF(OR(E331="""",F331&lt;&gt;""Barang Datang""), """",
  IFERROR(
    INDEX(
      SORT(
        FILTER(Jadwal!F:F, Jadwal!C:C=E331),
        FILTER(Jadwal!E:E, Jadwal!C:C=E331),
        FALSE
      ),
      1
    ),
    ""TIDAK ADA JADWAL""
  )
)"),"")</f>
        <v/>
      </c>
      <c r="H331" s="7" t="str">
        <f t="shared" si="2"/>
        <v/>
      </c>
      <c r="L331" s="13"/>
      <c r="M331" s="13"/>
    </row>
    <row r="332" ht="15.75" customHeight="1">
      <c r="A332" s="14" t="str">
        <f t="shared" si="1"/>
        <v/>
      </c>
      <c r="B332" s="17" t="str">
        <f t="shared" si="3"/>
        <v/>
      </c>
      <c r="C332" s="18" t="str">
        <f t="shared" si="4"/>
        <v/>
      </c>
      <c r="D332" s="7"/>
      <c r="E332" s="7" t="str">
        <f t="array" ref="E332">XLOOKUP(D332,'Master Barang'!B:B,'Master Barang'!C:C,,0)</f>
        <v/>
      </c>
      <c r="F332" s="7"/>
      <c r="G332" s="19" t="str">
        <f>IFERROR(__xludf.DUMMYFUNCTION("IF(OR(E332="""",F332&lt;&gt;""Barang Datang""), """",
  IFERROR(
    INDEX(
      SORT(
        FILTER(Jadwal!F:F, Jadwal!C:C=E332),
        FILTER(Jadwal!E:E, Jadwal!C:C=E332),
        FALSE
      ),
      1
    ),
    ""TIDAK ADA JADWAL""
  )
)"),"")</f>
        <v/>
      </c>
      <c r="H332" s="7" t="str">
        <f t="shared" si="2"/>
        <v/>
      </c>
      <c r="L332" s="13"/>
      <c r="M332" s="13"/>
    </row>
    <row r="333" ht="15.75" customHeight="1">
      <c r="A333" s="14" t="str">
        <f t="shared" si="1"/>
        <v/>
      </c>
      <c r="B333" s="17" t="str">
        <f t="shared" si="3"/>
        <v/>
      </c>
      <c r="C333" s="18" t="str">
        <f t="shared" si="4"/>
        <v/>
      </c>
      <c r="D333" s="7"/>
      <c r="E333" s="7" t="str">
        <f t="array" ref="E333">XLOOKUP(D333,'Master Barang'!B:B,'Master Barang'!C:C,,0)</f>
        <v/>
      </c>
      <c r="F333" s="7"/>
      <c r="G333" s="19" t="str">
        <f>IFERROR(__xludf.DUMMYFUNCTION("IF(OR(E333="""",F333&lt;&gt;""Barang Datang""), """",
  IFERROR(
    INDEX(
      SORT(
        FILTER(Jadwal!F:F, Jadwal!C:C=E333),
        FILTER(Jadwal!E:E, Jadwal!C:C=E333),
        FALSE
      ),
      1
    ),
    ""TIDAK ADA JADWAL""
  )
)"),"")</f>
        <v/>
      </c>
      <c r="H333" s="7" t="str">
        <f t="shared" si="2"/>
        <v/>
      </c>
      <c r="L333" s="13"/>
      <c r="M333" s="13"/>
    </row>
    <row r="334" ht="15.75" customHeight="1">
      <c r="A334" s="14" t="str">
        <f t="shared" si="1"/>
        <v/>
      </c>
      <c r="B334" s="17" t="str">
        <f t="shared" si="3"/>
        <v/>
      </c>
      <c r="C334" s="18" t="str">
        <f t="shared" si="4"/>
        <v/>
      </c>
      <c r="D334" s="7"/>
      <c r="E334" s="7" t="str">
        <f t="array" ref="E334">XLOOKUP(D334,'Master Barang'!B:B,'Master Barang'!C:C,,0)</f>
        <v/>
      </c>
      <c r="F334" s="7"/>
      <c r="G334" s="19" t="str">
        <f>IFERROR(__xludf.DUMMYFUNCTION("IF(OR(E334="""",F334&lt;&gt;""Barang Datang""), """",
  IFERROR(
    INDEX(
      SORT(
        FILTER(Jadwal!F:F, Jadwal!C:C=E334),
        FILTER(Jadwal!E:E, Jadwal!C:C=E334),
        FALSE
      ),
      1
    ),
    ""TIDAK ADA JADWAL""
  )
)"),"")</f>
        <v/>
      </c>
      <c r="H334" s="7" t="str">
        <f t="shared" si="2"/>
        <v/>
      </c>
      <c r="L334" s="13"/>
      <c r="M334" s="13"/>
    </row>
    <row r="335" ht="15.75" customHeight="1">
      <c r="A335" s="14" t="str">
        <f t="shared" si="1"/>
        <v/>
      </c>
      <c r="B335" s="17" t="str">
        <f t="shared" si="3"/>
        <v/>
      </c>
      <c r="C335" s="18" t="str">
        <f t="shared" si="4"/>
        <v/>
      </c>
      <c r="D335" s="7"/>
      <c r="E335" s="7" t="str">
        <f t="array" ref="E335">XLOOKUP(D335,'Master Barang'!B:B,'Master Barang'!C:C,,0)</f>
        <v/>
      </c>
      <c r="F335" s="7"/>
      <c r="G335" s="19" t="str">
        <f>IFERROR(__xludf.DUMMYFUNCTION("IF(OR(E335="""",F335&lt;&gt;""Barang Datang""), """",
  IFERROR(
    INDEX(
      SORT(
        FILTER(Jadwal!F:F, Jadwal!C:C=E335),
        FILTER(Jadwal!E:E, Jadwal!C:C=E335),
        FALSE
      ),
      1
    ),
    ""TIDAK ADA JADWAL""
  )
)"),"")</f>
        <v/>
      </c>
      <c r="H335" s="7" t="str">
        <f t="shared" si="2"/>
        <v/>
      </c>
      <c r="L335" s="13"/>
      <c r="M335" s="13"/>
    </row>
    <row r="336" ht="15.75" customHeight="1">
      <c r="A336" s="14" t="str">
        <f t="shared" si="1"/>
        <v/>
      </c>
      <c r="B336" s="17" t="str">
        <f t="shared" si="3"/>
        <v/>
      </c>
      <c r="C336" s="18" t="str">
        <f t="shared" si="4"/>
        <v/>
      </c>
      <c r="D336" s="7"/>
      <c r="E336" s="7" t="str">
        <f t="array" ref="E336">XLOOKUP(D336,'Master Barang'!B:B,'Master Barang'!C:C,,0)</f>
        <v/>
      </c>
      <c r="F336" s="7"/>
      <c r="G336" s="19" t="str">
        <f>IFERROR(__xludf.DUMMYFUNCTION("IF(OR(E336="""",F336&lt;&gt;""Barang Datang""), """",
  IFERROR(
    INDEX(
      SORT(
        FILTER(Jadwal!F:F, Jadwal!C:C=E336),
        FILTER(Jadwal!E:E, Jadwal!C:C=E336),
        FALSE
      ),
      1
    ),
    ""TIDAK ADA JADWAL""
  )
)"),"")</f>
        <v/>
      </c>
      <c r="H336" s="7" t="str">
        <f t="shared" si="2"/>
        <v/>
      </c>
      <c r="L336" s="13"/>
      <c r="M336" s="13"/>
    </row>
    <row r="337" ht="15.75" customHeight="1">
      <c r="A337" s="14" t="str">
        <f t="shared" si="1"/>
        <v/>
      </c>
      <c r="B337" s="17" t="str">
        <f t="shared" si="3"/>
        <v/>
      </c>
      <c r="C337" s="18" t="str">
        <f t="shared" si="4"/>
        <v/>
      </c>
      <c r="D337" s="7"/>
      <c r="E337" s="7" t="str">
        <f t="array" ref="E337">XLOOKUP(D337,'Master Barang'!B:B,'Master Barang'!C:C,,0)</f>
        <v/>
      </c>
      <c r="F337" s="7"/>
      <c r="G337" s="19" t="str">
        <f>IFERROR(__xludf.DUMMYFUNCTION("IF(OR(E337="""",F337&lt;&gt;""Barang Datang""), """",
  IFERROR(
    INDEX(
      SORT(
        FILTER(Jadwal!F:F, Jadwal!C:C=E337),
        FILTER(Jadwal!E:E, Jadwal!C:C=E337),
        FALSE
      ),
      1
    ),
    ""TIDAK ADA JADWAL""
  )
)"),"")</f>
        <v/>
      </c>
      <c r="H337" s="7" t="str">
        <f t="shared" si="2"/>
        <v/>
      </c>
      <c r="L337" s="13"/>
      <c r="M337" s="13"/>
    </row>
    <row r="338" ht="15.75" customHeight="1">
      <c r="A338" s="14" t="str">
        <f t="shared" si="1"/>
        <v/>
      </c>
      <c r="B338" s="17" t="str">
        <f t="shared" si="3"/>
        <v/>
      </c>
      <c r="C338" s="18" t="str">
        <f t="shared" si="4"/>
        <v/>
      </c>
      <c r="D338" s="7"/>
      <c r="E338" s="7" t="str">
        <f t="array" ref="E338">XLOOKUP(D338,'Master Barang'!B:B,'Master Barang'!C:C,,0)</f>
        <v/>
      </c>
      <c r="F338" s="7"/>
      <c r="G338" s="19" t="str">
        <f>IFERROR(__xludf.DUMMYFUNCTION("IF(OR(E338="""",F338&lt;&gt;""Barang Datang""), """",
  IFERROR(
    INDEX(
      SORT(
        FILTER(Jadwal!F:F, Jadwal!C:C=E338),
        FILTER(Jadwal!E:E, Jadwal!C:C=E338),
        FALSE
      ),
      1
    ),
    ""TIDAK ADA JADWAL""
  )
)"),"")</f>
        <v/>
      </c>
      <c r="H338" s="7" t="str">
        <f t="shared" si="2"/>
        <v/>
      </c>
      <c r="L338" s="13"/>
      <c r="M338" s="13"/>
    </row>
    <row r="339" ht="15.75" customHeight="1">
      <c r="A339" s="14" t="str">
        <f t="shared" si="1"/>
        <v/>
      </c>
      <c r="B339" s="17" t="str">
        <f t="shared" si="3"/>
        <v/>
      </c>
      <c r="C339" s="18" t="str">
        <f t="shared" si="4"/>
        <v/>
      </c>
      <c r="D339" s="7"/>
      <c r="E339" s="7" t="str">
        <f t="array" ref="E339">XLOOKUP(D339,'Master Barang'!B:B,'Master Barang'!C:C,,0)</f>
        <v/>
      </c>
      <c r="F339" s="7"/>
      <c r="G339" s="19" t="str">
        <f>IFERROR(__xludf.DUMMYFUNCTION("IF(OR(E339="""",F339&lt;&gt;""Barang Datang""), """",
  IFERROR(
    INDEX(
      SORT(
        FILTER(Jadwal!F:F, Jadwal!C:C=E339),
        FILTER(Jadwal!E:E, Jadwal!C:C=E339),
        FALSE
      ),
      1
    ),
    ""TIDAK ADA JADWAL""
  )
)"),"")</f>
        <v/>
      </c>
      <c r="H339" s="7" t="str">
        <f t="shared" si="2"/>
        <v/>
      </c>
      <c r="L339" s="13"/>
      <c r="M339" s="13"/>
    </row>
    <row r="340" ht="15.75" customHeight="1">
      <c r="A340" s="14" t="str">
        <f t="shared" si="1"/>
        <v/>
      </c>
      <c r="B340" s="17" t="str">
        <f t="shared" si="3"/>
        <v/>
      </c>
      <c r="C340" s="18" t="str">
        <f t="shared" si="4"/>
        <v/>
      </c>
      <c r="D340" s="7"/>
      <c r="E340" s="7" t="str">
        <f t="array" ref="E340">XLOOKUP(D340,'Master Barang'!B:B,'Master Barang'!C:C,,0)</f>
        <v/>
      </c>
      <c r="F340" s="7"/>
      <c r="G340" s="19" t="str">
        <f>IFERROR(__xludf.DUMMYFUNCTION("IF(OR(E340="""",F340&lt;&gt;""Barang Datang""), """",
  IFERROR(
    INDEX(
      SORT(
        FILTER(Jadwal!F:F, Jadwal!C:C=E340),
        FILTER(Jadwal!E:E, Jadwal!C:C=E340),
        FALSE
      ),
      1
    ),
    ""TIDAK ADA JADWAL""
  )
)"),"")</f>
        <v/>
      </c>
      <c r="H340" s="7" t="str">
        <f t="shared" si="2"/>
        <v/>
      </c>
      <c r="L340" s="13"/>
      <c r="M340" s="13"/>
    </row>
    <row r="341" ht="15.75" customHeight="1">
      <c r="A341" s="14" t="str">
        <f t="shared" si="1"/>
        <v/>
      </c>
      <c r="B341" s="17" t="str">
        <f t="shared" si="3"/>
        <v/>
      </c>
      <c r="C341" s="18" t="str">
        <f t="shared" si="4"/>
        <v/>
      </c>
      <c r="D341" s="7"/>
      <c r="E341" s="7" t="str">
        <f t="array" ref="E341">XLOOKUP(D341,'Master Barang'!B:B,'Master Barang'!C:C,,0)</f>
        <v/>
      </c>
      <c r="F341" s="7"/>
      <c r="G341" s="19" t="str">
        <f>IFERROR(__xludf.DUMMYFUNCTION("IF(OR(E341="""",F341&lt;&gt;""Barang Datang""), """",
  IFERROR(
    INDEX(
      SORT(
        FILTER(Jadwal!F:F, Jadwal!C:C=E341),
        FILTER(Jadwal!E:E, Jadwal!C:C=E341),
        FALSE
      ),
      1
    ),
    ""TIDAK ADA JADWAL""
  )
)"),"")</f>
        <v/>
      </c>
      <c r="H341" s="7" t="str">
        <f t="shared" si="2"/>
        <v/>
      </c>
      <c r="L341" s="13"/>
      <c r="M341" s="13"/>
    </row>
    <row r="342" ht="15.75" customHeight="1">
      <c r="A342" s="14" t="str">
        <f t="shared" si="1"/>
        <v/>
      </c>
      <c r="B342" s="17" t="str">
        <f t="shared" si="3"/>
        <v/>
      </c>
      <c r="C342" s="18" t="str">
        <f t="shared" si="4"/>
        <v/>
      </c>
      <c r="D342" s="7"/>
      <c r="E342" s="7" t="str">
        <f t="array" ref="E342">XLOOKUP(D342,'Master Barang'!B:B,'Master Barang'!C:C,,0)</f>
        <v/>
      </c>
      <c r="F342" s="7"/>
      <c r="G342" s="19" t="str">
        <f>IFERROR(__xludf.DUMMYFUNCTION("IF(OR(E342="""",F342&lt;&gt;""Barang Datang""), """",
  IFERROR(
    INDEX(
      SORT(
        FILTER(Jadwal!F:F, Jadwal!C:C=E342),
        FILTER(Jadwal!E:E, Jadwal!C:C=E342),
        FALSE
      ),
      1
    ),
    ""TIDAK ADA JADWAL""
  )
)"),"")</f>
        <v/>
      </c>
      <c r="H342" s="7" t="str">
        <f t="shared" si="2"/>
        <v/>
      </c>
      <c r="L342" s="13"/>
      <c r="M342" s="13"/>
    </row>
    <row r="343" ht="15.75" customHeight="1">
      <c r="A343" s="14" t="str">
        <f t="shared" si="1"/>
        <v/>
      </c>
      <c r="B343" s="17" t="str">
        <f t="shared" si="3"/>
        <v/>
      </c>
      <c r="C343" s="18" t="str">
        <f t="shared" si="4"/>
        <v/>
      </c>
      <c r="D343" s="7"/>
      <c r="E343" s="7" t="str">
        <f t="array" ref="E343">XLOOKUP(D343,'Master Barang'!B:B,'Master Barang'!C:C,,0)</f>
        <v/>
      </c>
      <c r="F343" s="7"/>
      <c r="G343" s="19" t="str">
        <f>IFERROR(__xludf.DUMMYFUNCTION("IF(OR(E343="""",F343&lt;&gt;""Barang Datang""), """",
  IFERROR(
    INDEX(
      SORT(
        FILTER(Jadwal!F:F, Jadwal!C:C=E343),
        FILTER(Jadwal!E:E, Jadwal!C:C=E343),
        FALSE
      ),
      1
    ),
    ""TIDAK ADA JADWAL""
  )
)"),"")</f>
        <v/>
      </c>
      <c r="H343" s="7" t="str">
        <f t="shared" si="2"/>
        <v/>
      </c>
      <c r="L343" s="13"/>
      <c r="M343" s="13"/>
    </row>
    <row r="344" ht="15.75" customHeight="1">
      <c r="A344" s="14" t="str">
        <f t="shared" si="1"/>
        <v/>
      </c>
      <c r="B344" s="17" t="str">
        <f t="shared" si="3"/>
        <v/>
      </c>
      <c r="C344" s="18" t="str">
        <f t="shared" si="4"/>
        <v/>
      </c>
      <c r="D344" s="7"/>
      <c r="E344" s="7" t="str">
        <f t="array" ref="E344">XLOOKUP(D344,'Master Barang'!B:B,'Master Barang'!C:C,,0)</f>
        <v/>
      </c>
      <c r="F344" s="7"/>
      <c r="G344" s="19" t="str">
        <f>IFERROR(__xludf.DUMMYFUNCTION("IF(OR(E344="""",F344&lt;&gt;""Barang Datang""), """",
  IFERROR(
    INDEX(
      SORT(
        FILTER(Jadwal!F:F, Jadwal!C:C=E344),
        FILTER(Jadwal!E:E, Jadwal!C:C=E344),
        FALSE
      ),
      1
    ),
    ""TIDAK ADA JADWAL""
  )
)"),"")</f>
        <v/>
      </c>
      <c r="H344" s="7" t="str">
        <f t="shared" si="2"/>
        <v/>
      </c>
      <c r="L344" s="13"/>
      <c r="M344" s="13"/>
    </row>
    <row r="345" ht="15.75" customHeight="1">
      <c r="A345" s="14" t="str">
        <f t="shared" si="1"/>
        <v/>
      </c>
      <c r="B345" s="17" t="str">
        <f t="shared" si="3"/>
        <v/>
      </c>
      <c r="C345" s="18" t="str">
        <f t="shared" si="4"/>
        <v/>
      </c>
      <c r="D345" s="7"/>
      <c r="E345" s="7" t="str">
        <f t="array" ref="E345">XLOOKUP(D345,'Master Barang'!B:B,'Master Barang'!C:C,,0)</f>
        <v/>
      </c>
      <c r="F345" s="7"/>
      <c r="G345" s="19" t="str">
        <f>IFERROR(__xludf.DUMMYFUNCTION("IF(OR(E345="""",F345&lt;&gt;""Barang Datang""), """",
  IFERROR(
    INDEX(
      SORT(
        FILTER(Jadwal!F:F, Jadwal!C:C=E345),
        FILTER(Jadwal!E:E, Jadwal!C:C=E345),
        FALSE
      ),
      1
    ),
    ""TIDAK ADA JADWAL""
  )
)"),"")</f>
        <v/>
      </c>
      <c r="H345" s="7" t="str">
        <f t="shared" si="2"/>
        <v/>
      </c>
      <c r="L345" s="13"/>
      <c r="M345" s="13"/>
    </row>
    <row r="346" ht="15.75" customHeight="1">
      <c r="A346" s="14" t="str">
        <f t="shared" si="1"/>
        <v/>
      </c>
      <c r="B346" s="17" t="str">
        <f t="shared" si="3"/>
        <v/>
      </c>
      <c r="C346" s="18" t="str">
        <f t="shared" si="4"/>
        <v/>
      </c>
      <c r="D346" s="7"/>
      <c r="E346" s="7" t="str">
        <f t="array" ref="E346">XLOOKUP(D346,'Master Barang'!B:B,'Master Barang'!C:C,,0)</f>
        <v/>
      </c>
      <c r="F346" s="7"/>
      <c r="G346" s="19" t="str">
        <f>IFERROR(__xludf.DUMMYFUNCTION("IF(OR(E346="""",F346&lt;&gt;""Barang Datang""), """",
  IFERROR(
    INDEX(
      SORT(
        FILTER(Jadwal!F:F, Jadwal!C:C=E346),
        FILTER(Jadwal!E:E, Jadwal!C:C=E346),
        FALSE
      ),
      1
    ),
    ""TIDAK ADA JADWAL""
  )
)"),"")</f>
        <v/>
      </c>
      <c r="H346" s="7" t="str">
        <f t="shared" si="2"/>
        <v/>
      </c>
      <c r="L346" s="13"/>
      <c r="M346" s="13"/>
    </row>
    <row r="347" ht="15.75" customHeight="1">
      <c r="A347" s="14" t="str">
        <f t="shared" si="1"/>
        <v/>
      </c>
      <c r="B347" s="17" t="str">
        <f t="shared" si="3"/>
        <v/>
      </c>
      <c r="C347" s="18" t="str">
        <f t="shared" si="4"/>
        <v/>
      </c>
      <c r="D347" s="7"/>
      <c r="E347" s="7" t="str">
        <f t="array" ref="E347">XLOOKUP(D347,'Master Barang'!B:B,'Master Barang'!C:C,,0)</f>
        <v/>
      </c>
      <c r="F347" s="7"/>
      <c r="G347" s="19" t="str">
        <f>IFERROR(__xludf.DUMMYFUNCTION("IF(OR(E347="""",F347&lt;&gt;""Barang Datang""), """",
  IFERROR(
    INDEX(
      SORT(
        FILTER(Jadwal!F:F, Jadwal!C:C=E347),
        FILTER(Jadwal!E:E, Jadwal!C:C=E347),
        FALSE
      ),
      1
    ),
    ""TIDAK ADA JADWAL""
  )
)"),"")</f>
        <v/>
      </c>
      <c r="H347" s="7" t="str">
        <f t="shared" si="2"/>
        <v/>
      </c>
      <c r="L347" s="13"/>
      <c r="M347" s="13"/>
    </row>
    <row r="348" ht="15.75" customHeight="1">
      <c r="A348" s="14" t="str">
        <f t="shared" si="1"/>
        <v/>
      </c>
      <c r="B348" s="17" t="str">
        <f t="shared" si="3"/>
        <v/>
      </c>
      <c r="C348" s="18" t="str">
        <f t="shared" si="4"/>
        <v/>
      </c>
      <c r="D348" s="7"/>
      <c r="E348" s="7" t="str">
        <f t="array" ref="E348">XLOOKUP(D348,'Master Barang'!B:B,'Master Barang'!C:C,,0)</f>
        <v/>
      </c>
      <c r="F348" s="7"/>
      <c r="G348" s="19" t="str">
        <f>IFERROR(__xludf.DUMMYFUNCTION("IF(OR(E348="""",F348&lt;&gt;""Barang Datang""), """",
  IFERROR(
    INDEX(
      SORT(
        FILTER(Jadwal!F:F, Jadwal!C:C=E348),
        FILTER(Jadwal!E:E, Jadwal!C:C=E348),
        FALSE
      ),
      1
    ),
    ""TIDAK ADA JADWAL""
  )
)"),"")</f>
        <v/>
      </c>
      <c r="H348" s="7" t="str">
        <f t="shared" si="2"/>
        <v/>
      </c>
      <c r="L348" s="13"/>
      <c r="M348" s="13"/>
    </row>
    <row r="349" ht="15.75" customHeight="1">
      <c r="A349" s="14" t="str">
        <f t="shared" si="1"/>
        <v/>
      </c>
      <c r="B349" s="17" t="str">
        <f t="shared" si="3"/>
        <v/>
      </c>
      <c r="C349" s="18" t="str">
        <f t="shared" si="4"/>
        <v/>
      </c>
      <c r="D349" s="7"/>
      <c r="E349" s="7" t="str">
        <f t="array" ref="E349">XLOOKUP(D349,'Master Barang'!B:B,'Master Barang'!C:C,,0)</f>
        <v/>
      </c>
      <c r="F349" s="7"/>
      <c r="G349" s="19" t="str">
        <f>IFERROR(__xludf.DUMMYFUNCTION("IF(OR(E349="""",F349&lt;&gt;""Barang Datang""), """",
  IFERROR(
    INDEX(
      SORT(
        FILTER(Jadwal!F:F, Jadwal!C:C=E349),
        FILTER(Jadwal!E:E, Jadwal!C:C=E349),
        FALSE
      ),
      1
    ),
    ""TIDAK ADA JADWAL""
  )
)"),"")</f>
        <v/>
      </c>
      <c r="H349" s="7" t="str">
        <f t="shared" si="2"/>
        <v/>
      </c>
      <c r="L349" s="13"/>
      <c r="M349" s="13"/>
    </row>
    <row r="350" ht="15.75" customHeight="1">
      <c r="A350" s="14" t="str">
        <f t="shared" si="1"/>
        <v/>
      </c>
      <c r="B350" s="17" t="str">
        <f t="shared" si="3"/>
        <v/>
      </c>
      <c r="C350" s="18" t="str">
        <f t="shared" si="4"/>
        <v/>
      </c>
      <c r="D350" s="7"/>
      <c r="E350" s="7" t="str">
        <f t="array" ref="E350">XLOOKUP(D350,'Master Barang'!B:B,'Master Barang'!C:C,,0)</f>
        <v/>
      </c>
      <c r="F350" s="7"/>
      <c r="G350" s="19" t="str">
        <f>IFERROR(__xludf.DUMMYFUNCTION("IF(OR(E350="""",F350&lt;&gt;""Barang Datang""), """",
  IFERROR(
    INDEX(
      SORT(
        FILTER(Jadwal!F:F, Jadwal!C:C=E350),
        FILTER(Jadwal!E:E, Jadwal!C:C=E350),
        FALSE
      ),
      1
    ),
    ""TIDAK ADA JADWAL""
  )
)"),"")</f>
        <v/>
      </c>
      <c r="H350" s="7" t="str">
        <f t="shared" si="2"/>
        <v/>
      </c>
      <c r="L350" s="13"/>
      <c r="M350" s="13"/>
    </row>
    <row r="351" ht="15.75" customHeight="1">
      <c r="A351" s="14" t="str">
        <f t="shared" si="1"/>
        <v/>
      </c>
      <c r="B351" s="17" t="str">
        <f t="shared" si="3"/>
        <v/>
      </c>
      <c r="C351" s="18" t="str">
        <f t="shared" si="4"/>
        <v/>
      </c>
      <c r="D351" s="7"/>
      <c r="E351" s="7" t="str">
        <f t="array" ref="E351">XLOOKUP(D351,'Master Barang'!B:B,'Master Barang'!C:C,,0)</f>
        <v/>
      </c>
      <c r="F351" s="7"/>
      <c r="G351" s="19" t="str">
        <f>IFERROR(__xludf.DUMMYFUNCTION("IF(OR(E351="""",F351&lt;&gt;""Barang Datang""), """",
  IFERROR(
    INDEX(
      SORT(
        FILTER(Jadwal!F:F, Jadwal!C:C=E351),
        FILTER(Jadwal!E:E, Jadwal!C:C=E351),
        FALSE
      ),
      1
    ),
    ""TIDAK ADA JADWAL""
  )
)"),"")</f>
        <v/>
      </c>
      <c r="H351" s="7" t="str">
        <f t="shared" si="2"/>
        <v/>
      </c>
      <c r="L351" s="13"/>
      <c r="M351" s="13"/>
    </row>
    <row r="352" ht="15.75" customHeight="1">
      <c r="A352" s="14" t="str">
        <f t="shared" si="1"/>
        <v/>
      </c>
      <c r="B352" s="17" t="str">
        <f t="shared" si="3"/>
        <v/>
      </c>
      <c r="C352" s="18" t="str">
        <f t="shared" si="4"/>
        <v/>
      </c>
      <c r="D352" s="7"/>
      <c r="F352" s="7"/>
      <c r="G352" s="19" t="str">
        <f>IFERROR(__xludf.DUMMYFUNCTION("IF(OR(E352="""",F352&lt;&gt;""Barang Datang""), """",
  IFERROR(
    INDEX(
      SORT(
        FILTER(Jadwal!F:F, Jadwal!C:C=E352),
        FILTER(Jadwal!E:E, Jadwal!C:C=E352),
        FALSE
      ),
      1
    ),
    ""TIDAK ADA JADWAL""
  )
)"),"")</f>
        <v/>
      </c>
      <c r="H352" s="7" t="str">
        <f t="shared" si="2"/>
        <v/>
      </c>
      <c r="L352" s="13"/>
      <c r="M352" s="13"/>
    </row>
    <row r="353" ht="15.75" customHeight="1">
      <c r="A353" s="14" t="str">
        <f t="shared" si="1"/>
        <v/>
      </c>
      <c r="B353" s="17" t="str">
        <f t="shared" si="3"/>
        <v/>
      </c>
      <c r="C353" s="18" t="str">
        <f t="shared" si="4"/>
        <v/>
      </c>
      <c r="D353" s="7"/>
      <c r="F353" s="7"/>
      <c r="G353" s="19" t="str">
        <f>IFERROR(__xludf.DUMMYFUNCTION("IF(OR(E353="""",F353&lt;&gt;""Barang Datang""), """",
  IFERROR(
    INDEX(
      SORT(
        FILTER(Jadwal!F:F, Jadwal!C:C=E353),
        FILTER(Jadwal!E:E, Jadwal!C:C=E353),
        FALSE
      ),
      1
    ),
    ""TIDAK ADA JADWAL""
  )
)"),"")</f>
        <v/>
      </c>
      <c r="H353" s="7" t="str">
        <f t="shared" si="2"/>
        <v/>
      </c>
      <c r="L353" s="13"/>
      <c r="M353" s="13"/>
    </row>
    <row r="354" ht="15.75" customHeight="1">
      <c r="A354" s="14" t="str">
        <f t="shared" si="1"/>
        <v/>
      </c>
      <c r="B354" s="17" t="str">
        <f t="shared" si="3"/>
        <v/>
      </c>
      <c r="C354" s="18" t="str">
        <f t="shared" si="4"/>
        <v/>
      </c>
      <c r="D354" s="7"/>
      <c r="F354" s="7"/>
      <c r="G354" s="19" t="str">
        <f>IFERROR(__xludf.DUMMYFUNCTION("IF(OR(E354="""",F354&lt;&gt;""Barang Datang""), """",
  IFERROR(
    INDEX(
      SORT(
        FILTER(Jadwal!F:F, Jadwal!C:C=E354),
        FILTER(Jadwal!E:E, Jadwal!C:C=E354),
        FALSE
      ),
      1
    ),
    ""TIDAK ADA JADWAL""
  )
)"),"")</f>
        <v/>
      </c>
      <c r="H354" s="7" t="str">
        <f t="shared" si="2"/>
        <v/>
      </c>
      <c r="L354" s="13"/>
      <c r="M354" s="13"/>
    </row>
    <row r="355" ht="15.75" customHeight="1">
      <c r="A355" s="14" t="str">
        <f t="shared" si="1"/>
        <v/>
      </c>
      <c r="B355" s="17" t="str">
        <f t="shared" si="3"/>
        <v/>
      </c>
      <c r="C355" s="18" t="str">
        <f t="shared" si="4"/>
        <v/>
      </c>
      <c r="D355" s="7"/>
      <c r="F355" s="7"/>
      <c r="G355" s="19" t="str">
        <f>IFERROR(__xludf.DUMMYFUNCTION("IF(OR(E355="""",F355&lt;&gt;""Barang Datang""), """",
  IFERROR(
    INDEX(
      SORT(
        FILTER(Jadwal!F:F, Jadwal!C:C=E355),
        FILTER(Jadwal!E:E, Jadwal!C:C=E355),
        FALSE
      ),
      1
    ),
    ""TIDAK ADA JADWAL""
  )
)"),"")</f>
        <v/>
      </c>
      <c r="H355" s="7" t="str">
        <f t="shared" si="2"/>
        <v/>
      </c>
      <c r="L355" s="13"/>
      <c r="M355" s="13"/>
    </row>
    <row r="356" ht="15.75" customHeight="1">
      <c r="A356" s="14" t="str">
        <f t="shared" si="1"/>
        <v/>
      </c>
      <c r="B356" s="17" t="str">
        <f t="shared" si="3"/>
        <v/>
      </c>
      <c r="C356" s="18" t="str">
        <f t="shared" si="4"/>
        <v/>
      </c>
      <c r="D356" s="7"/>
      <c r="F356" s="7"/>
      <c r="G356" s="19" t="str">
        <f>IFERROR(__xludf.DUMMYFUNCTION("IF(OR(E356="""",F356&lt;&gt;""Barang Datang""), """",
  IFERROR(
    INDEX(
      SORT(
        FILTER(Jadwal!F:F, Jadwal!C:C=E356),
        FILTER(Jadwal!E:E, Jadwal!C:C=E356),
        FALSE
      ),
      1
    ),
    ""TIDAK ADA JADWAL""
  )
)"),"")</f>
        <v/>
      </c>
      <c r="H356" s="7" t="str">
        <f t="shared" si="2"/>
        <v/>
      </c>
      <c r="L356" s="13"/>
      <c r="M356" s="13"/>
    </row>
    <row r="357" ht="15.75" customHeight="1">
      <c r="A357" s="14" t="str">
        <f t="shared" si="1"/>
        <v/>
      </c>
      <c r="B357" s="17" t="str">
        <f t="shared" si="3"/>
        <v/>
      </c>
      <c r="C357" s="18" t="str">
        <f t="shared" si="4"/>
        <v/>
      </c>
      <c r="D357" s="7"/>
      <c r="F357" s="7"/>
      <c r="G357" s="19" t="str">
        <f>IFERROR(__xludf.DUMMYFUNCTION("IF(OR(E357="""",F357&lt;&gt;""Barang Datang""), """",
  IFERROR(
    INDEX(
      SORT(
        FILTER(Jadwal!F:F, Jadwal!C:C=E357),
        FILTER(Jadwal!E:E, Jadwal!C:C=E357),
        FALSE
      ),
      1
    ),
    ""TIDAK ADA JADWAL""
  )
)"),"")</f>
        <v/>
      </c>
      <c r="H357" s="7" t="str">
        <f t="shared" si="2"/>
        <v/>
      </c>
      <c r="L357" s="13"/>
      <c r="M357" s="13"/>
    </row>
    <row r="358" ht="15.75" customHeight="1">
      <c r="A358" s="14" t="str">
        <f t="shared" si="1"/>
        <v/>
      </c>
      <c r="B358" s="17" t="str">
        <f t="shared" si="3"/>
        <v/>
      </c>
      <c r="C358" s="18" t="str">
        <f t="shared" si="4"/>
        <v/>
      </c>
      <c r="D358" s="7"/>
      <c r="F358" s="7"/>
      <c r="G358" s="19" t="str">
        <f>IFERROR(__xludf.DUMMYFUNCTION("IF(OR(E358="""",F358&lt;&gt;""Barang Datang""), """",
  IFERROR(
    INDEX(
      SORT(
        FILTER(Jadwal!F:F, Jadwal!C:C=E358),
        FILTER(Jadwal!E:E, Jadwal!C:C=E358),
        FALSE
      ),
      1
    ),
    ""TIDAK ADA JADWAL""
  )
)"),"")</f>
        <v/>
      </c>
      <c r="H358" s="7" t="str">
        <f t="shared" si="2"/>
        <v/>
      </c>
      <c r="L358" s="13"/>
      <c r="M358" s="13"/>
    </row>
    <row r="359" ht="15.75" customHeight="1">
      <c r="A359" s="14" t="str">
        <f t="shared" si="1"/>
        <v/>
      </c>
      <c r="B359" s="17" t="str">
        <f t="shared" si="3"/>
        <v/>
      </c>
      <c r="C359" s="18" t="str">
        <f t="shared" si="4"/>
        <v/>
      </c>
      <c r="D359" s="7"/>
      <c r="F359" s="7"/>
      <c r="G359" s="19" t="str">
        <f>IFERROR(__xludf.DUMMYFUNCTION("IF(OR(E359="""",F359&lt;&gt;""Barang Datang""), """",
  IFERROR(
    INDEX(
      SORT(
        FILTER(Jadwal!F:F, Jadwal!C:C=E359),
        FILTER(Jadwal!E:E, Jadwal!C:C=E359),
        FALSE
      ),
      1
    ),
    ""TIDAK ADA JADWAL""
  )
)"),"")</f>
        <v/>
      </c>
      <c r="H359" s="7" t="str">
        <f t="shared" si="2"/>
        <v/>
      </c>
      <c r="L359" s="13"/>
      <c r="M359" s="13"/>
    </row>
    <row r="360" ht="15.75" customHeight="1">
      <c r="A360" s="14" t="str">
        <f t="shared" si="1"/>
        <v/>
      </c>
      <c r="B360" s="17" t="str">
        <f t="shared" si="3"/>
        <v/>
      </c>
      <c r="C360" s="18" t="str">
        <f t="shared" si="4"/>
        <v/>
      </c>
      <c r="D360" s="7"/>
      <c r="F360" s="7"/>
      <c r="G360" s="19" t="str">
        <f>IFERROR(__xludf.DUMMYFUNCTION("IF(OR(E360="""",F360&lt;&gt;""Barang Datang""), """",
  IFERROR(
    INDEX(
      SORT(
        FILTER(Jadwal!F:F, Jadwal!C:C=E360),
        FILTER(Jadwal!E:E, Jadwal!C:C=E360),
        FALSE
      ),
      1
    ),
    ""TIDAK ADA JADWAL""
  )
)"),"")</f>
        <v/>
      </c>
      <c r="H360" s="7" t="str">
        <f t="shared" si="2"/>
        <v/>
      </c>
      <c r="L360" s="13"/>
      <c r="M360" s="13"/>
    </row>
    <row r="361" ht="15.75" customHeight="1">
      <c r="A361" s="14" t="str">
        <f t="shared" si="1"/>
        <v/>
      </c>
      <c r="B361" s="17" t="str">
        <f t="shared" si="3"/>
        <v/>
      </c>
      <c r="C361" s="18" t="str">
        <f t="shared" si="4"/>
        <v/>
      </c>
      <c r="D361" s="7"/>
      <c r="F361" s="7"/>
      <c r="G361" s="19" t="str">
        <f>IFERROR(__xludf.DUMMYFUNCTION("IF(OR(E361="""",F361&lt;&gt;""Barang Datang""), """",
  IFERROR(
    INDEX(
      SORT(
        FILTER(Jadwal!F:F, Jadwal!C:C=E361),
        FILTER(Jadwal!E:E, Jadwal!C:C=E361),
        FALSE
      ),
      1
    ),
    ""TIDAK ADA JADWAL""
  )
)"),"")</f>
        <v/>
      </c>
      <c r="H361" s="7" t="str">
        <f t="shared" si="2"/>
        <v/>
      </c>
      <c r="L361" s="13"/>
      <c r="M361" s="13"/>
    </row>
    <row r="362" ht="15.75" customHeight="1">
      <c r="A362" s="14" t="str">
        <f t="shared" si="1"/>
        <v/>
      </c>
      <c r="B362" s="17" t="str">
        <f t="shared" si="3"/>
        <v/>
      </c>
      <c r="C362" s="18" t="str">
        <f t="shared" si="4"/>
        <v/>
      </c>
      <c r="D362" s="7"/>
      <c r="F362" s="7"/>
      <c r="G362" s="19" t="str">
        <f>IFERROR(__xludf.DUMMYFUNCTION("IF(OR(E362="""",F362&lt;&gt;""Barang Datang""), """",
  IFERROR(
    INDEX(
      SORT(
        FILTER(Jadwal!F:F, Jadwal!C:C=E362),
        FILTER(Jadwal!E:E, Jadwal!C:C=E362),
        FALSE
      ),
      1
    ),
    ""TIDAK ADA JADWAL""
  )
)"),"")</f>
        <v/>
      </c>
      <c r="H362" s="7" t="str">
        <f t="shared" si="2"/>
        <v/>
      </c>
      <c r="L362" s="13"/>
      <c r="M362" s="13"/>
    </row>
    <row r="363" ht="15.75" customHeight="1">
      <c r="A363" s="14" t="str">
        <f t="shared" si="1"/>
        <v/>
      </c>
      <c r="B363" s="17" t="str">
        <f t="shared" si="3"/>
        <v/>
      </c>
      <c r="C363" s="18" t="str">
        <f t="shared" si="4"/>
        <v/>
      </c>
      <c r="D363" s="7"/>
      <c r="F363" s="7"/>
      <c r="G363" s="19" t="str">
        <f>IFERROR(__xludf.DUMMYFUNCTION("IF(OR(E363="""",F363&lt;&gt;""Barang Datang""), """",
  IFERROR(
    INDEX(
      SORT(
        FILTER(Jadwal!F:F, Jadwal!C:C=E363),
        FILTER(Jadwal!E:E, Jadwal!C:C=E363),
        FALSE
      ),
      1
    ),
    ""TIDAK ADA JADWAL""
  )
)"),"")</f>
        <v/>
      </c>
      <c r="H363" s="7" t="str">
        <f t="shared" si="2"/>
        <v/>
      </c>
      <c r="L363" s="13"/>
      <c r="M363" s="13"/>
    </row>
    <row r="364" ht="15.75" customHeight="1">
      <c r="A364" s="14" t="str">
        <f t="shared" si="1"/>
        <v/>
      </c>
      <c r="B364" s="17" t="str">
        <f t="shared" si="3"/>
        <v/>
      </c>
      <c r="C364" s="18" t="str">
        <f t="shared" si="4"/>
        <v/>
      </c>
      <c r="D364" s="7"/>
      <c r="F364" s="7"/>
      <c r="G364" s="19" t="str">
        <f>IFERROR(__xludf.DUMMYFUNCTION("IF(OR(E364="""",F364&lt;&gt;""Barang Datang""), """",
  IFERROR(
    INDEX(
      SORT(
        FILTER(Jadwal!F:F, Jadwal!C:C=E364),
        FILTER(Jadwal!E:E, Jadwal!C:C=E364),
        FALSE
      ),
      1
    ),
    ""TIDAK ADA JADWAL""
  )
)"),"")</f>
        <v/>
      </c>
      <c r="H364" s="7" t="str">
        <f t="shared" si="2"/>
        <v/>
      </c>
      <c r="L364" s="13"/>
      <c r="M364" s="13"/>
    </row>
    <row r="365" ht="15.75" customHeight="1">
      <c r="A365" s="14" t="str">
        <f t="shared" si="1"/>
        <v/>
      </c>
      <c r="B365" s="17" t="str">
        <f t="shared" si="3"/>
        <v/>
      </c>
      <c r="C365" s="18" t="str">
        <f t="shared" si="4"/>
        <v/>
      </c>
      <c r="D365" s="7"/>
      <c r="F365" s="7"/>
      <c r="G365" s="19" t="str">
        <f>IFERROR(__xludf.DUMMYFUNCTION("IF(OR(E365="""",F365&lt;&gt;""Barang Datang""), """",
  IFERROR(
    INDEX(
      SORT(
        FILTER(Jadwal!F:F, Jadwal!C:C=E365),
        FILTER(Jadwal!E:E, Jadwal!C:C=E365),
        FALSE
      ),
      1
    ),
    ""TIDAK ADA JADWAL""
  )
)"),"")</f>
        <v/>
      </c>
      <c r="H365" s="7" t="str">
        <f t="shared" si="2"/>
        <v/>
      </c>
      <c r="L365" s="13"/>
      <c r="M365" s="13"/>
    </row>
    <row r="366" ht="15.75" customHeight="1">
      <c r="A366" s="14" t="str">
        <f t="shared" si="1"/>
        <v/>
      </c>
      <c r="B366" s="17" t="str">
        <f t="shared" si="3"/>
        <v/>
      </c>
      <c r="C366" s="18" t="str">
        <f t="shared" si="4"/>
        <v/>
      </c>
      <c r="D366" s="7"/>
      <c r="F366" s="7"/>
      <c r="G366" s="19" t="str">
        <f>IFERROR(__xludf.DUMMYFUNCTION("IF(OR(E366="""",F366&lt;&gt;""Barang Datang""), """",
  IFERROR(
    INDEX(
      SORT(
        FILTER(Jadwal!F:F, Jadwal!C:C=E366),
        FILTER(Jadwal!E:E, Jadwal!C:C=E366),
        FALSE
      ),
      1
    ),
    ""TIDAK ADA JADWAL""
  )
)"),"")</f>
        <v/>
      </c>
      <c r="H366" s="7" t="str">
        <f t="shared" si="2"/>
        <v/>
      </c>
      <c r="L366" s="13"/>
      <c r="M366" s="13"/>
    </row>
    <row r="367" ht="15.75" customHeight="1">
      <c r="A367" s="14" t="str">
        <f t="shared" si="1"/>
        <v/>
      </c>
      <c r="B367" s="17" t="str">
        <f t="shared" si="3"/>
        <v/>
      </c>
      <c r="C367" s="18" t="str">
        <f t="shared" si="4"/>
        <v/>
      </c>
      <c r="D367" s="7"/>
      <c r="F367" s="7"/>
      <c r="G367" s="19" t="str">
        <f>IFERROR(__xludf.DUMMYFUNCTION("IF(OR(E367="""",F367&lt;&gt;""Barang Datang""), """",
  IFERROR(
    INDEX(
      SORT(
        FILTER(Jadwal!F:F, Jadwal!C:C=E367),
        FILTER(Jadwal!E:E, Jadwal!C:C=E367),
        FALSE
      ),
      1
    ),
    ""TIDAK ADA JADWAL""
  )
)"),"")</f>
        <v/>
      </c>
      <c r="H367" s="7" t="str">
        <f t="shared" si="2"/>
        <v/>
      </c>
      <c r="L367" s="13"/>
      <c r="M367" s="13"/>
    </row>
    <row r="368" ht="15.75" customHeight="1">
      <c r="A368" s="14" t="str">
        <f t="shared" si="1"/>
        <v/>
      </c>
      <c r="B368" s="17" t="str">
        <f t="shared" si="3"/>
        <v/>
      </c>
      <c r="C368" s="18" t="str">
        <f t="shared" si="4"/>
        <v/>
      </c>
      <c r="D368" s="7"/>
      <c r="F368" s="7"/>
      <c r="G368" s="19" t="str">
        <f>IFERROR(__xludf.DUMMYFUNCTION("IF(OR(E368="""",F368&lt;&gt;""Barang Datang""), """",
  IFERROR(
    INDEX(
      SORT(
        FILTER(Jadwal!F:F, Jadwal!C:C=E368),
        FILTER(Jadwal!E:E, Jadwal!C:C=E368),
        FALSE
      ),
      1
    ),
    ""TIDAK ADA JADWAL""
  )
)"),"")</f>
        <v/>
      </c>
      <c r="H368" s="7" t="str">
        <f t="shared" si="2"/>
        <v/>
      </c>
      <c r="L368" s="13"/>
      <c r="M368" s="13"/>
    </row>
    <row r="369" ht="15.75" customHeight="1">
      <c r="A369" s="14" t="str">
        <f t="shared" si="1"/>
        <v/>
      </c>
      <c r="B369" s="17" t="str">
        <f t="shared" si="3"/>
        <v/>
      </c>
      <c r="C369" s="18" t="str">
        <f t="shared" si="4"/>
        <v/>
      </c>
      <c r="D369" s="7"/>
      <c r="F369" s="7"/>
      <c r="G369" s="19" t="str">
        <f>IFERROR(__xludf.DUMMYFUNCTION("IF(OR(E369="""",F369&lt;&gt;""Barang Datang""), """",
  IFERROR(
    INDEX(
      SORT(
        FILTER(Jadwal!F:F, Jadwal!C:C=E369),
        FILTER(Jadwal!E:E, Jadwal!C:C=E369),
        FALSE
      ),
      1
    ),
    ""TIDAK ADA JADWAL""
  )
)"),"")</f>
        <v/>
      </c>
      <c r="H369" s="7" t="str">
        <f t="shared" si="2"/>
        <v/>
      </c>
      <c r="L369" s="13"/>
      <c r="M369" s="13"/>
    </row>
    <row r="370" ht="15.75" customHeight="1">
      <c r="A370" s="14" t="str">
        <f t="shared" si="1"/>
        <v/>
      </c>
      <c r="B370" s="17" t="str">
        <f t="shared" si="3"/>
        <v/>
      </c>
      <c r="C370" s="18" t="str">
        <f t="shared" si="4"/>
        <v/>
      </c>
      <c r="D370" s="7"/>
      <c r="F370" s="7"/>
      <c r="G370" s="19" t="str">
        <f>IFERROR(__xludf.DUMMYFUNCTION("IF(OR(E370="""",F370&lt;&gt;""Barang Datang""), """",
  IFERROR(
    INDEX(
      SORT(
        FILTER(Jadwal!F:F, Jadwal!C:C=E370),
        FILTER(Jadwal!E:E, Jadwal!C:C=E370),
        FALSE
      ),
      1
    ),
    ""TIDAK ADA JADWAL""
  )
)"),"")</f>
        <v/>
      </c>
      <c r="H370" s="7" t="str">
        <f t="shared" si="2"/>
        <v/>
      </c>
      <c r="L370" s="13"/>
      <c r="M370" s="13"/>
    </row>
    <row r="371" ht="15.75" customHeight="1">
      <c r="A371" s="14" t="str">
        <f t="shared" si="1"/>
        <v/>
      </c>
      <c r="B371" s="17" t="str">
        <f t="shared" si="3"/>
        <v/>
      </c>
      <c r="C371" s="18" t="str">
        <f t="shared" si="4"/>
        <v/>
      </c>
      <c r="D371" s="7"/>
      <c r="F371" s="7"/>
      <c r="G371" s="19" t="str">
        <f>IFERROR(__xludf.DUMMYFUNCTION("IF(OR(E371="""",F371&lt;&gt;""Barang Datang""), """",
  IFERROR(
    INDEX(
      SORT(
        FILTER(Jadwal!F:F, Jadwal!C:C=E371),
        FILTER(Jadwal!E:E, Jadwal!C:C=E371),
        FALSE
      ),
      1
    ),
    ""TIDAK ADA JADWAL""
  )
)"),"")</f>
        <v/>
      </c>
      <c r="H371" s="7" t="str">
        <f t="shared" si="2"/>
        <v/>
      </c>
      <c r="L371" s="13"/>
      <c r="M371" s="13"/>
    </row>
    <row r="372" ht="15.75" customHeight="1">
      <c r="A372" s="14" t="str">
        <f t="shared" si="1"/>
        <v/>
      </c>
      <c r="B372" s="17" t="str">
        <f t="shared" si="3"/>
        <v/>
      </c>
      <c r="C372" s="18" t="str">
        <f t="shared" si="4"/>
        <v/>
      </c>
      <c r="D372" s="7"/>
      <c r="F372" s="7"/>
      <c r="G372" s="19" t="str">
        <f>IFERROR(__xludf.DUMMYFUNCTION("IF(OR(E372="""",F372&lt;&gt;""Barang Datang""), """",
  IFERROR(
    INDEX(
      SORT(
        FILTER(Jadwal!F:F, Jadwal!C:C=E372),
        FILTER(Jadwal!E:E, Jadwal!C:C=E372),
        FALSE
      ),
      1
    ),
    ""TIDAK ADA JADWAL""
  )
)"),"")</f>
        <v/>
      </c>
      <c r="H372" s="7" t="str">
        <f t="shared" si="2"/>
        <v/>
      </c>
      <c r="L372" s="13"/>
      <c r="M372" s="13"/>
    </row>
    <row r="373" ht="15.75" customHeight="1">
      <c r="A373" s="14" t="str">
        <f t="shared" si="1"/>
        <v/>
      </c>
      <c r="B373" s="17" t="str">
        <f t="shared" si="3"/>
        <v/>
      </c>
      <c r="C373" s="18" t="str">
        <f t="shared" si="4"/>
        <v/>
      </c>
      <c r="D373" s="7"/>
      <c r="F373" s="7"/>
      <c r="G373" s="19" t="str">
        <f>IFERROR(__xludf.DUMMYFUNCTION("IF(OR(E373="""",F373&lt;&gt;""Barang Datang""), """",
  IFERROR(
    INDEX(
      SORT(
        FILTER(Jadwal!F:F, Jadwal!C:C=E373),
        FILTER(Jadwal!E:E, Jadwal!C:C=E373),
        FALSE
      ),
      1
    ),
    ""TIDAK ADA JADWAL""
  )
)"),"")</f>
        <v/>
      </c>
      <c r="H373" s="7" t="str">
        <f t="shared" si="2"/>
        <v/>
      </c>
      <c r="L373" s="13"/>
      <c r="M373" s="13"/>
    </row>
    <row r="374" ht="15.75" customHeight="1">
      <c r="A374" s="14" t="str">
        <f t="shared" si="1"/>
        <v/>
      </c>
      <c r="B374" s="17" t="str">
        <f t="shared" si="3"/>
        <v/>
      </c>
      <c r="C374" s="18" t="str">
        <f t="shared" si="4"/>
        <v/>
      </c>
      <c r="D374" s="7"/>
      <c r="F374" s="7"/>
      <c r="G374" s="19" t="str">
        <f>IFERROR(__xludf.DUMMYFUNCTION("IF(OR(E374="""",F374&lt;&gt;""Barang Datang""), """",
  IFERROR(
    INDEX(
      SORT(
        FILTER(Jadwal!F:F, Jadwal!C:C=E374),
        FILTER(Jadwal!E:E, Jadwal!C:C=E374),
        FALSE
      ),
      1
    ),
    ""TIDAK ADA JADWAL""
  )
)"),"")</f>
        <v/>
      </c>
      <c r="H374" s="7" t="str">
        <f t="shared" si="2"/>
        <v/>
      </c>
      <c r="L374" s="13"/>
      <c r="M374" s="13"/>
    </row>
    <row r="375" ht="15.75" customHeight="1">
      <c r="A375" s="14" t="str">
        <f t="shared" si="1"/>
        <v/>
      </c>
      <c r="B375" s="17" t="str">
        <f t="shared" si="3"/>
        <v/>
      </c>
      <c r="C375" s="18" t="str">
        <f t="shared" si="4"/>
        <v/>
      </c>
      <c r="D375" s="7"/>
      <c r="F375" s="7"/>
      <c r="G375" s="19" t="str">
        <f>IFERROR(__xludf.DUMMYFUNCTION("IF(OR(E375="""",F375&lt;&gt;""Barang Datang""), """",
  IFERROR(
    INDEX(
      SORT(
        FILTER(Jadwal!F:F, Jadwal!C:C=E375),
        FILTER(Jadwal!E:E, Jadwal!C:C=E375),
        FALSE
      ),
      1
    ),
    ""TIDAK ADA JADWAL""
  )
)"),"")</f>
        <v/>
      </c>
      <c r="H375" s="7" t="str">
        <f t="shared" si="2"/>
        <v/>
      </c>
      <c r="L375" s="13"/>
      <c r="M375" s="13"/>
    </row>
    <row r="376" ht="15.75" customHeight="1">
      <c r="A376" s="14" t="str">
        <f t="shared" si="1"/>
        <v/>
      </c>
      <c r="B376" s="17" t="str">
        <f t="shared" si="3"/>
        <v/>
      </c>
      <c r="C376" s="18" t="str">
        <f t="shared" si="4"/>
        <v/>
      </c>
      <c r="D376" s="7"/>
      <c r="F376" s="7"/>
      <c r="G376" s="19" t="str">
        <f>IFERROR(__xludf.DUMMYFUNCTION("IF(OR(E376="""",F376&lt;&gt;""Barang Datang""), """",
  IFERROR(
    INDEX(
      SORT(
        FILTER(Jadwal!F:F, Jadwal!C:C=E376),
        FILTER(Jadwal!E:E, Jadwal!C:C=E376),
        FALSE
      ),
      1
    ),
    ""TIDAK ADA JADWAL""
  )
)"),"")</f>
        <v/>
      </c>
      <c r="H376" s="7" t="str">
        <f t="shared" si="2"/>
        <v/>
      </c>
      <c r="L376" s="13"/>
      <c r="M376" s="13"/>
    </row>
    <row r="377" ht="15.75" customHeight="1">
      <c r="A377" s="14" t="str">
        <f t="shared" si="1"/>
        <v/>
      </c>
      <c r="B377" s="17" t="str">
        <f t="shared" si="3"/>
        <v/>
      </c>
      <c r="C377" s="18" t="str">
        <f t="shared" si="4"/>
        <v/>
      </c>
      <c r="D377" s="7"/>
      <c r="F377" s="7"/>
      <c r="G377" s="19" t="str">
        <f>IFERROR(__xludf.DUMMYFUNCTION("IF(OR(E377="""",F377&lt;&gt;""Barang Datang""), """",
  IFERROR(
    INDEX(
      SORT(
        FILTER(Jadwal!F:F, Jadwal!C:C=E377),
        FILTER(Jadwal!E:E, Jadwal!C:C=E377),
        FALSE
      ),
      1
    ),
    ""TIDAK ADA JADWAL""
  )
)"),"")</f>
        <v/>
      </c>
      <c r="H377" s="7" t="str">
        <f t="shared" si="2"/>
        <v/>
      </c>
      <c r="L377" s="13"/>
      <c r="M377" s="13"/>
    </row>
    <row r="378" ht="15.75" customHeight="1">
      <c r="A378" s="14" t="str">
        <f t="shared" si="1"/>
        <v/>
      </c>
      <c r="B378" s="17" t="str">
        <f t="shared" si="3"/>
        <v/>
      </c>
      <c r="C378" s="18" t="str">
        <f t="shared" si="4"/>
        <v/>
      </c>
      <c r="D378" s="7"/>
      <c r="F378" s="7"/>
      <c r="G378" s="19" t="str">
        <f>IFERROR(__xludf.DUMMYFUNCTION("IF(OR(E378="""",F378&lt;&gt;""Barang Datang""), """",
  IFERROR(
    INDEX(
      SORT(
        FILTER(Jadwal!F:F, Jadwal!C:C=E378),
        FILTER(Jadwal!E:E, Jadwal!C:C=E378),
        FALSE
      ),
      1
    ),
    ""TIDAK ADA JADWAL""
  )
)"),"")</f>
        <v/>
      </c>
      <c r="H378" s="7" t="str">
        <f t="shared" si="2"/>
        <v/>
      </c>
      <c r="L378" s="13"/>
      <c r="M378" s="13"/>
    </row>
    <row r="379" ht="15.75" customHeight="1">
      <c r="A379" s="14" t="str">
        <f t="shared" si="1"/>
        <v/>
      </c>
      <c r="B379" s="17" t="str">
        <f t="shared" si="3"/>
        <v/>
      </c>
      <c r="C379" s="18" t="str">
        <f t="shared" si="4"/>
        <v/>
      </c>
      <c r="D379" s="7"/>
      <c r="F379" s="7"/>
      <c r="G379" s="19" t="str">
        <f>IFERROR(__xludf.DUMMYFUNCTION("IF(OR(E379="""",F379&lt;&gt;""Barang Datang""), """",
  IFERROR(
    INDEX(
      SORT(
        FILTER(Jadwal!F:F, Jadwal!C:C=E379),
        FILTER(Jadwal!E:E, Jadwal!C:C=E379),
        FALSE
      ),
      1
    ),
    ""TIDAK ADA JADWAL""
  )
)"),"")</f>
        <v/>
      </c>
      <c r="H379" s="7" t="str">
        <f t="shared" si="2"/>
        <v/>
      </c>
      <c r="L379" s="13"/>
      <c r="M379" s="13"/>
    </row>
    <row r="380" ht="15.75" customHeight="1">
      <c r="A380" s="14" t="str">
        <f t="shared" si="1"/>
        <v/>
      </c>
      <c r="B380" s="17" t="str">
        <f t="shared" si="3"/>
        <v/>
      </c>
      <c r="C380" s="18" t="str">
        <f t="shared" si="4"/>
        <v/>
      </c>
      <c r="D380" s="7"/>
      <c r="F380" s="7"/>
      <c r="G380" s="19" t="str">
        <f>IFERROR(__xludf.DUMMYFUNCTION("IF(OR(E380="""",F380&lt;&gt;""Barang Datang""), """",
  IFERROR(
    INDEX(
      SORT(
        FILTER(Jadwal!F:F, Jadwal!C:C=E380),
        FILTER(Jadwal!E:E, Jadwal!C:C=E380),
        FALSE
      ),
      1
    ),
    ""TIDAK ADA JADWAL""
  )
)"),"")</f>
        <v/>
      </c>
      <c r="H380" s="7" t="str">
        <f t="shared" si="2"/>
        <v/>
      </c>
      <c r="L380" s="13"/>
      <c r="M380" s="13"/>
    </row>
    <row r="381" ht="15.75" customHeight="1">
      <c r="A381" s="14" t="str">
        <f t="shared" si="1"/>
        <v/>
      </c>
      <c r="B381" s="17" t="str">
        <f t="shared" si="3"/>
        <v/>
      </c>
      <c r="C381" s="18" t="str">
        <f t="shared" si="4"/>
        <v/>
      </c>
      <c r="D381" s="7"/>
      <c r="F381" s="7"/>
      <c r="G381" s="19" t="str">
        <f>IFERROR(__xludf.DUMMYFUNCTION("IF(OR(E381="""",F381&lt;&gt;""Barang Datang""), """",
  IFERROR(
    INDEX(
      SORT(
        FILTER(Jadwal!F:F, Jadwal!C:C=E381),
        FILTER(Jadwal!E:E, Jadwal!C:C=E381),
        FALSE
      ),
      1
    ),
    ""TIDAK ADA JADWAL""
  )
)"),"")</f>
        <v/>
      </c>
      <c r="H381" s="7" t="str">
        <f t="shared" si="2"/>
        <v/>
      </c>
      <c r="L381" s="13"/>
      <c r="M381" s="13"/>
    </row>
    <row r="382" ht="15.75" customHeight="1">
      <c r="A382" s="14" t="str">
        <f t="shared" si="1"/>
        <v/>
      </c>
      <c r="B382" s="17" t="str">
        <f t="shared" si="3"/>
        <v/>
      </c>
      <c r="C382" s="18" t="str">
        <f t="shared" si="4"/>
        <v/>
      </c>
      <c r="D382" s="7"/>
      <c r="F382" s="7"/>
      <c r="G382" s="19" t="str">
        <f>IFERROR(__xludf.DUMMYFUNCTION("IF(OR(E382="""",F382&lt;&gt;""Barang Datang""), """",
  IFERROR(
    INDEX(
      SORT(
        FILTER(Jadwal!F:F, Jadwal!C:C=E382),
        FILTER(Jadwal!E:E, Jadwal!C:C=E382),
        FALSE
      ),
      1
    ),
    ""TIDAK ADA JADWAL""
  )
)"),"")</f>
        <v/>
      </c>
      <c r="H382" s="7" t="str">
        <f t="shared" si="2"/>
        <v/>
      </c>
      <c r="L382" s="13"/>
      <c r="M382" s="13"/>
    </row>
    <row r="383" ht="15.75" customHeight="1">
      <c r="A383" s="14" t="str">
        <f t="shared" si="1"/>
        <v/>
      </c>
      <c r="B383" s="17" t="str">
        <f t="shared" si="3"/>
        <v/>
      </c>
      <c r="C383" s="18" t="str">
        <f t="shared" si="4"/>
        <v/>
      </c>
      <c r="D383" s="7"/>
      <c r="F383" s="7"/>
      <c r="G383" s="19" t="str">
        <f>IFERROR(__xludf.DUMMYFUNCTION("IF(OR(E383="""",F383&lt;&gt;""Barang Datang""), """",
  IFERROR(
    INDEX(
      SORT(
        FILTER(Jadwal!F:F, Jadwal!C:C=E383),
        FILTER(Jadwal!E:E, Jadwal!C:C=E383),
        FALSE
      ),
      1
    ),
    ""TIDAK ADA JADWAL""
  )
)"),"")</f>
        <v/>
      </c>
      <c r="H383" s="7" t="str">
        <f t="shared" si="2"/>
        <v/>
      </c>
      <c r="L383" s="13"/>
      <c r="M383" s="13"/>
    </row>
    <row r="384" ht="15.75" customHeight="1">
      <c r="A384" s="14" t="str">
        <f t="shared" si="1"/>
        <v/>
      </c>
      <c r="B384" s="17" t="str">
        <f t="shared" si="3"/>
        <v/>
      </c>
      <c r="C384" s="18" t="str">
        <f t="shared" si="4"/>
        <v/>
      </c>
      <c r="D384" s="7"/>
      <c r="F384" s="7"/>
      <c r="G384" s="19" t="str">
        <f>IFERROR(__xludf.DUMMYFUNCTION("IF(OR(E384="""",F384&lt;&gt;""Barang Datang""), """",
  IFERROR(
    INDEX(
      SORT(
        FILTER(Jadwal!F:F, Jadwal!C:C=E384),
        FILTER(Jadwal!E:E, Jadwal!C:C=E384),
        FALSE
      ),
      1
    ),
    ""TIDAK ADA JADWAL""
  )
)"),"")</f>
        <v/>
      </c>
      <c r="H384" s="7" t="str">
        <f t="shared" si="2"/>
        <v/>
      </c>
      <c r="L384" s="13"/>
      <c r="M384" s="13"/>
    </row>
    <row r="385" ht="15.75" customHeight="1">
      <c r="A385" s="14" t="str">
        <f t="shared" si="1"/>
        <v/>
      </c>
      <c r="B385" s="17" t="str">
        <f t="shared" si="3"/>
        <v/>
      </c>
      <c r="C385" s="18" t="str">
        <f t="shared" si="4"/>
        <v/>
      </c>
      <c r="D385" s="7"/>
      <c r="F385" s="7"/>
      <c r="G385" s="19" t="str">
        <f>IFERROR(__xludf.DUMMYFUNCTION("IF(OR(E385="""",F385&lt;&gt;""Barang Datang""), """",
  IFERROR(
    INDEX(
      SORT(
        FILTER(Jadwal!F:F, Jadwal!C:C=E385),
        FILTER(Jadwal!E:E, Jadwal!C:C=E385),
        FALSE
      ),
      1
    ),
    ""TIDAK ADA JADWAL""
  )
)"),"")</f>
        <v/>
      </c>
      <c r="H385" s="7" t="str">
        <f t="shared" si="2"/>
        <v/>
      </c>
      <c r="L385" s="13"/>
      <c r="M385" s="13"/>
    </row>
    <row r="386" ht="15.75" customHeight="1">
      <c r="A386" s="14" t="str">
        <f t="shared" si="1"/>
        <v/>
      </c>
      <c r="B386" s="17" t="str">
        <f t="shared" si="3"/>
        <v/>
      </c>
      <c r="C386" s="18" t="str">
        <f t="shared" si="4"/>
        <v/>
      </c>
      <c r="D386" s="7"/>
      <c r="F386" s="7"/>
      <c r="G386" s="19" t="str">
        <f>IFERROR(__xludf.DUMMYFUNCTION("IF(OR(E386="""",F386&lt;&gt;""Barang Datang""), """",
  IFERROR(
    INDEX(
      SORT(
        FILTER(Jadwal!F:F, Jadwal!C:C=E386),
        FILTER(Jadwal!E:E, Jadwal!C:C=E386),
        FALSE
      ),
      1
    ),
    ""TIDAK ADA JADWAL""
  )
)"),"")</f>
        <v/>
      </c>
      <c r="H386" s="7" t="str">
        <f t="shared" si="2"/>
        <v/>
      </c>
      <c r="L386" s="13"/>
      <c r="M386" s="13"/>
    </row>
    <row r="387" ht="15.75" customHeight="1">
      <c r="A387" s="14" t="str">
        <f t="shared" si="1"/>
        <v/>
      </c>
      <c r="B387" s="17" t="str">
        <f t="shared" si="3"/>
        <v/>
      </c>
      <c r="C387" s="18" t="str">
        <f t="shared" si="4"/>
        <v/>
      </c>
      <c r="D387" s="7"/>
      <c r="F387" s="7"/>
      <c r="G387" s="19" t="str">
        <f>IFERROR(__xludf.DUMMYFUNCTION("IF(OR(E387="""",F387&lt;&gt;""Barang Datang""), """",
  IFERROR(
    INDEX(
      SORT(
        FILTER(Jadwal!F:F, Jadwal!C:C=E387),
        FILTER(Jadwal!E:E, Jadwal!C:C=E387),
        FALSE
      ),
      1
    ),
    ""TIDAK ADA JADWAL""
  )
)"),"")</f>
        <v/>
      </c>
      <c r="H387" s="7" t="str">
        <f t="shared" si="2"/>
        <v/>
      </c>
      <c r="L387" s="13"/>
      <c r="M387" s="13"/>
    </row>
    <row r="388" ht="15.75" customHeight="1">
      <c r="A388" s="14" t="str">
        <f t="shared" si="1"/>
        <v/>
      </c>
      <c r="B388" s="17" t="str">
        <f t="shared" si="3"/>
        <v/>
      </c>
      <c r="C388" s="18" t="str">
        <f t="shared" si="4"/>
        <v/>
      </c>
      <c r="D388" s="7"/>
      <c r="F388" s="7"/>
      <c r="G388" s="19" t="str">
        <f>IFERROR(__xludf.DUMMYFUNCTION("IF(OR(E388="""",F388&lt;&gt;""Barang Datang""), """",
  IFERROR(
    INDEX(
      SORT(
        FILTER(Jadwal!F:F, Jadwal!C:C=E388),
        FILTER(Jadwal!E:E, Jadwal!C:C=E388),
        FALSE
      ),
      1
    ),
    ""TIDAK ADA JADWAL""
  )
)"),"")</f>
        <v/>
      </c>
      <c r="H388" s="7" t="str">
        <f t="shared" si="2"/>
        <v/>
      </c>
      <c r="L388" s="13"/>
      <c r="M388" s="13"/>
    </row>
    <row r="389" ht="15.75" customHeight="1">
      <c r="A389" s="14" t="str">
        <f t="shared" si="1"/>
        <v/>
      </c>
      <c r="B389" s="17" t="str">
        <f t="shared" si="3"/>
        <v/>
      </c>
      <c r="C389" s="18" t="str">
        <f t="shared" si="4"/>
        <v/>
      </c>
      <c r="D389" s="7"/>
      <c r="F389" s="7"/>
      <c r="G389" s="19" t="str">
        <f>IFERROR(__xludf.DUMMYFUNCTION("IF(OR(E389="""",F389&lt;&gt;""Barang Datang""), """",
  IFERROR(
    INDEX(
      SORT(
        FILTER(Jadwal!F:F, Jadwal!C:C=E389),
        FILTER(Jadwal!E:E, Jadwal!C:C=E389),
        FALSE
      ),
      1
    ),
    ""TIDAK ADA JADWAL""
  )
)"),"")</f>
        <v/>
      </c>
      <c r="H389" s="7" t="str">
        <f t="shared" si="2"/>
        <v/>
      </c>
      <c r="L389" s="13"/>
      <c r="M389" s="13"/>
    </row>
    <row r="390" ht="15.75" customHeight="1">
      <c r="A390" s="14" t="str">
        <f t="shared" si="1"/>
        <v/>
      </c>
      <c r="B390" s="17" t="str">
        <f t="shared" si="3"/>
        <v/>
      </c>
      <c r="C390" s="18" t="str">
        <f t="shared" si="4"/>
        <v/>
      </c>
      <c r="D390" s="7"/>
      <c r="F390" s="7"/>
      <c r="G390" s="19" t="str">
        <f>IFERROR(__xludf.DUMMYFUNCTION("IF(OR(E390="""",F390&lt;&gt;""Barang Datang""), """",
  IFERROR(
    INDEX(
      SORT(
        FILTER(Jadwal!F:F, Jadwal!C:C=E390),
        FILTER(Jadwal!E:E, Jadwal!C:C=E390),
        FALSE
      ),
      1
    ),
    ""TIDAK ADA JADWAL""
  )
)"),"")</f>
        <v/>
      </c>
      <c r="H390" s="7" t="str">
        <f t="shared" si="2"/>
        <v/>
      </c>
      <c r="L390" s="13"/>
      <c r="M390" s="13"/>
    </row>
    <row r="391" ht="15.75" customHeight="1">
      <c r="A391" s="14" t="str">
        <f t="shared" si="1"/>
        <v/>
      </c>
      <c r="B391" s="17" t="str">
        <f t="shared" si="3"/>
        <v/>
      </c>
      <c r="C391" s="18" t="str">
        <f t="shared" si="4"/>
        <v/>
      </c>
      <c r="D391" s="7"/>
      <c r="F391" s="7"/>
      <c r="G391" s="19" t="str">
        <f>IFERROR(__xludf.DUMMYFUNCTION("IF(OR(E391="""",F391&lt;&gt;""Barang Datang""), """",
  IFERROR(
    INDEX(
      SORT(
        FILTER(Jadwal!F:F, Jadwal!C:C=E391),
        FILTER(Jadwal!E:E, Jadwal!C:C=E391),
        FALSE
      ),
      1
    ),
    ""TIDAK ADA JADWAL""
  )
)"),"")</f>
        <v/>
      </c>
      <c r="H391" s="7" t="str">
        <f t="shared" si="2"/>
        <v/>
      </c>
      <c r="L391" s="13"/>
      <c r="M391" s="13"/>
    </row>
    <row r="392" ht="15.75" customHeight="1">
      <c r="A392" s="14" t="str">
        <f t="shared" si="1"/>
        <v/>
      </c>
      <c r="B392" s="17" t="str">
        <f t="shared" si="3"/>
        <v/>
      </c>
      <c r="C392" s="18" t="str">
        <f t="shared" si="4"/>
        <v/>
      </c>
      <c r="D392" s="7"/>
      <c r="F392" s="7"/>
      <c r="G392" s="19" t="str">
        <f>IFERROR(__xludf.DUMMYFUNCTION("IF(OR(E392="""",F392&lt;&gt;""Barang Datang""), """",
  IFERROR(
    INDEX(
      SORT(
        FILTER(Jadwal!F:F, Jadwal!C:C=E392),
        FILTER(Jadwal!E:E, Jadwal!C:C=E392),
        FALSE
      ),
      1
    ),
    ""TIDAK ADA JADWAL""
  )
)"),"")</f>
        <v/>
      </c>
      <c r="H392" s="7" t="str">
        <f t="shared" si="2"/>
        <v/>
      </c>
      <c r="L392" s="13"/>
      <c r="M392" s="13"/>
    </row>
    <row r="393" ht="15.75" customHeight="1">
      <c r="A393" s="14" t="str">
        <f t="shared" si="1"/>
        <v/>
      </c>
      <c r="B393" s="17" t="str">
        <f t="shared" si="3"/>
        <v/>
      </c>
      <c r="C393" s="18" t="str">
        <f t="shared" si="4"/>
        <v/>
      </c>
      <c r="D393" s="7"/>
      <c r="F393" s="7"/>
      <c r="G393" s="19" t="str">
        <f>IFERROR(__xludf.DUMMYFUNCTION("IF(OR(E393="""",F393&lt;&gt;""Barang Datang""), """",
  IFERROR(
    INDEX(
      SORT(
        FILTER(Jadwal!F:F, Jadwal!C:C=E393),
        FILTER(Jadwal!E:E, Jadwal!C:C=E393),
        FALSE
      ),
      1
    ),
    ""TIDAK ADA JADWAL""
  )
)"),"")</f>
        <v/>
      </c>
      <c r="H393" s="7" t="str">
        <f t="shared" si="2"/>
        <v/>
      </c>
      <c r="L393" s="13"/>
      <c r="M393" s="13"/>
    </row>
    <row r="394" ht="15.75" customHeight="1">
      <c r="A394" s="14" t="str">
        <f t="shared" si="1"/>
        <v/>
      </c>
      <c r="B394" s="17" t="str">
        <f t="shared" si="3"/>
        <v/>
      </c>
      <c r="C394" s="18" t="str">
        <f t="shared" si="4"/>
        <v/>
      </c>
      <c r="D394" s="7"/>
      <c r="F394" s="7"/>
      <c r="G394" s="19" t="str">
        <f>IFERROR(__xludf.DUMMYFUNCTION("IF(OR(E394="""",F394&lt;&gt;""Barang Datang""), """",
  IFERROR(
    INDEX(
      SORT(
        FILTER(Jadwal!F:F, Jadwal!C:C=E394),
        FILTER(Jadwal!E:E, Jadwal!C:C=E394),
        FALSE
      ),
      1
    ),
    ""TIDAK ADA JADWAL""
  )
)"),"")</f>
        <v/>
      </c>
      <c r="H394" s="7" t="str">
        <f t="shared" si="2"/>
        <v/>
      </c>
      <c r="L394" s="13"/>
      <c r="M394" s="13"/>
    </row>
    <row r="395" ht="15.75" customHeight="1">
      <c r="A395" s="14" t="str">
        <f t="shared" si="1"/>
        <v/>
      </c>
      <c r="B395" s="17" t="str">
        <f t="shared" si="3"/>
        <v/>
      </c>
      <c r="C395" s="18" t="str">
        <f t="shared" si="4"/>
        <v/>
      </c>
      <c r="D395" s="7"/>
      <c r="F395" s="7"/>
      <c r="G395" s="19" t="str">
        <f>IFERROR(__xludf.DUMMYFUNCTION("IF(OR(E395="""",F395&lt;&gt;""Barang Datang""), """",
  IFERROR(
    INDEX(
      SORT(
        FILTER(Jadwal!F:F, Jadwal!C:C=E395),
        FILTER(Jadwal!E:E, Jadwal!C:C=E395),
        FALSE
      ),
      1
    ),
    ""TIDAK ADA JADWAL""
  )
)"),"")</f>
        <v/>
      </c>
      <c r="H395" s="7" t="str">
        <f t="shared" si="2"/>
        <v/>
      </c>
      <c r="L395" s="13"/>
      <c r="M395" s="13"/>
    </row>
    <row r="396" ht="15.75" customHeight="1">
      <c r="A396" s="14" t="str">
        <f t="shared" si="1"/>
        <v/>
      </c>
      <c r="B396" s="17" t="str">
        <f t="shared" si="3"/>
        <v/>
      </c>
      <c r="C396" s="18" t="str">
        <f t="shared" si="4"/>
        <v/>
      </c>
      <c r="D396" s="7"/>
      <c r="F396" s="7"/>
      <c r="G396" s="19" t="str">
        <f>IFERROR(__xludf.DUMMYFUNCTION("IF(OR(E396="""",F396&lt;&gt;""Barang Datang""), """",
  IFERROR(
    INDEX(
      SORT(
        FILTER(Jadwal!F:F, Jadwal!C:C=E396),
        FILTER(Jadwal!E:E, Jadwal!C:C=E396),
        FALSE
      ),
      1
    ),
    ""TIDAK ADA JADWAL""
  )
)"),"")</f>
        <v/>
      </c>
      <c r="H396" s="7" t="str">
        <f t="shared" si="2"/>
        <v/>
      </c>
      <c r="L396" s="13"/>
      <c r="M396" s="13"/>
    </row>
    <row r="397" ht="15.75" customHeight="1">
      <c r="A397" s="14" t="str">
        <f t="shared" si="1"/>
        <v/>
      </c>
      <c r="B397" s="17" t="str">
        <f t="shared" si="3"/>
        <v/>
      </c>
      <c r="C397" s="18" t="str">
        <f t="shared" si="4"/>
        <v/>
      </c>
      <c r="D397" s="7"/>
      <c r="F397" s="7"/>
      <c r="G397" s="19" t="str">
        <f>IFERROR(__xludf.DUMMYFUNCTION("IF(OR(E397="""",F397&lt;&gt;""Barang Datang""), """",
  IFERROR(
    INDEX(
      SORT(
        FILTER(Jadwal!F:F, Jadwal!C:C=E397),
        FILTER(Jadwal!E:E, Jadwal!C:C=E397),
        FALSE
      ),
      1
    ),
    ""TIDAK ADA JADWAL""
  )
)"),"")</f>
        <v/>
      </c>
      <c r="H397" s="7" t="str">
        <f t="shared" si="2"/>
        <v/>
      </c>
      <c r="L397" s="13"/>
      <c r="M397" s="13"/>
    </row>
    <row r="398" ht="15.75" customHeight="1">
      <c r="A398" s="14" t="str">
        <f t="shared" si="1"/>
        <v/>
      </c>
      <c r="B398" s="17" t="str">
        <f t="shared" si="3"/>
        <v/>
      </c>
      <c r="C398" s="18" t="str">
        <f t="shared" si="4"/>
        <v/>
      </c>
      <c r="D398" s="7"/>
      <c r="F398" s="7"/>
      <c r="G398" s="19" t="str">
        <f>IFERROR(__xludf.DUMMYFUNCTION("IF(OR(E398="""",F398&lt;&gt;""Barang Datang""), """",
  IFERROR(
    INDEX(
      SORT(
        FILTER(Jadwal!F:F, Jadwal!C:C=E398),
        FILTER(Jadwal!E:E, Jadwal!C:C=E398),
        FALSE
      ),
      1
    ),
    ""TIDAK ADA JADWAL""
  )
)"),"")</f>
        <v/>
      </c>
      <c r="H398" s="7" t="str">
        <f t="shared" si="2"/>
        <v/>
      </c>
      <c r="L398" s="13"/>
      <c r="M398" s="13"/>
    </row>
    <row r="399" ht="15.75" customHeight="1">
      <c r="A399" s="14" t="str">
        <f t="shared" si="1"/>
        <v/>
      </c>
      <c r="B399" s="17" t="str">
        <f t="shared" si="3"/>
        <v/>
      </c>
      <c r="C399" s="18" t="str">
        <f t="shared" si="4"/>
        <v/>
      </c>
      <c r="D399" s="7"/>
      <c r="F399" s="7"/>
      <c r="G399" s="19" t="str">
        <f>IFERROR(__xludf.DUMMYFUNCTION("IF(OR(E399="""",F399&lt;&gt;""Barang Datang""), """",
  IFERROR(
    INDEX(
      SORT(
        FILTER(Jadwal!F:F, Jadwal!C:C=E399),
        FILTER(Jadwal!E:E, Jadwal!C:C=E399),
        FALSE
      ),
      1
    ),
    ""TIDAK ADA JADWAL""
  )
)"),"")</f>
        <v/>
      </c>
      <c r="H399" s="7" t="str">
        <f t="shared" si="2"/>
        <v/>
      </c>
      <c r="L399" s="13"/>
      <c r="M399" s="13"/>
    </row>
    <row r="400" ht="15.75" customHeight="1">
      <c r="A400" s="14" t="str">
        <f t="shared" si="1"/>
        <v/>
      </c>
      <c r="B400" s="17" t="str">
        <f t="shared" si="3"/>
        <v/>
      </c>
      <c r="C400" s="18" t="str">
        <f t="shared" si="4"/>
        <v/>
      </c>
      <c r="D400" s="7"/>
      <c r="F400" s="7"/>
      <c r="G400" s="19" t="str">
        <f>IFERROR(__xludf.DUMMYFUNCTION("IF(OR(E400="""",F400&lt;&gt;""Barang Datang""), """",
  IFERROR(
    INDEX(
      SORT(
        FILTER(Jadwal!F:F, Jadwal!C:C=E400),
        FILTER(Jadwal!E:E, Jadwal!C:C=E400),
        FALSE
      ),
      1
    ),
    ""TIDAK ADA JADWAL""
  )
)"),"")</f>
        <v/>
      </c>
      <c r="H400" s="7" t="str">
        <f t="shared" si="2"/>
        <v/>
      </c>
      <c r="L400" s="13"/>
      <c r="M400" s="13"/>
    </row>
    <row r="401" ht="15.75" customHeight="1">
      <c r="A401" s="14" t="str">
        <f t="shared" si="1"/>
        <v/>
      </c>
      <c r="B401" s="17" t="str">
        <f t="shared" si="3"/>
        <v/>
      </c>
      <c r="C401" s="18" t="str">
        <f t="shared" si="4"/>
        <v/>
      </c>
      <c r="D401" s="7"/>
      <c r="F401" s="7"/>
      <c r="G401" s="19" t="str">
        <f>IFERROR(__xludf.DUMMYFUNCTION("IF(OR(E401="""",F401&lt;&gt;""Barang Datang""), """",
  IFERROR(
    INDEX(
      SORT(
        FILTER(Jadwal!F:F, Jadwal!C:C=E401),
        FILTER(Jadwal!E:E, Jadwal!C:C=E401),
        FALSE
      ),
      1
    ),
    ""TIDAK ADA JADWAL""
  )
)"),"")</f>
        <v/>
      </c>
      <c r="H401" s="7" t="str">
        <f t="shared" si="2"/>
        <v/>
      </c>
      <c r="L401" s="13"/>
      <c r="M401" s="13"/>
    </row>
    <row r="402" ht="15.75" customHeight="1">
      <c r="A402" s="14" t="str">
        <f t="shared" si="1"/>
        <v/>
      </c>
      <c r="B402" s="17" t="str">
        <f t="shared" si="3"/>
        <v/>
      </c>
      <c r="C402" s="18" t="str">
        <f t="shared" si="4"/>
        <v/>
      </c>
      <c r="D402" s="7"/>
      <c r="F402" s="7"/>
      <c r="G402" s="19" t="str">
        <f>IFERROR(__xludf.DUMMYFUNCTION("IF(OR(E402="""",F402&lt;&gt;""Barang Datang""), """",
  IFERROR(
    INDEX(
      SORT(
        FILTER(Jadwal!F:F, Jadwal!C:C=E402),
        FILTER(Jadwal!E:E, Jadwal!C:C=E402),
        FALSE
      ),
      1
    ),
    ""TIDAK ADA JADWAL""
  )
)"),"")</f>
        <v/>
      </c>
      <c r="H402" s="7" t="str">
        <f t="shared" si="2"/>
        <v/>
      </c>
      <c r="L402" s="13"/>
      <c r="M402" s="13"/>
    </row>
    <row r="403" ht="15.75" customHeight="1">
      <c r="A403" s="14" t="str">
        <f t="shared" si="1"/>
        <v/>
      </c>
      <c r="B403" s="17" t="str">
        <f t="shared" si="3"/>
        <v/>
      </c>
      <c r="C403" s="18" t="str">
        <f t="shared" si="4"/>
        <v/>
      </c>
      <c r="D403" s="7"/>
      <c r="F403" s="7"/>
      <c r="G403" s="19" t="str">
        <f>IFERROR(__xludf.DUMMYFUNCTION("IF(OR(E403="""",F403&lt;&gt;""Barang Datang""), """",
  IFERROR(
    INDEX(
      SORT(
        FILTER(Jadwal!F:F, Jadwal!C:C=E403),
        FILTER(Jadwal!E:E, Jadwal!C:C=E403),
        FALSE
      ),
      1
    ),
    ""TIDAK ADA JADWAL""
  )
)"),"")</f>
        <v/>
      </c>
      <c r="H403" s="7" t="str">
        <f t="shared" si="2"/>
        <v/>
      </c>
      <c r="L403" s="13"/>
      <c r="M403" s="13"/>
    </row>
    <row r="404" ht="15.75" customHeight="1">
      <c r="A404" s="14" t="str">
        <f t="shared" si="1"/>
        <v/>
      </c>
      <c r="B404" s="17" t="str">
        <f t="shared" si="3"/>
        <v/>
      </c>
      <c r="C404" s="18" t="str">
        <f t="shared" si="4"/>
        <v/>
      </c>
      <c r="D404" s="7"/>
      <c r="F404" s="7"/>
      <c r="G404" s="19" t="str">
        <f>IFERROR(__xludf.DUMMYFUNCTION("IF(OR(E404="""",F404&lt;&gt;""Barang Datang""), """",
  IFERROR(
    INDEX(
      SORT(
        FILTER(Jadwal!F:F, Jadwal!C:C=E404),
        FILTER(Jadwal!E:E, Jadwal!C:C=E404),
        FALSE
      ),
      1
    ),
    ""TIDAK ADA JADWAL""
  )
)"),"")</f>
        <v/>
      </c>
      <c r="H404" s="7" t="str">
        <f t="shared" si="2"/>
        <v/>
      </c>
      <c r="L404" s="13"/>
      <c r="M404" s="13"/>
    </row>
    <row r="405" ht="15.75" customHeight="1">
      <c r="A405" s="14" t="str">
        <f t="shared" si="1"/>
        <v/>
      </c>
      <c r="B405" s="17" t="str">
        <f t="shared" si="3"/>
        <v/>
      </c>
      <c r="C405" s="18" t="str">
        <f t="shared" si="4"/>
        <v/>
      </c>
      <c r="D405" s="7"/>
      <c r="F405" s="7"/>
      <c r="G405" s="19" t="str">
        <f>IFERROR(__xludf.DUMMYFUNCTION("IF(OR(E405="""",F405&lt;&gt;""Barang Datang""), """",
  IFERROR(
    INDEX(
      SORT(
        FILTER(Jadwal!F:F, Jadwal!C:C=E405),
        FILTER(Jadwal!E:E, Jadwal!C:C=E405),
        FALSE
      ),
      1
    ),
    ""TIDAK ADA JADWAL""
  )
)"),"")</f>
        <v/>
      </c>
      <c r="H405" s="7" t="str">
        <f t="shared" si="2"/>
        <v/>
      </c>
      <c r="L405" s="13"/>
      <c r="M405" s="13"/>
    </row>
    <row r="406" ht="15.75" customHeight="1">
      <c r="A406" s="14" t="str">
        <f t="shared" si="1"/>
        <v/>
      </c>
      <c r="B406" s="17" t="str">
        <f t="shared" si="3"/>
        <v/>
      </c>
      <c r="C406" s="18" t="str">
        <f t="shared" si="4"/>
        <v/>
      </c>
      <c r="D406" s="7"/>
      <c r="F406" s="7"/>
      <c r="G406" s="19" t="str">
        <f>IFERROR(__xludf.DUMMYFUNCTION("IF(OR(E406="""",F406&lt;&gt;""Barang Datang""), """",
  IFERROR(
    INDEX(
      SORT(
        FILTER(Jadwal!F:F, Jadwal!C:C=E406),
        FILTER(Jadwal!E:E, Jadwal!C:C=E406),
        FALSE
      ),
      1
    ),
    ""TIDAK ADA JADWAL""
  )
)"),"")</f>
        <v/>
      </c>
      <c r="H406" s="7" t="str">
        <f t="shared" si="2"/>
        <v/>
      </c>
      <c r="L406" s="13"/>
      <c r="M406" s="13"/>
    </row>
    <row r="407" ht="15.75" customHeight="1">
      <c r="A407" s="14" t="str">
        <f t="shared" si="1"/>
        <v/>
      </c>
      <c r="B407" s="17" t="str">
        <f t="shared" si="3"/>
        <v/>
      </c>
      <c r="C407" s="18" t="str">
        <f t="shared" si="4"/>
        <v/>
      </c>
      <c r="D407" s="7"/>
      <c r="F407" s="7"/>
      <c r="G407" s="19" t="str">
        <f>IFERROR(__xludf.DUMMYFUNCTION("IF(OR(E407="""",F407&lt;&gt;""Barang Datang""), """",
  IFERROR(
    INDEX(
      SORT(
        FILTER(Jadwal!F:F, Jadwal!C:C=E407),
        FILTER(Jadwal!E:E, Jadwal!C:C=E407),
        FALSE
      ),
      1
    ),
    ""TIDAK ADA JADWAL""
  )
)"),"")</f>
        <v/>
      </c>
      <c r="H407" s="7" t="str">
        <f t="shared" si="2"/>
        <v/>
      </c>
      <c r="L407" s="13"/>
      <c r="M407" s="13"/>
    </row>
    <row r="408" ht="15.75" customHeight="1">
      <c r="A408" s="14" t="str">
        <f t="shared" si="1"/>
        <v/>
      </c>
      <c r="B408" s="17" t="str">
        <f t="shared" si="3"/>
        <v/>
      </c>
      <c r="C408" s="18" t="str">
        <f t="shared" si="4"/>
        <v/>
      </c>
      <c r="D408" s="7"/>
      <c r="F408" s="7"/>
      <c r="G408" s="19" t="str">
        <f>IFERROR(__xludf.DUMMYFUNCTION("IF(OR(E408="""",F408&lt;&gt;""Barang Datang""), """",
  IFERROR(
    INDEX(
      SORT(
        FILTER(Jadwal!F:F, Jadwal!C:C=E408),
        FILTER(Jadwal!E:E, Jadwal!C:C=E408),
        FALSE
      ),
      1
    ),
    ""TIDAK ADA JADWAL""
  )
)"),"")</f>
        <v/>
      </c>
      <c r="H408" s="7" t="str">
        <f t="shared" si="2"/>
        <v/>
      </c>
      <c r="L408" s="13"/>
      <c r="M408" s="13"/>
    </row>
    <row r="409" ht="15.75" customHeight="1">
      <c r="A409" s="14" t="str">
        <f t="shared" si="1"/>
        <v/>
      </c>
      <c r="B409" s="17" t="str">
        <f t="shared" si="3"/>
        <v/>
      </c>
      <c r="C409" s="18" t="str">
        <f t="shared" si="4"/>
        <v/>
      </c>
      <c r="D409" s="7"/>
      <c r="F409" s="7"/>
      <c r="G409" s="19" t="str">
        <f>IFERROR(__xludf.DUMMYFUNCTION("IF(OR(E409="""",F409&lt;&gt;""Barang Datang""), """",
  IFERROR(
    INDEX(
      SORT(
        FILTER(Jadwal!F:F, Jadwal!C:C=E409),
        FILTER(Jadwal!E:E, Jadwal!C:C=E409),
        FALSE
      ),
      1
    ),
    ""TIDAK ADA JADWAL""
  )
)"),"")</f>
        <v/>
      </c>
      <c r="H409" s="7" t="str">
        <f t="shared" si="2"/>
        <v/>
      </c>
      <c r="L409" s="13"/>
      <c r="M409" s="13"/>
    </row>
    <row r="410" ht="15.75" customHeight="1">
      <c r="A410" s="14" t="str">
        <f t="shared" si="1"/>
        <v/>
      </c>
      <c r="B410" s="17" t="str">
        <f t="shared" si="3"/>
        <v/>
      </c>
      <c r="C410" s="18" t="str">
        <f t="shared" si="4"/>
        <v/>
      </c>
      <c r="D410" s="7"/>
      <c r="F410" s="7"/>
      <c r="G410" s="19" t="str">
        <f>IFERROR(__xludf.DUMMYFUNCTION("IF(OR(E410="""",F410&lt;&gt;""Barang Datang""), """",
  IFERROR(
    INDEX(
      SORT(
        FILTER(Jadwal!F:F, Jadwal!C:C=E410),
        FILTER(Jadwal!E:E, Jadwal!C:C=E410),
        FALSE
      ),
      1
    ),
    ""TIDAK ADA JADWAL""
  )
)"),"")</f>
        <v/>
      </c>
      <c r="H410" s="7" t="str">
        <f t="shared" si="2"/>
        <v/>
      </c>
      <c r="L410" s="13"/>
      <c r="M410" s="13"/>
    </row>
    <row r="411" ht="15.75" customHeight="1">
      <c r="A411" s="14" t="str">
        <f t="shared" si="1"/>
        <v/>
      </c>
      <c r="B411" s="17" t="str">
        <f t="shared" si="3"/>
        <v/>
      </c>
      <c r="C411" s="18" t="str">
        <f t="shared" si="4"/>
        <v/>
      </c>
      <c r="D411" s="7"/>
      <c r="F411" s="7"/>
      <c r="G411" s="19" t="str">
        <f>IFERROR(__xludf.DUMMYFUNCTION("IF(OR(E411="""",F411&lt;&gt;""Barang Datang""), """",
  IFERROR(
    INDEX(
      SORT(
        FILTER(Jadwal!F:F, Jadwal!C:C=E411),
        FILTER(Jadwal!E:E, Jadwal!C:C=E411),
        FALSE
      ),
      1
    ),
    ""TIDAK ADA JADWAL""
  )
)"),"")</f>
        <v/>
      </c>
      <c r="H411" s="7" t="str">
        <f t="shared" si="2"/>
        <v/>
      </c>
      <c r="L411" s="13"/>
      <c r="M411" s="13"/>
    </row>
    <row r="412" ht="15.75" customHeight="1">
      <c r="A412" s="14" t="str">
        <f t="shared" si="1"/>
        <v/>
      </c>
      <c r="B412" s="17" t="str">
        <f t="shared" si="3"/>
        <v/>
      </c>
      <c r="C412" s="18" t="str">
        <f t="shared" si="4"/>
        <v/>
      </c>
      <c r="D412" s="7"/>
      <c r="F412" s="7"/>
      <c r="G412" s="19" t="str">
        <f>IFERROR(__xludf.DUMMYFUNCTION("IF(OR(E412="""",F412&lt;&gt;""Barang Datang""), """",
  IFERROR(
    INDEX(
      SORT(
        FILTER(Jadwal!F:F, Jadwal!C:C=E412),
        FILTER(Jadwal!E:E, Jadwal!C:C=E412),
        FALSE
      ),
      1
    ),
    ""TIDAK ADA JADWAL""
  )
)"),"")</f>
        <v/>
      </c>
      <c r="H412" s="7" t="str">
        <f t="shared" si="2"/>
        <v/>
      </c>
      <c r="L412" s="13"/>
      <c r="M412" s="13"/>
    </row>
    <row r="413" ht="15.75" customHeight="1">
      <c r="A413" s="14" t="str">
        <f t="shared" si="1"/>
        <v/>
      </c>
      <c r="B413" s="17" t="str">
        <f t="shared" si="3"/>
        <v/>
      </c>
      <c r="C413" s="18" t="str">
        <f t="shared" si="4"/>
        <v/>
      </c>
      <c r="D413" s="7"/>
      <c r="F413" s="7"/>
      <c r="G413" s="19" t="str">
        <f>IFERROR(__xludf.DUMMYFUNCTION("IF(OR(E413="""",F413&lt;&gt;""Barang Datang""), """",
  IFERROR(
    INDEX(
      SORT(
        FILTER(Jadwal!F:F, Jadwal!C:C=E413),
        FILTER(Jadwal!E:E, Jadwal!C:C=E413),
        FALSE
      ),
      1
    ),
    ""TIDAK ADA JADWAL""
  )
)"),"")</f>
        <v/>
      </c>
      <c r="H413" s="7" t="str">
        <f t="shared" si="2"/>
        <v/>
      </c>
      <c r="L413" s="13"/>
      <c r="M413" s="13"/>
    </row>
    <row r="414" ht="15.75" customHeight="1">
      <c r="A414" s="14" t="str">
        <f t="shared" si="1"/>
        <v/>
      </c>
      <c r="B414" s="17" t="str">
        <f t="shared" si="3"/>
        <v/>
      </c>
      <c r="C414" s="18" t="str">
        <f t="shared" si="4"/>
        <v/>
      </c>
      <c r="D414" s="7"/>
      <c r="F414" s="7"/>
      <c r="G414" s="19" t="str">
        <f>IFERROR(__xludf.DUMMYFUNCTION("IF(OR(E414="""",F414&lt;&gt;""Barang Datang""), """",
  IFERROR(
    INDEX(
      SORT(
        FILTER(Jadwal!F:F, Jadwal!C:C=E414),
        FILTER(Jadwal!E:E, Jadwal!C:C=E414),
        FALSE
      ),
      1
    ),
    ""TIDAK ADA JADWAL""
  )
)"),"")</f>
        <v/>
      </c>
      <c r="H414" s="7" t="str">
        <f t="shared" si="2"/>
        <v/>
      </c>
      <c r="L414" s="13"/>
      <c r="M414" s="13"/>
    </row>
    <row r="415" ht="15.75" customHeight="1">
      <c r="A415" s="14" t="str">
        <f t="shared" si="1"/>
        <v/>
      </c>
      <c r="B415" s="17" t="str">
        <f t="shared" si="3"/>
        <v/>
      </c>
      <c r="C415" s="18" t="str">
        <f t="shared" si="4"/>
        <v/>
      </c>
      <c r="D415" s="7"/>
      <c r="F415" s="7"/>
      <c r="G415" s="19" t="str">
        <f>IFERROR(__xludf.DUMMYFUNCTION("IF(OR(E415="""",F415&lt;&gt;""Barang Datang""), """",
  IFERROR(
    INDEX(
      SORT(
        FILTER(Jadwal!F:F, Jadwal!C:C=E415),
        FILTER(Jadwal!E:E, Jadwal!C:C=E415),
        FALSE
      ),
      1
    ),
    ""TIDAK ADA JADWAL""
  )
)"),"")</f>
        <v/>
      </c>
      <c r="H415" s="7" t="str">
        <f t="shared" si="2"/>
        <v/>
      </c>
      <c r="L415" s="13"/>
      <c r="M415" s="13"/>
    </row>
    <row r="416" ht="15.75" customHeight="1">
      <c r="A416" s="14" t="str">
        <f t="shared" si="1"/>
        <v/>
      </c>
      <c r="B416" s="17" t="str">
        <f t="shared" si="3"/>
        <v/>
      </c>
      <c r="C416" s="18" t="str">
        <f t="shared" si="4"/>
        <v/>
      </c>
      <c r="D416" s="7"/>
      <c r="F416" s="7"/>
      <c r="G416" s="19" t="str">
        <f>IFERROR(__xludf.DUMMYFUNCTION("IF(OR(E416="""",F416&lt;&gt;""Barang Datang""), """",
  IFERROR(
    INDEX(
      SORT(
        FILTER(Jadwal!F:F, Jadwal!C:C=E416),
        FILTER(Jadwal!E:E, Jadwal!C:C=E416),
        FALSE
      ),
      1
    ),
    ""TIDAK ADA JADWAL""
  )
)"),"")</f>
        <v/>
      </c>
      <c r="H416" s="7" t="str">
        <f t="shared" si="2"/>
        <v/>
      </c>
      <c r="L416" s="13"/>
      <c r="M416" s="13"/>
    </row>
    <row r="417" ht="15.75" customHeight="1">
      <c r="A417" s="14" t="str">
        <f t="shared" si="1"/>
        <v/>
      </c>
      <c r="B417" s="17" t="str">
        <f t="shared" si="3"/>
        <v/>
      </c>
      <c r="C417" s="18" t="str">
        <f t="shared" si="4"/>
        <v/>
      </c>
      <c r="D417" s="7"/>
      <c r="F417" s="7"/>
      <c r="G417" s="19" t="str">
        <f>IFERROR(__xludf.DUMMYFUNCTION("IF(OR(E417="""",F417&lt;&gt;""Barang Datang""), """",
  IFERROR(
    INDEX(
      SORT(
        FILTER(Jadwal!F:F, Jadwal!C:C=E417),
        FILTER(Jadwal!E:E, Jadwal!C:C=E417),
        FALSE
      ),
      1
    ),
    ""TIDAK ADA JADWAL""
  )
)"),"")</f>
        <v/>
      </c>
      <c r="H417" s="7" t="str">
        <f t="shared" si="2"/>
        <v/>
      </c>
      <c r="L417" s="13"/>
      <c r="M417" s="13"/>
    </row>
    <row r="418" ht="15.75" customHeight="1">
      <c r="A418" s="14" t="str">
        <f t="shared" si="1"/>
        <v/>
      </c>
      <c r="B418" s="17" t="str">
        <f t="shared" si="3"/>
        <v/>
      </c>
      <c r="C418" s="18" t="str">
        <f t="shared" si="4"/>
        <v/>
      </c>
      <c r="D418" s="7"/>
      <c r="F418" s="7"/>
      <c r="G418" s="19" t="str">
        <f>IFERROR(__xludf.DUMMYFUNCTION("IF(OR(E418="""",F418&lt;&gt;""Barang Datang""), """",
  IFERROR(
    INDEX(
      SORT(
        FILTER(Jadwal!F:F, Jadwal!C:C=E418),
        FILTER(Jadwal!E:E, Jadwal!C:C=E418),
        FALSE
      ),
      1
    ),
    ""TIDAK ADA JADWAL""
  )
)"),"")</f>
        <v/>
      </c>
      <c r="H418" s="7" t="str">
        <f t="shared" si="2"/>
        <v/>
      </c>
      <c r="L418" s="13"/>
      <c r="M418" s="13"/>
    </row>
    <row r="419" ht="15.75" customHeight="1">
      <c r="A419" s="14" t="str">
        <f t="shared" si="1"/>
        <v/>
      </c>
      <c r="B419" s="17" t="str">
        <f t="shared" si="3"/>
        <v/>
      </c>
      <c r="C419" s="18" t="str">
        <f t="shared" si="4"/>
        <v/>
      </c>
      <c r="D419" s="7"/>
      <c r="F419" s="7"/>
      <c r="G419" s="19" t="str">
        <f>IFERROR(__xludf.DUMMYFUNCTION("IF(OR(E419="""",F419&lt;&gt;""Barang Datang""), """",
  IFERROR(
    INDEX(
      SORT(
        FILTER(Jadwal!F:F, Jadwal!C:C=E419),
        FILTER(Jadwal!E:E, Jadwal!C:C=E419),
        FALSE
      ),
      1
    ),
    ""TIDAK ADA JADWAL""
  )
)"),"")</f>
        <v/>
      </c>
      <c r="H419" s="7" t="str">
        <f t="shared" si="2"/>
        <v/>
      </c>
      <c r="L419" s="13"/>
      <c r="M419" s="13"/>
    </row>
    <row r="420" ht="15.75" customHeight="1">
      <c r="A420" s="14" t="str">
        <f t="shared" si="1"/>
        <v/>
      </c>
      <c r="B420" s="17" t="str">
        <f t="shared" si="3"/>
        <v/>
      </c>
      <c r="C420" s="18" t="str">
        <f t="shared" si="4"/>
        <v/>
      </c>
      <c r="D420" s="7"/>
      <c r="F420" s="7"/>
      <c r="G420" s="19" t="str">
        <f>IFERROR(__xludf.DUMMYFUNCTION("IF(OR(E420="""",F420&lt;&gt;""Barang Datang""), """",
  IFERROR(
    INDEX(
      SORT(
        FILTER(Jadwal!F:F, Jadwal!C:C=E420),
        FILTER(Jadwal!E:E, Jadwal!C:C=E420),
        FALSE
      ),
      1
    ),
    ""TIDAK ADA JADWAL""
  )
)"),"")</f>
        <v/>
      </c>
      <c r="H420" s="7" t="str">
        <f t="shared" si="2"/>
        <v/>
      </c>
      <c r="L420" s="13"/>
      <c r="M420" s="13"/>
    </row>
    <row r="421" ht="15.75" customHeight="1">
      <c r="A421" s="14" t="str">
        <f t="shared" si="1"/>
        <v/>
      </c>
      <c r="B421" s="17" t="str">
        <f t="shared" si="3"/>
        <v/>
      </c>
      <c r="C421" s="18" t="str">
        <f t="shared" si="4"/>
        <v/>
      </c>
      <c r="D421" s="7"/>
      <c r="F421" s="7"/>
      <c r="G421" s="19" t="str">
        <f>IFERROR(__xludf.DUMMYFUNCTION("IF(OR(E421="""",F421&lt;&gt;""Barang Datang""), """",
  IFERROR(
    INDEX(
      SORT(
        FILTER(Jadwal!F:F, Jadwal!C:C=E421),
        FILTER(Jadwal!E:E, Jadwal!C:C=E421),
        FALSE
      ),
      1
    ),
    ""TIDAK ADA JADWAL""
  )
)"),"")</f>
        <v/>
      </c>
      <c r="H421" s="7" t="str">
        <f t="shared" si="2"/>
        <v/>
      </c>
      <c r="L421" s="13"/>
      <c r="M421" s="13"/>
    </row>
    <row r="422" ht="15.75" customHeight="1">
      <c r="A422" s="14" t="str">
        <f t="shared" si="1"/>
        <v/>
      </c>
      <c r="B422" s="17" t="str">
        <f t="shared" si="3"/>
        <v/>
      </c>
      <c r="C422" s="18" t="str">
        <f t="shared" si="4"/>
        <v/>
      </c>
      <c r="D422" s="7"/>
      <c r="F422" s="7"/>
      <c r="G422" s="19" t="str">
        <f>IFERROR(__xludf.DUMMYFUNCTION("IF(OR(E422="""",F422&lt;&gt;""Barang Datang""), """",
  IFERROR(
    INDEX(
      SORT(
        FILTER(Jadwal!F:F, Jadwal!C:C=E422),
        FILTER(Jadwal!E:E, Jadwal!C:C=E422),
        FALSE
      ),
      1
    ),
    ""TIDAK ADA JADWAL""
  )
)"),"")</f>
        <v/>
      </c>
      <c r="H422" s="7" t="str">
        <f t="shared" si="2"/>
        <v/>
      </c>
      <c r="L422" s="13"/>
      <c r="M422" s="13"/>
    </row>
    <row r="423" ht="15.75" customHeight="1">
      <c r="A423" s="14" t="str">
        <f t="shared" si="1"/>
        <v/>
      </c>
      <c r="B423" s="17" t="str">
        <f t="shared" si="3"/>
        <v/>
      </c>
      <c r="C423" s="18" t="str">
        <f t="shared" si="4"/>
        <v/>
      </c>
      <c r="D423" s="7"/>
      <c r="F423" s="7"/>
      <c r="G423" s="19" t="str">
        <f>IFERROR(__xludf.DUMMYFUNCTION("IF(OR(E423="""",F423&lt;&gt;""Barang Datang""), """",
  IFERROR(
    INDEX(
      SORT(
        FILTER(Jadwal!F:F, Jadwal!C:C=E423),
        FILTER(Jadwal!E:E, Jadwal!C:C=E423),
        FALSE
      ),
      1
    ),
    ""TIDAK ADA JADWAL""
  )
)"),"")</f>
        <v/>
      </c>
      <c r="H423" s="7" t="str">
        <f t="shared" si="2"/>
        <v/>
      </c>
      <c r="L423" s="13"/>
      <c r="M423" s="13"/>
    </row>
    <row r="424" ht="15.75" customHeight="1">
      <c r="A424" s="14" t="str">
        <f t="shared" si="1"/>
        <v/>
      </c>
      <c r="B424" s="17" t="str">
        <f t="shared" si="3"/>
        <v/>
      </c>
      <c r="C424" s="18" t="str">
        <f t="shared" si="4"/>
        <v/>
      </c>
      <c r="D424" s="7"/>
      <c r="F424" s="7"/>
      <c r="G424" s="19" t="str">
        <f>IFERROR(__xludf.DUMMYFUNCTION("IF(OR(E424="""",F424&lt;&gt;""Barang Datang""), """",
  IFERROR(
    INDEX(
      SORT(
        FILTER(Jadwal!F:F, Jadwal!C:C=E424),
        FILTER(Jadwal!E:E, Jadwal!C:C=E424),
        FALSE
      ),
      1
    ),
    ""TIDAK ADA JADWAL""
  )
)"),"")</f>
        <v/>
      </c>
      <c r="H424" s="7" t="str">
        <f t="shared" si="2"/>
        <v/>
      </c>
      <c r="L424" s="13"/>
      <c r="M424" s="13"/>
    </row>
    <row r="425" ht="15.75" customHeight="1">
      <c r="A425" s="14" t="str">
        <f t="shared" si="1"/>
        <v/>
      </c>
      <c r="B425" s="17" t="str">
        <f t="shared" si="3"/>
        <v/>
      </c>
      <c r="C425" s="18" t="str">
        <f t="shared" si="4"/>
        <v/>
      </c>
      <c r="D425" s="7"/>
      <c r="F425" s="7"/>
      <c r="G425" s="19" t="str">
        <f>IFERROR(__xludf.DUMMYFUNCTION("IF(OR(E425="""",F425&lt;&gt;""Barang Datang""), """",
  IFERROR(
    INDEX(
      SORT(
        FILTER(Jadwal!F:F, Jadwal!C:C=E425),
        FILTER(Jadwal!E:E, Jadwal!C:C=E425),
        FALSE
      ),
      1
    ),
    ""TIDAK ADA JADWAL""
  )
)"),"")</f>
        <v/>
      </c>
      <c r="H425" s="7" t="str">
        <f t="shared" si="2"/>
        <v/>
      </c>
      <c r="L425" s="13"/>
      <c r="M425" s="13"/>
    </row>
    <row r="426" ht="15.75" customHeight="1">
      <c r="A426" s="14" t="str">
        <f t="shared" si="1"/>
        <v/>
      </c>
      <c r="B426" s="17" t="str">
        <f t="shared" si="3"/>
        <v/>
      </c>
      <c r="C426" s="18" t="str">
        <f t="shared" si="4"/>
        <v/>
      </c>
      <c r="D426" s="7"/>
      <c r="F426" s="7"/>
      <c r="G426" s="19" t="str">
        <f>IFERROR(__xludf.DUMMYFUNCTION("IF(OR(E426="""",F426&lt;&gt;""Barang Datang""), """",
  IFERROR(
    INDEX(
      SORT(
        FILTER(Jadwal!F:F, Jadwal!C:C=E426),
        FILTER(Jadwal!E:E, Jadwal!C:C=E426),
        FALSE
      ),
      1
    ),
    ""TIDAK ADA JADWAL""
  )
)"),"")</f>
        <v/>
      </c>
      <c r="H426" s="7" t="str">
        <f t="shared" si="2"/>
        <v/>
      </c>
      <c r="L426" s="13"/>
      <c r="M426" s="13"/>
    </row>
    <row r="427" ht="15.75" customHeight="1">
      <c r="A427" s="14" t="str">
        <f t="shared" si="1"/>
        <v/>
      </c>
      <c r="B427" s="17" t="str">
        <f t="shared" si="3"/>
        <v/>
      </c>
      <c r="C427" s="18" t="str">
        <f t="shared" si="4"/>
        <v/>
      </c>
      <c r="D427" s="7"/>
      <c r="F427" s="7"/>
      <c r="G427" s="19" t="str">
        <f>IFERROR(__xludf.DUMMYFUNCTION("IF(OR(E427="""",F427&lt;&gt;""Barang Datang""), """",
  IFERROR(
    INDEX(
      SORT(
        FILTER(Jadwal!F:F, Jadwal!C:C=E427),
        FILTER(Jadwal!E:E, Jadwal!C:C=E427),
        FALSE
      ),
      1
    ),
    ""TIDAK ADA JADWAL""
  )
)"),"")</f>
        <v/>
      </c>
      <c r="H427" s="7" t="str">
        <f t="shared" si="2"/>
        <v/>
      </c>
      <c r="L427" s="13"/>
      <c r="M427" s="13"/>
    </row>
    <row r="428" ht="15.75" customHeight="1">
      <c r="A428" s="14" t="str">
        <f t="shared" si="1"/>
        <v/>
      </c>
      <c r="B428" s="17" t="str">
        <f t="shared" si="3"/>
        <v/>
      </c>
      <c r="C428" s="18" t="str">
        <f t="shared" si="4"/>
        <v/>
      </c>
      <c r="D428" s="7"/>
      <c r="F428" s="7"/>
      <c r="G428" s="19" t="str">
        <f>IFERROR(__xludf.DUMMYFUNCTION("IF(OR(E428="""",F428&lt;&gt;""Barang Datang""), """",
  IFERROR(
    INDEX(
      SORT(
        FILTER(Jadwal!F:F, Jadwal!C:C=E428),
        FILTER(Jadwal!E:E, Jadwal!C:C=E428),
        FALSE
      ),
      1
    ),
    ""TIDAK ADA JADWAL""
  )
)"),"")</f>
        <v/>
      </c>
      <c r="H428" s="7" t="str">
        <f t="shared" si="2"/>
        <v/>
      </c>
      <c r="L428" s="13"/>
      <c r="M428" s="13"/>
    </row>
    <row r="429" ht="15.75" customHeight="1">
      <c r="A429" s="14" t="str">
        <f t="shared" si="1"/>
        <v/>
      </c>
      <c r="B429" s="17" t="str">
        <f t="shared" si="3"/>
        <v/>
      </c>
      <c r="C429" s="18" t="str">
        <f t="shared" si="4"/>
        <v/>
      </c>
      <c r="D429" s="7"/>
      <c r="F429" s="7"/>
      <c r="G429" s="19" t="str">
        <f>IFERROR(__xludf.DUMMYFUNCTION("IF(OR(E429="""",F429&lt;&gt;""Barang Datang""), """",
  IFERROR(
    INDEX(
      SORT(
        FILTER(Jadwal!F:F, Jadwal!C:C=E429),
        FILTER(Jadwal!E:E, Jadwal!C:C=E429),
        FALSE
      ),
      1
    ),
    ""TIDAK ADA JADWAL""
  )
)"),"")</f>
        <v/>
      </c>
      <c r="H429" s="7" t="str">
        <f t="shared" si="2"/>
        <v/>
      </c>
      <c r="L429" s="13"/>
      <c r="M429" s="13"/>
    </row>
    <row r="430" ht="15.75" customHeight="1">
      <c r="A430" s="14" t="str">
        <f t="shared" si="1"/>
        <v/>
      </c>
      <c r="B430" s="17" t="str">
        <f t="shared" si="3"/>
        <v/>
      </c>
      <c r="C430" s="18" t="str">
        <f t="shared" si="4"/>
        <v/>
      </c>
      <c r="D430" s="7"/>
      <c r="F430" s="7"/>
      <c r="G430" s="19" t="str">
        <f>IFERROR(__xludf.DUMMYFUNCTION("IF(OR(E430="""",F430&lt;&gt;""Barang Datang""), """",
  IFERROR(
    INDEX(
      SORT(
        FILTER(Jadwal!F:F, Jadwal!C:C=E430),
        FILTER(Jadwal!E:E, Jadwal!C:C=E430),
        FALSE
      ),
      1
    ),
    ""TIDAK ADA JADWAL""
  )
)"),"")</f>
        <v/>
      </c>
      <c r="H430" s="7" t="str">
        <f t="shared" si="2"/>
        <v/>
      </c>
      <c r="L430" s="13"/>
      <c r="M430" s="13"/>
    </row>
    <row r="431" ht="15.75" customHeight="1">
      <c r="A431" s="14" t="str">
        <f t="shared" si="1"/>
        <v/>
      </c>
      <c r="B431" s="17" t="str">
        <f t="shared" si="3"/>
        <v/>
      </c>
      <c r="C431" s="18" t="str">
        <f t="shared" si="4"/>
        <v/>
      </c>
      <c r="D431" s="7"/>
      <c r="F431" s="7"/>
      <c r="G431" s="19" t="str">
        <f>IFERROR(__xludf.DUMMYFUNCTION("IF(OR(E431="""",F431&lt;&gt;""Barang Datang""), """",
  IFERROR(
    INDEX(
      SORT(
        FILTER(Jadwal!F:F, Jadwal!C:C=E431),
        FILTER(Jadwal!E:E, Jadwal!C:C=E431),
        FALSE
      ),
      1
    ),
    ""TIDAK ADA JADWAL""
  )
)"),"")</f>
        <v/>
      </c>
      <c r="H431" s="7" t="str">
        <f t="shared" si="2"/>
        <v/>
      </c>
      <c r="L431" s="13"/>
      <c r="M431" s="13"/>
    </row>
    <row r="432" ht="15.75" customHeight="1">
      <c r="A432" s="14" t="str">
        <f t="shared" si="1"/>
        <v/>
      </c>
      <c r="B432" s="17" t="str">
        <f t="shared" si="3"/>
        <v/>
      </c>
      <c r="C432" s="18" t="str">
        <f t="shared" si="4"/>
        <v/>
      </c>
      <c r="D432" s="7"/>
      <c r="F432" s="7"/>
      <c r="G432" s="19" t="str">
        <f>IFERROR(__xludf.DUMMYFUNCTION("IF(OR(E432="""",F432&lt;&gt;""Barang Datang""), """",
  IFERROR(
    INDEX(
      SORT(
        FILTER(Jadwal!F:F, Jadwal!C:C=E432),
        FILTER(Jadwal!E:E, Jadwal!C:C=E432),
        FALSE
      ),
      1
    ),
    ""TIDAK ADA JADWAL""
  )
)"),"")</f>
        <v/>
      </c>
      <c r="H432" s="7" t="str">
        <f t="shared" si="2"/>
        <v/>
      </c>
      <c r="L432" s="13"/>
      <c r="M432" s="13"/>
    </row>
    <row r="433" ht="15.75" customHeight="1">
      <c r="A433" s="14" t="str">
        <f t="shared" si="1"/>
        <v/>
      </c>
      <c r="B433" s="17" t="str">
        <f t="shared" si="3"/>
        <v/>
      </c>
      <c r="C433" s="18" t="str">
        <f t="shared" si="4"/>
        <v/>
      </c>
      <c r="D433" s="7"/>
      <c r="F433" s="7"/>
      <c r="G433" s="19" t="str">
        <f>IFERROR(__xludf.DUMMYFUNCTION("IF(OR(E433="""",F433&lt;&gt;""Barang Datang""), """",
  IFERROR(
    INDEX(
      SORT(
        FILTER(Jadwal!F:F, Jadwal!C:C=E433),
        FILTER(Jadwal!E:E, Jadwal!C:C=E433),
        FALSE
      ),
      1
    ),
    ""TIDAK ADA JADWAL""
  )
)"),"")</f>
        <v/>
      </c>
      <c r="H433" s="7" t="str">
        <f t="shared" si="2"/>
        <v/>
      </c>
      <c r="L433" s="13"/>
      <c r="M433" s="13"/>
    </row>
    <row r="434" ht="15.75" customHeight="1">
      <c r="A434" s="14" t="str">
        <f t="shared" si="1"/>
        <v/>
      </c>
      <c r="B434" s="17" t="str">
        <f t="shared" si="3"/>
        <v/>
      </c>
      <c r="C434" s="18" t="str">
        <f t="shared" si="4"/>
        <v/>
      </c>
      <c r="D434" s="7"/>
      <c r="F434" s="7"/>
      <c r="G434" s="19" t="str">
        <f>IFERROR(__xludf.DUMMYFUNCTION("IF(OR(E434="""",F434&lt;&gt;""Barang Datang""), """",
  IFERROR(
    INDEX(
      SORT(
        FILTER(Jadwal!F:F, Jadwal!C:C=E434),
        FILTER(Jadwal!E:E, Jadwal!C:C=E434),
        FALSE
      ),
      1
    ),
    ""TIDAK ADA JADWAL""
  )
)"),"")</f>
        <v/>
      </c>
      <c r="H434" s="7" t="str">
        <f t="shared" si="2"/>
        <v/>
      </c>
      <c r="L434" s="13"/>
      <c r="M434" s="13"/>
    </row>
    <row r="435" ht="15.75" customHeight="1">
      <c r="A435" s="14" t="str">
        <f t="shared" si="1"/>
        <v/>
      </c>
      <c r="B435" s="17" t="str">
        <f t="shared" si="3"/>
        <v/>
      </c>
      <c r="C435" s="18" t="str">
        <f t="shared" si="4"/>
        <v/>
      </c>
      <c r="D435" s="7"/>
      <c r="F435" s="7"/>
      <c r="G435" s="19" t="str">
        <f>IFERROR(__xludf.DUMMYFUNCTION("IF(OR(E435="""",F435&lt;&gt;""Barang Datang""), """",
  IFERROR(
    INDEX(
      SORT(
        FILTER(Jadwal!F:F, Jadwal!C:C=E435),
        FILTER(Jadwal!E:E, Jadwal!C:C=E435),
        FALSE
      ),
      1
    ),
    ""TIDAK ADA JADWAL""
  )
)"),"")</f>
        <v/>
      </c>
      <c r="H435" s="7" t="str">
        <f t="shared" si="2"/>
        <v/>
      </c>
      <c r="L435" s="13"/>
      <c r="M435" s="13"/>
    </row>
    <row r="436" ht="15.75" customHeight="1">
      <c r="A436" s="14" t="str">
        <f t="shared" si="1"/>
        <v/>
      </c>
      <c r="B436" s="17" t="str">
        <f t="shared" si="3"/>
        <v/>
      </c>
      <c r="C436" s="18" t="str">
        <f t="shared" si="4"/>
        <v/>
      </c>
      <c r="D436" s="7"/>
      <c r="F436" s="7"/>
      <c r="G436" s="19" t="str">
        <f>IFERROR(__xludf.DUMMYFUNCTION("IF(OR(E436="""",F436&lt;&gt;""Barang Datang""), """",
  IFERROR(
    INDEX(
      SORT(
        FILTER(Jadwal!F:F, Jadwal!C:C=E436),
        FILTER(Jadwal!E:E, Jadwal!C:C=E436),
        FALSE
      ),
      1
    ),
    ""TIDAK ADA JADWAL""
  )
)"),"")</f>
        <v/>
      </c>
      <c r="H436" s="7" t="str">
        <f t="shared" si="2"/>
        <v/>
      </c>
      <c r="L436" s="13"/>
      <c r="M436" s="13"/>
    </row>
    <row r="437" ht="15.75" customHeight="1">
      <c r="A437" s="14" t="str">
        <f t="shared" si="1"/>
        <v/>
      </c>
      <c r="B437" s="17" t="str">
        <f t="shared" si="3"/>
        <v/>
      </c>
      <c r="C437" s="18" t="str">
        <f t="shared" si="4"/>
        <v/>
      </c>
      <c r="D437" s="7"/>
      <c r="F437" s="7"/>
      <c r="G437" s="19" t="str">
        <f>IFERROR(__xludf.DUMMYFUNCTION("IF(OR(E437="""",F437&lt;&gt;""Barang Datang""), """",
  IFERROR(
    INDEX(
      SORT(
        FILTER(Jadwal!F:F, Jadwal!C:C=E437),
        FILTER(Jadwal!E:E, Jadwal!C:C=E437),
        FALSE
      ),
      1
    ),
    ""TIDAK ADA JADWAL""
  )
)"),"")</f>
        <v/>
      </c>
      <c r="H437" s="7" t="str">
        <f t="shared" si="2"/>
        <v/>
      </c>
      <c r="L437" s="13"/>
      <c r="M437" s="13"/>
    </row>
    <row r="438" ht="15.75" customHeight="1">
      <c r="A438" s="14" t="str">
        <f t="shared" si="1"/>
        <v/>
      </c>
      <c r="B438" s="17" t="str">
        <f t="shared" si="3"/>
        <v/>
      </c>
      <c r="C438" s="18" t="str">
        <f t="shared" si="4"/>
        <v/>
      </c>
      <c r="D438" s="7"/>
      <c r="F438" s="7"/>
      <c r="G438" s="19" t="str">
        <f>IFERROR(__xludf.DUMMYFUNCTION("IF(OR(E438="""",F438&lt;&gt;""Barang Datang""), """",
  IFERROR(
    INDEX(
      SORT(
        FILTER(Jadwal!F:F, Jadwal!C:C=E438),
        FILTER(Jadwal!E:E, Jadwal!C:C=E438),
        FALSE
      ),
      1
    ),
    ""TIDAK ADA JADWAL""
  )
)"),"")</f>
        <v/>
      </c>
      <c r="H438" s="7" t="str">
        <f t="shared" si="2"/>
        <v/>
      </c>
      <c r="L438" s="13"/>
      <c r="M438" s="13"/>
    </row>
    <row r="439" ht="15.75" customHeight="1">
      <c r="A439" s="14" t="str">
        <f t="shared" si="1"/>
        <v/>
      </c>
      <c r="B439" s="17" t="str">
        <f t="shared" si="3"/>
        <v/>
      </c>
      <c r="C439" s="18" t="str">
        <f t="shared" si="4"/>
        <v/>
      </c>
      <c r="D439" s="7"/>
      <c r="F439" s="7"/>
      <c r="G439" s="19" t="str">
        <f>IFERROR(__xludf.DUMMYFUNCTION("IF(OR(E439="""",F439&lt;&gt;""Barang Datang""), """",
  IFERROR(
    INDEX(
      SORT(
        FILTER(Jadwal!F:F, Jadwal!C:C=E439),
        FILTER(Jadwal!E:E, Jadwal!C:C=E439),
        FALSE
      ),
      1
    ),
    ""TIDAK ADA JADWAL""
  )
)"),"")</f>
        <v/>
      </c>
      <c r="H439" s="7" t="str">
        <f t="shared" si="2"/>
        <v/>
      </c>
      <c r="L439" s="13"/>
      <c r="M439" s="13"/>
    </row>
    <row r="440" ht="15.75" customHeight="1">
      <c r="A440" s="14" t="str">
        <f t="shared" si="1"/>
        <v/>
      </c>
      <c r="B440" s="17" t="str">
        <f t="shared" si="3"/>
        <v/>
      </c>
      <c r="C440" s="18" t="str">
        <f t="shared" si="4"/>
        <v/>
      </c>
      <c r="D440" s="7"/>
      <c r="F440" s="7"/>
      <c r="G440" s="19" t="str">
        <f>IFERROR(__xludf.DUMMYFUNCTION("IF(OR(E440="""",F440&lt;&gt;""Barang Datang""), """",
  IFERROR(
    INDEX(
      SORT(
        FILTER(Jadwal!F:F, Jadwal!C:C=E440),
        FILTER(Jadwal!E:E, Jadwal!C:C=E440),
        FALSE
      ),
      1
    ),
    ""TIDAK ADA JADWAL""
  )
)"),"")</f>
        <v/>
      </c>
      <c r="H440" s="7" t="str">
        <f t="shared" si="2"/>
        <v/>
      </c>
      <c r="L440" s="13"/>
      <c r="M440" s="13"/>
    </row>
    <row r="441" ht="15.75" customHeight="1">
      <c r="A441" s="14" t="str">
        <f t="shared" si="1"/>
        <v/>
      </c>
      <c r="B441" s="17" t="str">
        <f t="shared" si="3"/>
        <v/>
      </c>
      <c r="C441" s="18" t="str">
        <f t="shared" si="4"/>
        <v/>
      </c>
      <c r="D441" s="7"/>
      <c r="F441" s="7"/>
      <c r="G441" s="19" t="str">
        <f>IFERROR(__xludf.DUMMYFUNCTION("IF(OR(E441="""",F441&lt;&gt;""Barang Datang""), """",
  IFERROR(
    INDEX(
      SORT(
        FILTER(Jadwal!F:F, Jadwal!C:C=E441),
        FILTER(Jadwal!E:E, Jadwal!C:C=E441),
        FALSE
      ),
      1
    ),
    ""TIDAK ADA JADWAL""
  )
)"),"")</f>
        <v/>
      </c>
      <c r="H441" s="7" t="str">
        <f t="shared" si="2"/>
        <v/>
      </c>
      <c r="L441" s="13"/>
      <c r="M441" s="13"/>
    </row>
    <row r="442" ht="15.75" customHeight="1">
      <c r="A442" s="14" t="str">
        <f t="shared" si="1"/>
        <v/>
      </c>
      <c r="B442" s="17" t="str">
        <f t="shared" si="3"/>
        <v/>
      </c>
      <c r="C442" s="18" t="str">
        <f t="shared" si="4"/>
        <v/>
      </c>
      <c r="D442" s="7"/>
      <c r="F442" s="7"/>
      <c r="G442" s="19" t="str">
        <f>IFERROR(__xludf.DUMMYFUNCTION("IF(OR(E442="""",F442&lt;&gt;""Barang Datang""), """",
  IFERROR(
    INDEX(
      SORT(
        FILTER(Jadwal!F:F, Jadwal!C:C=E442),
        FILTER(Jadwal!E:E, Jadwal!C:C=E442),
        FALSE
      ),
      1
    ),
    ""TIDAK ADA JADWAL""
  )
)"),"")</f>
        <v/>
      </c>
      <c r="H442" s="7" t="str">
        <f t="shared" si="2"/>
        <v/>
      </c>
      <c r="L442" s="13"/>
      <c r="M442" s="13"/>
    </row>
    <row r="443" ht="15.75" customHeight="1">
      <c r="A443" s="14" t="str">
        <f t="shared" si="1"/>
        <v/>
      </c>
      <c r="B443" s="17" t="str">
        <f t="shared" si="3"/>
        <v/>
      </c>
      <c r="C443" s="18" t="str">
        <f t="shared" si="4"/>
        <v/>
      </c>
      <c r="D443" s="7"/>
      <c r="F443" s="7"/>
      <c r="G443" s="19" t="str">
        <f>IFERROR(__xludf.DUMMYFUNCTION("IF(OR(E443="""",F443&lt;&gt;""Barang Datang""), """",
  IFERROR(
    INDEX(
      SORT(
        FILTER(Jadwal!F:F, Jadwal!C:C=E443),
        FILTER(Jadwal!E:E, Jadwal!C:C=E443),
        FALSE
      ),
      1
    ),
    ""TIDAK ADA JADWAL""
  )
)"),"")</f>
        <v/>
      </c>
      <c r="H443" s="7" t="str">
        <f t="shared" si="2"/>
        <v/>
      </c>
      <c r="L443" s="13"/>
      <c r="M443" s="13"/>
    </row>
    <row r="444" ht="15.75" customHeight="1">
      <c r="A444" s="14" t="str">
        <f t="shared" si="1"/>
        <v/>
      </c>
      <c r="B444" s="17" t="str">
        <f t="shared" si="3"/>
        <v/>
      </c>
      <c r="C444" s="18" t="str">
        <f t="shared" si="4"/>
        <v/>
      </c>
      <c r="D444" s="7"/>
      <c r="F444" s="7"/>
      <c r="G444" s="19" t="str">
        <f>IFERROR(__xludf.DUMMYFUNCTION("IF(OR(E444="""",F444&lt;&gt;""Barang Datang""), """",
  IFERROR(
    INDEX(
      SORT(
        FILTER(Jadwal!F:F, Jadwal!C:C=E444),
        FILTER(Jadwal!E:E, Jadwal!C:C=E444),
        FALSE
      ),
      1
    ),
    ""TIDAK ADA JADWAL""
  )
)"),"")</f>
        <v/>
      </c>
      <c r="H444" s="7" t="str">
        <f t="shared" si="2"/>
        <v/>
      </c>
      <c r="L444" s="13"/>
      <c r="M444" s="13"/>
    </row>
    <row r="445" ht="15.75" customHeight="1">
      <c r="A445" s="14" t="str">
        <f t="shared" si="1"/>
        <v/>
      </c>
      <c r="B445" s="17" t="str">
        <f t="shared" si="3"/>
        <v/>
      </c>
      <c r="C445" s="18" t="str">
        <f t="shared" si="4"/>
        <v/>
      </c>
      <c r="D445" s="7"/>
      <c r="F445" s="7"/>
      <c r="G445" s="19" t="str">
        <f>IFERROR(__xludf.DUMMYFUNCTION("IF(OR(E445="""",F445&lt;&gt;""Barang Datang""), """",
  IFERROR(
    INDEX(
      SORT(
        FILTER(Jadwal!F:F, Jadwal!C:C=E445),
        FILTER(Jadwal!E:E, Jadwal!C:C=E445),
        FALSE
      ),
      1
    ),
    ""TIDAK ADA JADWAL""
  )
)"),"")</f>
        <v/>
      </c>
      <c r="H445" s="7" t="str">
        <f t="shared" si="2"/>
        <v/>
      </c>
      <c r="L445" s="13"/>
      <c r="M445" s="13"/>
    </row>
    <row r="446" ht="15.75" customHeight="1">
      <c r="A446" s="14" t="str">
        <f t="shared" si="1"/>
        <v/>
      </c>
      <c r="B446" s="17" t="str">
        <f t="shared" si="3"/>
        <v/>
      </c>
      <c r="C446" s="18" t="str">
        <f t="shared" si="4"/>
        <v/>
      </c>
      <c r="D446" s="7"/>
      <c r="F446" s="7"/>
      <c r="G446" s="19" t="str">
        <f>IFERROR(__xludf.DUMMYFUNCTION("IF(OR(E446="""",F446&lt;&gt;""Barang Datang""), """",
  IFERROR(
    INDEX(
      SORT(
        FILTER(Jadwal!F:F, Jadwal!C:C=E446),
        FILTER(Jadwal!E:E, Jadwal!C:C=E446),
        FALSE
      ),
      1
    ),
    ""TIDAK ADA JADWAL""
  )
)"),"")</f>
        <v/>
      </c>
      <c r="H446" s="7" t="str">
        <f t="shared" si="2"/>
        <v/>
      </c>
      <c r="L446" s="13"/>
      <c r="M446" s="13"/>
    </row>
    <row r="447" ht="15.75" customHeight="1">
      <c r="A447" s="14" t="str">
        <f t="shared" si="1"/>
        <v/>
      </c>
      <c r="B447" s="17" t="str">
        <f t="shared" si="3"/>
        <v/>
      </c>
      <c r="C447" s="18" t="str">
        <f t="shared" si="4"/>
        <v/>
      </c>
      <c r="D447" s="7"/>
      <c r="F447" s="7"/>
      <c r="G447" s="19" t="str">
        <f>IFERROR(__xludf.DUMMYFUNCTION("IF(OR(E447="""",F447&lt;&gt;""Barang Datang""), """",
  IFERROR(
    INDEX(
      SORT(
        FILTER(Jadwal!F:F, Jadwal!C:C=E447),
        FILTER(Jadwal!E:E, Jadwal!C:C=E447),
        FALSE
      ),
      1
    ),
    ""TIDAK ADA JADWAL""
  )
)"),"")</f>
        <v/>
      </c>
      <c r="H447" s="7" t="str">
        <f t="shared" si="2"/>
        <v/>
      </c>
      <c r="L447" s="13"/>
      <c r="M447" s="13"/>
    </row>
    <row r="448" ht="15.75" customHeight="1">
      <c r="A448" s="14" t="str">
        <f t="shared" si="1"/>
        <v/>
      </c>
      <c r="B448" s="17" t="str">
        <f t="shared" si="3"/>
        <v/>
      </c>
      <c r="C448" s="18" t="str">
        <f t="shared" si="4"/>
        <v/>
      </c>
      <c r="D448" s="7"/>
      <c r="F448" s="7"/>
      <c r="G448" s="19" t="str">
        <f>IFERROR(__xludf.DUMMYFUNCTION("IF(OR(E448="""",F448&lt;&gt;""Barang Datang""), """",
  IFERROR(
    INDEX(
      SORT(
        FILTER(Jadwal!F:F, Jadwal!C:C=E448),
        FILTER(Jadwal!E:E, Jadwal!C:C=E448),
        FALSE
      ),
      1
    ),
    ""TIDAK ADA JADWAL""
  )
)"),"")</f>
        <v/>
      </c>
      <c r="H448" s="7" t="str">
        <f t="shared" si="2"/>
        <v/>
      </c>
      <c r="L448" s="13"/>
      <c r="M448" s="13"/>
    </row>
    <row r="449" ht="15.75" customHeight="1">
      <c r="A449" s="14" t="str">
        <f t="shared" si="1"/>
        <v/>
      </c>
      <c r="B449" s="17" t="str">
        <f t="shared" si="3"/>
        <v/>
      </c>
      <c r="C449" s="18" t="str">
        <f t="shared" si="4"/>
        <v/>
      </c>
      <c r="D449" s="7"/>
      <c r="F449" s="7"/>
      <c r="G449" s="19" t="str">
        <f>IFERROR(__xludf.DUMMYFUNCTION("IF(OR(E449="""",F449&lt;&gt;""Barang Datang""), """",
  IFERROR(
    INDEX(
      SORT(
        FILTER(Jadwal!F:F, Jadwal!C:C=E449),
        FILTER(Jadwal!E:E, Jadwal!C:C=E449),
        FALSE
      ),
      1
    ),
    ""TIDAK ADA JADWAL""
  )
)"),"")</f>
        <v/>
      </c>
      <c r="H449" s="7" t="str">
        <f t="shared" si="2"/>
        <v/>
      </c>
      <c r="L449" s="13"/>
      <c r="M449" s="13"/>
    </row>
    <row r="450" ht="15.75" customHeight="1">
      <c r="A450" s="14" t="str">
        <f t="shared" si="1"/>
        <v/>
      </c>
      <c r="B450" s="17" t="str">
        <f t="shared" si="3"/>
        <v/>
      </c>
      <c r="C450" s="18" t="str">
        <f t="shared" si="4"/>
        <v/>
      </c>
      <c r="D450" s="7"/>
      <c r="F450" s="7"/>
      <c r="G450" s="19" t="str">
        <f>IFERROR(__xludf.DUMMYFUNCTION("IF(OR(E450="""",F450&lt;&gt;""Barang Datang""), """",
  IFERROR(
    INDEX(
      SORT(
        FILTER(Jadwal!F:F, Jadwal!C:C=E450),
        FILTER(Jadwal!E:E, Jadwal!C:C=E450),
        FALSE
      ),
      1
    ),
    ""TIDAK ADA JADWAL""
  )
)"),"")</f>
        <v/>
      </c>
      <c r="H450" s="7" t="str">
        <f t="shared" si="2"/>
        <v/>
      </c>
      <c r="L450" s="13"/>
      <c r="M450" s="13"/>
    </row>
    <row r="451" ht="15.75" customHeight="1">
      <c r="A451" s="14" t="str">
        <f t="shared" si="1"/>
        <v/>
      </c>
      <c r="B451" s="17" t="str">
        <f t="shared" si="3"/>
        <v/>
      </c>
      <c r="C451" s="18" t="str">
        <f t="shared" si="4"/>
        <v/>
      </c>
      <c r="D451" s="7"/>
      <c r="F451" s="7"/>
      <c r="G451" s="19" t="str">
        <f>IFERROR(__xludf.DUMMYFUNCTION("IF(OR(E451="""",F451&lt;&gt;""Barang Datang""), """",
  IFERROR(
    INDEX(
      SORT(
        FILTER(Jadwal!F:F, Jadwal!C:C=E451),
        FILTER(Jadwal!E:E, Jadwal!C:C=E451),
        FALSE
      ),
      1
    ),
    ""TIDAK ADA JADWAL""
  )
)"),"")</f>
        <v/>
      </c>
      <c r="H451" s="7" t="str">
        <f t="shared" si="2"/>
        <v/>
      </c>
      <c r="L451" s="13"/>
      <c r="M451" s="13"/>
    </row>
    <row r="452" ht="15.75" customHeight="1">
      <c r="A452" s="14" t="str">
        <f t="shared" si="1"/>
        <v/>
      </c>
      <c r="B452" s="17" t="str">
        <f t="shared" si="3"/>
        <v/>
      </c>
      <c r="C452" s="18" t="str">
        <f t="shared" si="4"/>
        <v/>
      </c>
      <c r="D452" s="7"/>
      <c r="F452" s="7"/>
      <c r="G452" s="19" t="str">
        <f>IFERROR(__xludf.DUMMYFUNCTION("IF(OR(E452="""",F452&lt;&gt;""Barang Datang""), """",
  IFERROR(
    INDEX(
      SORT(
        FILTER(Jadwal!F:F, Jadwal!C:C=E452),
        FILTER(Jadwal!E:E, Jadwal!C:C=E452),
        FALSE
      ),
      1
    ),
    ""TIDAK ADA JADWAL""
  )
)"),"")</f>
        <v/>
      </c>
      <c r="H452" s="7" t="str">
        <f t="shared" si="2"/>
        <v/>
      </c>
      <c r="L452" s="13"/>
      <c r="M452" s="13"/>
    </row>
    <row r="453" ht="15.75" customHeight="1">
      <c r="A453" s="14" t="str">
        <f t="shared" si="1"/>
        <v/>
      </c>
      <c r="B453" s="17" t="str">
        <f t="shared" si="3"/>
        <v/>
      </c>
      <c r="C453" s="18" t="str">
        <f t="shared" si="4"/>
        <v/>
      </c>
      <c r="D453" s="7"/>
      <c r="F453" s="7"/>
      <c r="G453" s="19" t="str">
        <f>IFERROR(__xludf.DUMMYFUNCTION("IF(OR(E453="""",F453&lt;&gt;""Barang Datang""), """",
  IFERROR(
    INDEX(
      SORT(
        FILTER(Jadwal!F:F, Jadwal!C:C=E453),
        FILTER(Jadwal!E:E, Jadwal!C:C=E453),
        FALSE
      ),
      1
    ),
    ""TIDAK ADA JADWAL""
  )
)"),"")</f>
        <v/>
      </c>
      <c r="H453" s="7" t="str">
        <f t="shared" si="2"/>
        <v/>
      </c>
      <c r="L453" s="13"/>
      <c r="M453" s="13"/>
    </row>
    <row r="454" ht="15.75" customHeight="1">
      <c r="A454" s="14" t="str">
        <f t="shared" si="1"/>
        <v/>
      </c>
      <c r="B454" s="17" t="str">
        <f t="shared" si="3"/>
        <v/>
      </c>
      <c r="C454" s="18" t="str">
        <f t="shared" si="4"/>
        <v/>
      </c>
      <c r="D454" s="7"/>
      <c r="F454" s="7"/>
      <c r="G454" s="19" t="str">
        <f>IFERROR(__xludf.DUMMYFUNCTION("IF(OR(E454="""",F454&lt;&gt;""Barang Datang""), """",
  IFERROR(
    INDEX(
      SORT(
        FILTER(Jadwal!F:F, Jadwal!C:C=E454),
        FILTER(Jadwal!E:E, Jadwal!C:C=E454),
        FALSE
      ),
      1
    ),
    ""TIDAK ADA JADWAL""
  )
)"),"")</f>
        <v/>
      </c>
      <c r="H454" s="7" t="str">
        <f t="shared" si="2"/>
        <v/>
      </c>
      <c r="L454" s="13"/>
      <c r="M454" s="13"/>
    </row>
    <row r="455" ht="15.75" customHeight="1">
      <c r="A455" s="14" t="str">
        <f t="shared" si="1"/>
        <v/>
      </c>
      <c r="B455" s="17" t="str">
        <f t="shared" si="3"/>
        <v/>
      </c>
      <c r="C455" s="18" t="str">
        <f t="shared" si="4"/>
        <v/>
      </c>
      <c r="D455" s="7"/>
      <c r="F455" s="7"/>
      <c r="G455" s="19" t="str">
        <f>IFERROR(__xludf.DUMMYFUNCTION("IF(OR(E455="""",F455&lt;&gt;""Barang Datang""), """",
  IFERROR(
    INDEX(
      SORT(
        FILTER(Jadwal!F:F, Jadwal!C:C=E455),
        FILTER(Jadwal!E:E, Jadwal!C:C=E455),
        FALSE
      ),
      1
    ),
    ""TIDAK ADA JADWAL""
  )
)"),"")</f>
        <v/>
      </c>
      <c r="H455" s="7" t="str">
        <f t="shared" si="2"/>
        <v/>
      </c>
      <c r="L455" s="13"/>
      <c r="M455" s="13"/>
    </row>
    <row r="456" ht="15.75" customHeight="1">
      <c r="A456" s="14" t="str">
        <f t="shared" si="1"/>
        <v/>
      </c>
      <c r="B456" s="17" t="str">
        <f t="shared" si="3"/>
        <v/>
      </c>
      <c r="C456" s="18" t="str">
        <f t="shared" si="4"/>
        <v/>
      </c>
      <c r="D456" s="7"/>
      <c r="F456" s="7"/>
      <c r="G456" s="19" t="str">
        <f>IFERROR(__xludf.DUMMYFUNCTION("IF(OR(E456="""",F456&lt;&gt;""Barang Datang""), """",
  IFERROR(
    INDEX(
      SORT(
        FILTER(Jadwal!F:F, Jadwal!C:C=E456),
        FILTER(Jadwal!E:E, Jadwal!C:C=E456),
        FALSE
      ),
      1
    ),
    ""TIDAK ADA JADWAL""
  )
)"),"")</f>
        <v/>
      </c>
      <c r="H456" s="7" t="str">
        <f t="shared" si="2"/>
        <v/>
      </c>
      <c r="L456" s="13"/>
      <c r="M456" s="13"/>
    </row>
    <row r="457" ht="15.75" customHeight="1">
      <c r="A457" s="14" t="str">
        <f t="shared" si="1"/>
        <v/>
      </c>
      <c r="B457" s="17" t="str">
        <f t="shared" si="3"/>
        <v/>
      </c>
      <c r="C457" s="18" t="str">
        <f t="shared" si="4"/>
        <v/>
      </c>
      <c r="D457" s="7"/>
      <c r="F457" s="7"/>
      <c r="G457" s="19" t="str">
        <f>IFERROR(__xludf.DUMMYFUNCTION("IF(OR(E457="""",F457&lt;&gt;""Barang Datang""), """",
  IFERROR(
    INDEX(
      SORT(
        FILTER(Jadwal!F:F, Jadwal!C:C=E457),
        FILTER(Jadwal!E:E, Jadwal!C:C=E457),
        FALSE
      ),
      1
    ),
    ""TIDAK ADA JADWAL""
  )
)"),"")</f>
        <v/>
      </c>
      <c r="H457" s="7" t="str">
        <f t="shared" si="2"/>
        <v/>
      </c>
      <c r="L457" s="13"/>
      <c r="M457" s="13"/>
    </row>
    <row r="458" ht="15.75" customHeight="1">
      <c r="A458" s="14" t="str">
        <f t="shared" si="1"/>
        <v/>
      </c>
      <c r="B458" s="17" t="str">
        <f t="shared" si="3"/>
        <v/>
      </c>
      <c r="C458" s="18" t="str">
        <f t="shared" si="4"/>
        <v/>
      </c>
      <c r="D458" s="7"/>
      <c r="F458" s="7"/>
      <c r="G458" s="19" t="str">
        <f>IFERROR(__xludf.DUMMYFUNCTION("IF(OR(E458="""",F458&lt;&gt;""Barang Datang""), """",
  IFERROR(
    INDEX(
      SORT(
        FILTER(Jadwal!F:F, Jadwal!C:C=E458),
        FILTER(Jadwal!E:E, Jadwal!C:C=E458),
        FALSE
      ),
      1
    ),
    ""TIDAK ADA JADWAL""
  )
)"),"")</f>
        <v/>
      </c>
      <c r="H458" s="7" t="str">
        <f t="shared" si="2"/>
        <v/>
      </c>
      <c r="L458" s="13"/>
      <c r="M458" s="13"/>
    </row>
    <row r="459" ht="15.75" customHeight="1">
      <c r="A459" s="14" t="str">
        <f t="shared" si="1"/>
        <v/>
      </c>
      <c r="B459" s="17" t="str">
        <f t="shared" si="3"/>
        <v/>
      </c>
      <c r="C459" s="18" t="str">
        <f t="shared" si="4"/>
        <v/>
      </c>
      <c r="D459" s="7"/>
      <c r="F459" s="7"/>
      <c r="G459" s="19" t="str">
        <f>IFERROR(__xludf.DUMMYFUNCTION("IF(OR(E459="""",F459&lt;&gt;""Barang Datang""), """",
  IFERROR(
    INDEX(
      SORT(
        FILTER(Jadwal!F:F, Jadwal!C:C=E459),
        FILTER(Jadwal!E:E, Jadwal!C:C=E459),
        FALSE
      ),
      1
    ),
    ""TIDAK ADA JADWAL""
  )
)"),"")</f>
        <v/>
      </c>
      <c r="H459" s="7" t="str">
        <f t="shared" si="2"/>
        <v/>
      </c>
      <c r="L459" s="13"/>
      <c r="M459" s="13"/>
    </row>
    <row r="460" ht="15.75" customHeight="1">
      <c r="A460" s="14" t="str">
        <f t="shared" si="1"/>
        <v/>
      </c>
      <c r="B460" s="17" t="str">
        <f t="shared" si="3"/>
        <v/>
      </c>
      <c r="C460" s="18" t="str">
        <f t="shared" si="4"/>
        <v/>
      </c>
      <c r="D460" s="7"/>
      <c r="F460" s="7"/>
      <c r="G460" s="19" t="str">
        <f>IFERROR(__xludf.DUMMYFUNCTION("IF(OR(E460="""",F460&lt;&gt;""Barang Datang""), """",
  IFERROR(
    INDEX(
      SORT(
        FILTER(Jadwal!F:F, Jadwal!C:C=E460),
        FILTER(Jadwal!E:E, Jadwal!C:C=E460),
        FALSE
      ),
      1
    ),
    ""TIDAK ADA JADWAL""
  )
)"),"")</f>
        <v/>
      </c>
      <c r="H460" s="7" t="str">
        <f t="shared" si="2"/>
        <v/>
      </c>
      <c r="L460" s="13"/>
      <c r="M460" s="13"/>
    </row>
    <row r="461" ht="15.75" customHeight="1">
      <c r="A461" s="14" t="str">
        <f t="shared" si="1"/>
        <v/>
      </c>
      <c r="B461" s="17" t="str">
        <f t="shared" si="3"/>
        <v/>
      </c>
      <c r="C461" s="18" t="str">
        <f t="shared" si="4"/>
        <v/>
      </c>
      <c r="D461" s="7"/>
      <c r="F461" s="7"/>
      <c r="G461" s="19" t="str">
        <f>IFERROR(__xludf.DUMMYFUNCTION("IF(OR(E461="""",F461&lt;&gt;""Barang Datang""), """",
  IFERROR(
    INDEX(
      SORT(
        FILTER(Jadwal!F:F, Jadwal!C:C=E461),
        FILTER(Jadwal!E:E, Jadwal!C:C=E461),
        FALSE
      ),
      1
    ),
    ""TIDAK ADA JADWAL""
  )
)"),"")</f>
        <v/>
      </c>
      <c r="H461" s="7" t="str">
        <f t="shared" si="2"/>
        <v/>
      </c>
      <c r="L461" s="13"/>
      <c r="M461" s="13"/>
    </row>
    <row r="462" ht="15.75" customHeight="1">
      <c r="A462" s="14" t="str">
        <f t="shared" si="1"/>
        <v/>
      </c>
      <c r="B462" s="17" t="str">
        <f t="shared" si="3"/>
        <v/>
      </c>
      <c r="C462" s="18" t="str">
        <f t="shared" si="4"/>
        <v/>
      </c>
      <c r="D462" s="7"/>
      <c r="F462" s="7"/>
      <c r="G462" s="19" t="str">
        <f>IFERROR(__xludf.DUMMYFUNCTION("IF(OR(E462="""",F462&lt;&gt;""Barang Datang""), """",
  IFERROR(
    INDEX(
      SORT(
        FILTER(Jadwal!F:F, Jadwal!C:C=E462),
        FILTER(Jadwal!E:E, Jadwal!C:C=E462),
        FALSE
      ),
      1
    ),
    ""TIDAK ADA JADWAL""
  )
)"),"")</f>
        <v/>
      </c>
      <c r="H462" s="7" t="str">
        <f t="shared" si="2"/>
        <v/>
      </c>
      <c r="L462" s="13"/>
      <c r="M462" s="13"/>
    </row>
    <row r="463" ht="15.75" customHeight="1">
      <c r="A463" s="14" t="str">
        <f t="shared" si="1"/>
        <v/>
      </c>
      <c r="B463" s="17" t="str">
        <f t="shared" si="3"/>
        <v/>
      </c>
      <c r="C463" s="18" t="str">
        <f t="shared" si="4"/>
        <v/>
      </c>
      <c r="D463" s="7"/>
      <c r="F463" s="7"/>
      <c r="G463" s="19" t="str">
        <f>IFERROR(__xludf.DUMMYFUNCTION("IF(OR(E463="""",F463&lt;&gt;""Barang Datang""), """",
  IFERROR(
    INDEX(
      SORT(
        FILTER(Jadwal!F:F, Jadwal!C:C=E463),
        FILTER(Jadwal!E:E, Jadwal!C:C=E463),
        FALSE
      ),
      1
    ),
    ""TIDAK ADA JADWAL""
  )
)"),"")</f>
        <v/>
      </c>
      <c r="H463" s="7" t="str">
        <f t="shared" si="2"/>
        <v/>
      </c>
      <c r="L463" s="13"/>
      <c r="M463" s="13"/>
    </row>
    <row r="464" ht="15.75" customHeight="1">
      <c r="A464" s="14" t="str">
        <f t="shared" si="1"/>
        <v/>
      </c>
      <c r="B464" s="17" t="str">
        <f t="shared" si="3"/>
        <v/>
      </c>
      <c r="C464" s="18" t="str">
        <f t="shared" si="4"/>
        <v/>
      </c>
      <c r="D464" s="7"/>
      <c r="F464" s="7"/>
      <c r="G464" s="19" t="str">
        <f>IFERROR(__xludf.DUMMYFUNCTION("IF(OR(E464="""",F464&lt;&gt;""Barang Datang""), """",
  IFERROR(
    INDEX(
      SORT(
        FILTER(Jadwal!F:F, Jadwal!C:C=E464),
        FILTER(Jadwal!E:E, Jadwal!C:C=E464),
        FALSE
      ),
      1
    ),
    ""TIDAK ADA JADWAL""
  )
)"),"")</f>
        <v/>
      </c>
      <c r="H464" s="7" t="str">
        <f t="shared" si="2"/>
        <v/>
      </c>
      <c r="L464" s="13"/>
      <c r="M464" s="13"/>
    </row>
    <row r="465" ht="15.75" customHeight="1">
      <c r="A465" s="14" t="str">
        <f t="shared" si="1"/>
        <v/>
      </c>
      <c r="B465" s="17" t="str">
        <f t="shared" si="3"/>
        <v/>
      </c>
      <c r="C465" s="18" t="str">
        <f t="shared" si="4"/>
        <v/>
      </c>
      <c r="D465" s="7"/>
      <c r="F465" s="7"/>
      <c r="G465" s="19" t="str">
        <f>IFERROR(__xludf.DUMMYFUNCTION("IF(OR(E465="""",F465&lt;&gt;""Barang Datang""), """",
  IFERROR(
    INDEX(
      SORT(
        FILTER(Jadwal!F:F, Jadwal!C:C=E465),
        FILTER(Jadwal!E:E, Jadwal!C:C=E465),
        FALSE
      ),
      1
    ),
    ""TIDAK ADA JADWAL""
  )
)"),"")</f>
        <v/>
      </c>
      <c r="H465" s="7" t="str">
        <f t="shared" si="2"/>
        <v/>
      </c>
      <c r="L465" s="13"/>
      <c r="M465" s="13"/>
    </row>
    <row r="466" ht="15.75" customHeight="1">
      <c r="A466" s="14" t="str">
        <f t="shared" si="1"/>
        <v/>
      </c>
      <c r="B466" s="17" t="str">
        <f t="shared" si="3"/>
        <v/>
      </c>
      <c r="C466" s="18" t="str">
        <f t="shared" si="4"/>
        <v/>
      </c>
      <c r="D466" s="7"/>
      <c r="F466" s="7"/>
      <c r="G466" s="19" t="str">
        <f>IFERROR(__xludf.DUMMYFUNCTION("IF(OR(E466="""",F466&lt;&gt;""Barang Datang""), """",
  IFERROR(
    INDEX(
      SORT(
        FILTER(Jadwal!F:F, Jadwal!C:C=E466),
        FILTER(Jadwal!E:E, Jadwal!C:C=E466),
        FALSE
      ),
      1
    ),
    ""TIDAK ADA JADWAL""
  )
)"),"")</f>
        <v/>
      </c>
      <c r="H466" s="7" t="str">
        <f t="shared" si="2"/>
        <v/>
      </c>
      <c r="L466" s="13"/>
      <c r="M466" s="13"/>
    </row>
    <row r="467" ht="15.75" customHeight="1">
      <c r="A467" s="14" t="str">
        <f t="shared" si="1"/>
        <v/>
      </c>
      <c r="B467" s="17" t="str">
        <f t="shared" si="3"/>
        <v/>
      </c>
      <c r="C467" s="18" t="str">
        <f t="shared" si="4"/>
        <v/>
      </c>
      <c r="D467" s="7"/>
      <c r="F467" s="7"/>
      <c r="G467" s="19" t="str">
        <f>IFERROR(__xludf.DUMMYFUNCTION("IF(OR(E467="""",F467&lt;&gt;""Barang Datang""), """",
  IFERROR(
    INDEX(
      SORT(
        FILTER(Jadwal!F:F, Jadwal!C:C=E467),
        FILTER(Jadwal!E:E, Jadwal!C:C=E467),
        FALSE
      ),
      1
    ),
    ""TIDAK ADA JADWAL""
  )
)"),"")</f>
        <v/>
      </c>
      <c r="H467" s="7" t="str">
        <f t="shared" si="2"/>
        <v/>
      </c>
      <c r="L467" s="13"/>
      <c r="M467" s="13"/>
    </row>
    <row r="468" ht="15.75" customHeight="1">
      <c r="A468" s="14" t="str">
        <f t="shared" si="1"/>
        <v/>
      </c>
      <c r="B468" s="17" t="str">
        <f t="shared" si="3"/>
        <v/>
      </c>
      <c r="C468" s="18" t="str">
        <f t="shared" si="4"/>
        <v/>
      </c>
      <c r="D468" s="7"/>
      <c r="F468" s="7"/>
      <c r="G468" s="19" t="str">
        <f>IFERROR(__xludf.DUMMYFUNCTION("IF(OR(E468="""",F468&lt;&gt;""Barang Datang""), """",
  IFERROR(
    INDEX(
      SORT(
        FILTER(Jadwal!F:F, Jadwal!C:C=E468),
        FILTER(Jadwal!E:E, Jadwal!C:C=E468),
        FALSE
      ),
      1
    ),
    ""TIDAK ADA JADWAL""
  )
)"),"")</f>
        <v/>
      </c>
      <c r="H468" s="7" t="str">
        <f t="shared" si="2"/>
        <v/>
      </c>
      <c r="L468" s="13"/>
      <c r="M468" s="13"/>
    </row>
    <row r="469" ht="15.75" customHeight="1">
      <c r="A469" s="14" t="str">
        <f t="shared" si="1"/>
        <v/>
      </c>
      <c r="B469" s="17" t="str">
        <f t="shared" si="3"/>
        <v/>
      </c>
      <c r="C469" s="18" t="str">
        <f t="shared" si="4"/>
        <v/>
      </c>
      <c r="D469" s="7"/>
      <c r="F469" s="7"/>
      <c r="G469" s="19" t="str">
        <f>IFERROR(__xludf.DUMMYFUNCTION("IF(OR(E469="""",F469&lt;&gt;""Barang Datang""), """",
  IFERROR(
    INDEX(
      SORT(
        FILTER(Jadwal!F:F, Jadwal!C:C=E469),
        FILTER(Jadwal!E:E, Jadwal!C:C=E469),
        FALSE
      ),
      1
    ),
    ""TIDAK ADA JADWAL""
  )
)"),"")</f>
        <v/>
      </c>
      <c r="H469" s="7" t="str">
        <f t="shared" si="2"/>
        <v/>
      </c>
      <c r="L469" s="13"/>
      <c r="M469" s="13"/>
    </row>
    <row r="470" ht="15.75" customHeight="1">
      <c r="A470" s="14" t="str">
        <f t="shared" si="1"/>
        <v/>
      </c>
      <c r="B470" s="17" t="str">
        <f t="shared" si="3"/>
        <v/>
      </c>
      <c r="C470" s="18" t="str">
        <f t="shared" si="4"/>
        <v/>
      </c>
      <c r="D470" s="7"/>
      <c r="F470" s="7"/>
      <c r="G470" s="19" t="str">
        <f>IFERROR(__xludf.DUMMYFUNCTION("IF(OR(E470="""",F470&lt;&gt;""Barang Datang""), """",
  IFERROR(
    INDEX(
      SORT(
        FILTER(Jadwal!F:F, Jadwal!C:C=E470),
        FILTER(Jadwal!E:E, Jadwal!C:C=E470),
        FALSE
      ),
      1
    ),
    ""TIDAK ADA JADWAL""
  )
)"),"")</f>
        <v/>
      </c>
      <c r="H470" s="7" t="str">
        <f t="shared" si="2"/>
        <v/>
      </c>
      <c r="L470" s="13"/>
      <c r="M470" s="13"/>
    </row>
    <row r="471" ht="15.75" customHeight="1">
      <c r="A471" s="14" t="str">
        <f t="shared" si="1"/>
        <v/>
      </c>
      <c r="B471" s="17" t="str">
        <f t="shared" si="3"/>
        <v/>
      </c>
      <c r="C471" s="18" t="str">
        <f t="shared" si="4"/>
        <v/>
      </c>
      <c r="D471" s="7"/>
      <c r="F471" s="7"/>
      <c r="G471" s="19" t="str">
        <f>IFERROR(__xludf.DUMMYFUNCTION("IF(OR(E471="""",F471&lt;&gt;""Barang Datang""), """",
  IFERROR(
    INDEX(
      SORT(
        FILTER(Jadwal!F:F, Jadwal!C:C=E471),
        FILTER(Jadwal!E:E, Jadwal!C:C=E471),
        FALSE
      ),
      1
    ),
    ""TIDAK ADA JADWAL""
  )
)"),"")</f>
        <v/>
      </c>
      <c r="H471" s="7" t="str">
        <f t="shared" si="2"/>
        <v/>
      </c>
      <c r="L471" s="13"/>
      <c r="M471" s="13"/>
    </row>
    <row r="472" ht="15.75" customHeight="1">
      <c r="A472" s="14" t="str">
        <f t="shared" si="1"/>
        <v/>
      </c>
      <c r="B472" s="17" t="str">
        <f t="shared" si="3"/>
        <v/>
      </c>
      <c r="C472" s="18" t="str">
        <f t="shared" si="4"/>
        <v/>
      </c>
      <c r="D472" s="7"/>
      <c r="F472" s="7"/>
      <c r="G472" s="19" t="str">
        <f>IFERROR(__xludf.DUMMYFUNCTION("IF(OR(E472="""",F472&lt;&gt;""Barang Datang""), """",
  IFERROR(
    INDEX(
      SORT(
        FILTER(Jadwal!F:F, Jadwal!C:C=E472),
        FILTER(Jadwal!E:E, Jadwal!C:C=E472),
        FALSE
      ),
      1
    ),
    ""TIDAK ADA JADWAL""
  )
)"),"")</f>
        <v/>
      </c>
      <c r="H472" s="7" t="str">
        <f t="shared" si="2"/>
        <v/>
      </c>
      <c r="L472" s="13"/>
      <c r="M472" s="13"/>
    </row>
    <row r="473" ht="15.75" customHeight="1">
      <c r="A473" s="14" t="str">
        <f t="shared" si="1"/>
        <v/>
      </c>
      <c r="B473" s="17" t="str">
        <f t="shared" si="3"/>
        <v/>
      </c>
      <c r="C473" s="18" t="str">
        <f t="shared" si="4"/>
        <v/>
      </c>
      <c r="D473" s="7"/>
      <c r="F473" s="7"/>
      <c r="G473" s="19" t="str">
        <f>IFERROR(__xludf.DUMMYFUNCTION("IF(OR(E473="""",F473&lt;&gt;""Barang Datang""), """",
  IFERROR(
    INDEX(
      SORT(
        FILTER(Jadwal!F:F, Jadwal!C:C=E473),
        FILTER(Jadwal!E:E, Jadwal!C:C=E473),
        FALSE
      ),
      1
    ),
    ""TIDAK ADA JADWAL""
  )
)"),"")</f>
        <v/>
      </c>
      <c r="H473" s="7" t="str">
        <f t="shared" si="2"/>
        <v/>
      </c>
      <c r="L473" s="13"/>
      <c r="M473" s="13"/>
    </row>
    <row r="474" ht="15.75" customHeight="1">
      <c r="A474" s="14" t="str">
        <f t="shared" si="1"/>
        <v/>
      </c>
      <c r="B474" s="17" t="str">
        <f t="shared" si="3"/>
        <v/>
      </c>
      <c r="C474" s="18" t="str">
        <f t="shared" si="4"/>
        <v/>
      </c>
      <c r="D474" s="7"/>
      <c r="F474" s="7"/>
      <c r="G474" s="19" t="str">
        <f>IFERROR(__xludf.DUMMYFUNCTION("IF(OR(E474="""",F474&lt;&gt;""Barang Datang""), """",
  IFERROR(
    INDEX(
      SORT(
        FILTER(Jadwal!F:F, Jadwal!C:C=E474),
        FILTER(Jadwal!E:E, Jadwal!C:C=E474),
        FALSE
      ),
      1
    ),
    ""TIDAK ADA JADWAL""
  )
)"),"")</f>
        <v/>
      </c>
      <c r="H474" s="7" t="str">
        <f t="shared" si="2"/>
        <v/>
      </c>
      <c r="L474" s="13"/>
      <c r="M474" s="13"/>
    </row>
    <row r="475" ht="15.75" customHeight="1">
      <c r="A475" s="14" t="str">
        <f t="shared" si="1"/>
        <v/>
      </c>
      <c r="B475" s="17" t="str">
        <f t="shared" si="3"/>
        <v/>
      </c>
      <c r="C475" s="18" t="str">
        <f t="shared" si="4"/>
        <v/>
      </c>
      <c r="D475" s="7"/>
      <c r="F475" s="7"/>
      <c r="G475" s="19" t="str">
        <f>IFERROR(__xludf.DUMMYFUNCTION("IF(OR(E475="""",F475&lt;&gt;""Barang Datang""), """",
  IFERROR(
    INDEX(
      SORT(
        FILTER(Jadwal!F:F, Jadwal!C:C=E475),
        FILTER(Jadwal!E:E, Jadwal!C:C=E475),
        FALSE
      ),
      1
    ),
    ""TIDAK ADA JADWAL""
  )
)"),"")</f>
        <v/>
      </c>
      <c r="H475" s="7" t="str">
        <f t="shared" si="2"/>
        <v/>
      </c>
      <c r="L475" s="13"/>
      <c r="M475" s="13"/>
    </row>
    <row r="476" ht="15.75" customHeight="1">
      <c r="A476" s="14" t="str">
        <f t="shared" si="1"/>
        <v/>
      </c>
      <c r="B476" s="17" t="str">
        <f t="shared" si="3"/>
        <v/>
      </c>
      <c r="C476" s="18" t="str">
        <f t="shared" si="4"/>
        <v/>
      </c>
      <c r="D476" s="7"/>
      <c r="F476" s="7"/>
      <c r="G476" s="19" t="str">
        <f>IFERROR(__xludf.DUMMYFUNCTION("IF(OR(E476="""",F476&lt;&gt;""Barang Datang""), """",
  IFERROR(
    INDEX(
      SORT(
        FILTER(Jadwal!F:F, Jadwal!C:C=E476),
        FILTER(Jadwal!E:E, Jadwal!C:C=E476),
        FALSE
      ),
      1
    ),
    ""TIDAK ADA JADWAL""
  )
)"),"")</f>
        <v/>
      </c>
      <c r="H476" s="7" t="str">
        <f t="shared" si="2"/>
        <v/>
      </c>
      <c r="L476" s="13"/>
      <c r="M476" s="13"/>
    </row>
    <row r="477" ht="15.75" customHeight="1">
      <c r="A477" s="14" t="str">
        <f t="shared" si="1"/>
        <v/>
      </c>
      <c r="B477" s="17" t="str">
        <f t="shared" si="3"/>
        <v/>
      </c>
      <c r="C477" s="18" t="str">
        <f t="shared" si="4"/>
        <v/>
      </c>
      <c r="D477" s="7"/>
      <c r="F477" s="7"/>
      <c r="G477" s="19" t="str">
        <f>IFERROR(__xludf.DUMMYFUNCTION("IF(OR(E477="""",F477&lt;&gt;""Barang Datang""), """",
  IFERROR(
    INDEX(
      SORT(
        FILTER(Jadwal!F:F, Jadwal!C:C=E477),
        FILTER(Jadwal!E:E, Jadwal!C:C=E477),
        FALSE
      ),
      1
    ),
    ""TIDAK ADA JADWAL""
  )
)"),"")</f>
        <v/>
      </c>
      <c r="H477" s="7" t="str">
        <f t="shared" si="2"/>
        <v/>
      </c>
      <c r="L477" s="13"/>
      <c r="M477" s="13"/>
    </row>
    <row r="478" ht="15.75" customHeight="1">
      <c r="A478" s="14" t="str">
        <f t="shared" si="1"/>
        <v/>
      </c>
      <c r="B478" s="17" t="str">
        <f t="shared" si="3"/>
        <v/>
      </c>
      <c r="C478" s="18" t="str">
        <f t="shared" si="4"/>
        <v/>
      </c>
      <c r="D478" s="7"/>
      <c r="F478" s="7"/>
      <c r="G478" s="19" t="str">
        <f>IFERROR(__xludf.DUMMYFUNCTION("IF(OR(E478="""",F478&lt;&gt;""Barang Datang""), """",
  IFERROR(
    INDEX(
      SORT(
        FILTER(Jadwal!F:F, Jadwal!C:C=E478),
        FILTER(Jadwal!E:E, Jadwal!C:C=E478),
        FALSE
      ),
      1
    ),
    ""TIDAK ADA JADWAL""
  )
)"),"")</f>
        <v/>
      </c>
      <c r="H478" s="7" t="str">
        <f t="shared" si="2"/>
        <v/>
      </c>
      <c r="L478" s="13"/>
      <c r="M478" s="13"/>
    </row>
    <row r="479" ht="15.75" customHeight="1">
      <c r="A479" s="14" t="str">
        <f t="shared" si="1"/>
        <v/>
      </c>
      <c r="B479" s="17" t="str">
        <f t="shared" si="3"/>
        <v/>
      </c>
      <c r="C479" s="18" t="str">
        <f t="shared" si="4"/>
        <v/>
      </c>
      <c r="D479" s="7"/>
      <c r="F479" s="7"/>
      <c r="G479" s="19" t="str">
        <f>IFERROR(__xludf.DUMMYFUNCTION("IF(OR(E479="""",F479&lt;&gt;""Barang Datang""), """",
  IFERROR(
    INDEX(
      SORT(
        FILTER(Jadwal!F:F, Jadwal!C:C=E479),
        FILTER(Jadwal!E:E, Jadwal!C:C=E479),
        FALSE
      ),
      1
    ),
    ""TIDAK ADA JADWAL""
  )
)"),"")</f>
        <v/>
      </c>
      <c r="H479" s="7" t="str">
        <f t="shared" si="2"/>
        <v/>
      </c>
      <c r="L479" s="13"/>
      <c r="M479" s="13"/>
    </row>
    <row r="480" ht="15.75" customHeight="1">
      <c r="A480" s="14" t="str">
        <f t="shared" si="1"/>
        <v/>
      </c>
      <c r="B480" s="17" t="str">
        <f t="shared" si="3"/>
        <v/>
      </c>
      <c r="C480" s="18" t="str">
        <f t="shared" si="4"/>
        <v/>
      </c>
      <c r="D480" s="7"/>
      <c r="F480" s="7"/>
      <c r="G480" s="19" t="str">
        <f>IFERROR(__xludf.DUMMYFUNCTION("IF(OR(E480="""",F480&lt;&gt;""Barang Datang""), """",
  IFERROR(
    INDEX(
      SORT(
        FILTER(Jadwal!F:F, Jadwal!C:C=E480),
        FILTER(Jadwal!E:E, Jadwal!C:C=E480),
        FALSE
      ),
      1
    ),
    ""TIDAK ADA JADWAL""
  )
)"),"")</f>
        <v/>
      </c>
      <c r="H480" s="7" t="str">
        <f t="shared" si="2"/>
        <v/>
      </c>
      <c r="L480" s="13"/>
      <c r="M480" s="13"/>
    </row>
    <row r="481" ht="15.75" customHeight="1">
      <c r="A481" s="14" t="str">
        <f t="shared" si="1"/>
        <v/>
      </c>
      <c r="B481" s="17" t="str">
        <f t="shared" si="3"/>
        <v/>
      </c>
      <c r="C481" s="18" t="str">
        <f t="shared" si="4"/>
        <v/>
      </c>
      <c r="D481" s="7"/>
      <c r="F481" s="7"/>
      <c r="G481" s="19" t="str">
        <f>IFERROR(__xludf.DUMMYFUNCTION("IF(OR(E481="""",F481&lt;&gt;""Barang Datang""), """",
  IFERROR(
    INDEX(
      SORT(
        FILTER(Jadwal!F:F, Jadwal!C:C=E481),
        FILTER(Jadwal!E:E, Jadwal!C:C=E481),
        FALSE
      ),
      1
    ),
    ""TIDAK ADA JADWAL""
  )
)"),"")</f>
        <v/>
      </c>
      <c r="H481" s="7" t="str">
        <f t="shared" si="2"/>
        <v/>
      </c>
      <c r="L481" s="13"/>
      <c r="M481" s="13"/>
    </row>
    <row r="482" ht="15.75" customHeight="1">
      <c r="A482" s="14" t="str">
        <f t="shared" si="1"/>
        <v/>
      </c>
      <c r="B482" s="17" t="str">
        <f t="shared" si="3"/>
        <v/>
      </c>
      <c r="C482" s="18" t="str">
        <f t="shared" si="4"/>
        <v/>
      </c>
      <c r="D482" s="7"/>
      <c r="F482" s="7"/>
      <c r="G482" s="19" t="str">
        <f>IFERROR(__xludf.DUMMYFUNCTION("IF(OR(E482="""",F482&lt;&gt;""Barang Datang""), """",
  IFERROR(
    INDEX(
      SORT(
        FILTER(Jadwal!F:F, Jadwal!C:C=E482),
        FILTER(Jadwal!E:E, Jadwal!C:C=E482),
        FALSE
      ),
      1
    ),
    ""TIDAK ADA JADWAL""
  )
)"),"")</f>
        <v/>
      </c>
      <c r="H482" s="7" t="str">
        <f t="shared" si="2"/>
        <v/>
      </c>
      <c r="L482" s="13"/>
      <c r="M482" s="13"/>
    </row>
    <row r="483" ht="15.75" customHeight="1">
      <c r="A483" s="14" t="str">
        <f t="shared" si="1"/>
        <v/>
      </c>
      <c r="B483" s="17" t="str">
        <f t="shared" si="3"/>
        <v/>
      </c>
      <c r="C483" s="18" t="str">
        <f t="shared" si="4"/>
        <v/>
      </c>
      <c r="D483" s="7"/>
      <c r="F483" s="7"/>
      <c r="G483" s="19" t="str">
        <f>IFERROR(__xludf.DUMMYFUNCTION("IF(OR(E483="""",F483&lt;&gt;""Barang Datang""), """",
  IFERROR(
    INDEX(
      SORT(
        FILTER(Jadwal!F:F, Jadwal!C:C=E483),
        FILTER(Jadwal!E:E, Jadwal!C:C=E483),
        FALSE
      ),
      1
    ),
    ""TIDAK ADA JADWAL""
  )
)"),"")</f>
        <v/>
      </c>
      <c r="H483" s="7" t="str">
        <f t="shared" si="2"/>
        <v/>
      </c>
      <c r="L483" s="13"/>
      <c r="M483" s="13"/>
    </row>
    <row r="484" ht="15.75" customHeight="1">
      <c r="A484" s="14" t="str">
        <f t="shared" si="1"/>
        <v/>
      </c>
      <c r="B484" s="17" t="str">
        <f t="shared" si="3"/>
        <v/>
      </c>
      <c r="C484" s="18" t="str">
        <f t="shared" si="4"/>
        <v/>
      </c>
      <c r="D484" s="7"/>
      <c r="F484" s="7"/>
      <c r="G484" s="19" t="str">
        <f>IFERROR(__xludf.DUMMYFUNCTION("IF(OR(E484="""",F484&lt;&gt;""Barang Datang""), """",
  IFERROR(
    INDEX(
      SORT(
        FILTER(Jadwal!F:F, Jadwal!C:C=E484),
        FILTER(Jadwal!E:E, Jadwal!C:C=E484),
        FALSE
      ),
      1
    ),
    ""TIDAK ADA JADWAL""
  )
)"),"")</f>
        <v/>
      </c>
      <c r="H484" s="7" t="str">
        <f t="shared" si="2"/>
        <v/>
      </c>
      <c r="L484" s="13"/>
      <c r="M484" s="13"/>
    </row>
    <row r="485" ht="15.75" customHeight="1">
      <c r="A485" s="14" t="str">
        <f t="shared" si="1"/>
        <v/>
      </c>
      <c r="B485" s="17" t="str">
        <f t="shared" si="3"/>
        <v/>
      </c>
      <c r="C485" s="18" t="str">
        <f t="shared" si="4"/>
        <v/>
      </c>
      <c r="D485" s="7"/>
      <c r="F485" s="7"/>
      <c r="G485" s="19" t="str">
        <f>IFERROR(__xludf.DUMMYFUNCTION("IF(OR(E485="""",F485&lt;&gt;""Barang Datang""), """",
  IFERROR(
    INDEX(
      SORT(
        FILTER(Jadwal!F:F, Jadwal!C:C=E485),
        FILTER(Jadwal!E:E, Jadwal!C:C=E485),
        FALSE
      ),
      1
    ),
    ""TIDAK ADA JADWAL""
  )
)"),"")</f>
        <v/>
      </c>
      <c r="H485" s="7" t="str">
        <f t="shared" si="2"/>
        <v/>
      </c>
      <c r="L485" s="13"/>
      <c r="M485" s="13"/>
    </row>
    <row r="486" ht="15.75" customHeight="1">
      <c r="A486" s="14" t="str">
        <f t="shared" si="1"/>
        <v/>
      </c>
      <c r="B486" s="17" t="str">
        <f t="shared" si="3"/>
        <v/>
      </c>
      <c r="C486" s="18" t="str">
        <f t="shared" si="4"/>
        <v/>
      </c>
      <c r="D486" s="7"/>
      <c r="F486" s="7"/>
      <c r="G486" s="19" t="str">
        <f>IFERROR(__xludf.DUMMYFUNCTION("IF(OR(E486="""",F486&lt;&gt;""Barang Datang""), """",
  IFERROR(
    INDEX(
      SORT(
        FILTER(Jadwal!F:F, Jadwal!C:C=E486),
        FILTER(Jadwal!E:E, Jadwal!C:C=E486),
        FALSE
      ),
      1
    ),
    ""TIDAK ADA JADWAL""
  )
)"),"")</f>
        <v/>
      </c>
      <c r="H486" s="7" t="str">
        <f t="shared" si="2"/>
        <v/>
      </c>
      <c r="L486" s="13"/>
      <c r="M486" s="13"/>
    </row>
    <row r="487" ht="15.75" customHeight="1">
      <c r="A487" s="14" t="str">
        <f t="shared" si="1"/>
        <v/>
      </c>
      <c r="B487" s="17" t="str">
        <f t="shared" si="3"/>
        <v/>
      </c>
      <c r="C487" s="18" t="str">
        <f t="shared" si="4"/>
        <v/>
      </c>
      <c r="D487" s="7"/>
      <c r="F487" s="7"/>
      <c r="G487" s="19" t="str">
        <f>IFERROR(__xludf.DUMMYFUNCTION("IF(OR(E487="""",F487&lt;&gt;""Barang Datang""), """",
  IFERROR(
    INDEX(
      SORT(
        FILTER(Jadwal!F:F, Jadwal!C:C=E487),
        FILTER(Jadwal!E:E, Jadwal!C:C=E487),
        FALSE
      ),
      1
    ),
    ""TIDAK ADA JADWAL""
  )
)"),"")</f>
        <v/>
      </c>
      <c r="H487" s="7" t="str">
        <f t="shared" si="2"/>
        <v/>
      </c>
      <c r="L487" s="13"/>
      <c r="M487" s="13"/>
    </row>
    <row r="488" ht="15.75" customHeight="1">
      <c r="A488" s="14" t="str">
        <f t="shared" si="1"/>
        <v/>
      </c>
      <c r="B488" s="17" t="str">
        <f t="shared" si="3"/>
        <v/>
      </c>
      <c r="C488" s="18" t="str">
        <f t="shared" si="4"/>
        <v/>
      </c>
      <c r="D488" s="7"/>
      <c r="F488" s="7"/>
      <c r="G488" s="19" t="str">
        <f>IFERROR(__xludf.DUMMYFUNCTION("IF(OR(E488="""",F488&lt;&gt;""Barang Datang""), """",
  IFERROR(
    INDEX(
      SORT(
        FILTER(Jadwal!F:F, Jadwal!C:C=E488),
        FILTER(Jadwal!E:E, Jadwal!C:C=E488),
        FALSE
      ),
      1
    ),
    ""TIDAK ADA JADWAL""
  )
)"),"")</f>
        <v/>
      </c>
      <c r="H488" s="7" t="str">
        <f t="shared" si="2"/>
        <v/>
      </c>
      <c r="L488" s="13"/>
      <c r="M488" s="13"/>
    </row>
    <row r="489" ht="15.75" customHeight="1">
      <c r="A489" s="14" t="str">
        <f t="shared" si="1"/>
        <v/>
      </c>
      <c r="B489" s="17" t="str">
        <f t="shared" si="3"/>
        <v/>
      </c>
      <c r="C489" s="18" t="str">
        <f t="shared" si="4"/>
        <v/>
      </c>
      <c r="D489" s="7"/>
      <c r="F489" s="7"/>
      <c r="G489" s="19" t="str">
        <f>IFERROR(__xludf.DUMMYFUNCTION("IF(OR(E489="""",F489&lt;&gt;""Barang Datang""), """",
  IFERROR(
    INDEX(
      SORT(
        FILTER(Jadwal!F:F, Jadwal!C:C=E489),
        FILTER(Jadwal!E:E, Jadwal!C:C=E489),
        FALSE
      ),
      1
    ),
    ""TIDAK ADA JADWAL""
  )
)"),"")</f>
        <v/>
      </c>
      <c r="H489" s="7" t="str">
        <f t="shared" si="2"/>
        <v/>
      </c>
      <c r="L489" s="13"/>
      <c r="M489" s="13"/>
    </row>
    <row r="490" ht="15.75" customHeight="1">
      <c r="A490" s="14" t="str">
        <f t="shared" si="1"/>
        <v/>
      </c>
      <c r="B490" s="17" t="str">
        <f t="shared" si="3"/>
        <v/>
      </c>
      <c r="C490" s="18" t="str">
        <f t="shared" si="4"/>
        <v/>
      </c>
      <c r="D490" s="7"/>
      <c r="F490" s="7"/>
      <c r="G490" s="19" t="str">
        <f>IFERROR(__xludf.DUMMYFUNCTION("IF(OR(E490="""",F490&lt;&gt;""Barang Datang""), """",
  IFERROR(
    INDEX(
      SORT(
        FILTER(Jadwal!F:F, Jadwal!C:C=E490),
        FILTER(Jadwal!E:E, Jadwal!C:C=E490),
        FALSE
      ),
      1
    ),
    ""TIDAK ADA JADWAL""
  )
)"),"")</f>
        <v/>
      </c>
      <c r="H490" s="7" t="str">
        <f t="shared" si="2"/>
        <v/>
      </c>
      <c r="L490" s="13"/>
      <c r="M490" s="13"/>
    </row>
    <row r="491" ht="15.75" customHeight="1">
      <c r="A491" s="14" t="str">
        <f t="shared" si="1"/>
        <v/>
      </c>
      <c r="B491" s="17" t="str">
        <f t="shared" si="3"/>
        <v/>
      </c>
      <c r="C491" s="18" t="str">
        <f t="shared" si="4"/>
        <v/>
      </c>
      <c r="D491" s="7"/>
      <c r="F491" s="7"/>
      <c r="G491" s="19" t="str">
        <f>IFERROR(__xludf.DUMMYFUNCTION("IF(OR(E491="""",F491&lt;&gt;""Barang Datang""), """",
  IFERROR(
    INDEX(
      SORT(
        FILTER(Jadwal!F:F, Jadwal!C:C=E491),
        FILTER(Jadwal!E:E, Jadwal!C:C=E491),
        FALSE
      ),
      1
    ),
    ""TIDAK ADA JADWAL""
  )
)"),"")</f>
        <v/>
      </c>
      <c r="H491" s="7" t="str">
        <f t="shared" si="2"/>
        <v/>
      </c>
      <c r="L491" s="13"/>
      <c r="M491" s="13"/>
    </row>
    <row r="492" ht="15.75" customHeight="1">
      <c r="A492" s="14" t="str">
        <f t="shared" si="1"/>
        <v/>
      </c>
      <c r="B492" s="17" t="str">
        <f t="shared" si="3"/>
        <v/>
      </c>
      <c r="C492" s="18" t="str">
        <f t="shared" si="4"/>
        <v/>
      </c>
      <c r="D492" s="7"/>
      <c r="F492" s="7"/>
      <c r="G492" s="19" t="str">
        <f>IFERROR(__xludf.DUMMYFUNCTION("IF(OR(E492="""",F492&lt;&gt;""Barang Datang""), """",
  IFERROR(
    INDEX(
      SORT(
        FILTER(Jadwal!F:F, Jadwal!C:C=E492),
        FILTER(Jadwal!E:E, Jadwal!C:C=E492),
        FALSE
      ),
      1
    ),
    ""TIDAK ADA JADWAL""
  )
)"),"")</f>
        <v/>
      </c>
      <c r="H492" s="7" t="str">
        <f t="shared" si="2"/>
        <v/>
      </c>
      <c r="L492" s="13"/>
      <c r="M492" s="13"/>
    </row>
    <row r="493" ht="15.75" customHeight="1">
      <c r="A493" s="14" t="str">
        <f t="shared" si="1"/>
        <v/>
      </c>
      <c r="B493" s="17" t="str">
        <f t="shared" si="3"/>
        <v/>
      </c>
      <c r="C493" s="18" t="str">
        <f t="shared" si="4"/>
        <v/>
      </c>
      <c r="D493" s="7"/>
      <c r="F493" s="7"/>
      <c r="G493" s="19" t="str">
        <f>IFERROR(__xludf.DUMMYFUNCTION("IF(OR(E493="""",F493&lt;&gt;""Barang Datang""), """",
  IFERROR(
    INDEX(
      SORT(
        FILTER(Jadwal!F:F, Jadwal!C:C=E493),
        FILTER(Jadwal!E:E, Jadwal!C:C=E493),
        FALSE
      ),
      1
    ),
    ""TIDAK ADA JADWAL""
  )
)"),"")</f>
        <v/>
      </c>
      <c r="H493" s="7" t="str">
        <f t="shared" si="2"/>
        <v/>
      </c>
      <c r="L493" s="13"/>
      <c r="M493" s="13"/>
    </row>
    <row r="494" ht="15.75" customHeight="1">
      <c r="A494" s="14" t="str">
        <f t="shared" si="1"/>
        <v/>
      </c>
      <c r="B494" s="17" t="str">
        <f t="shared" si="3"/>
        <v/>
      </c>
      <c r="C494" s="18" t="str">
        <f t="shared" si="4"/>
        <v/>
      </c>
      <c r="D494" s="7"/>
      <c r="F494" s="7"/>
      <c r="G494" s="19" t="str">
        <f>IFERROR(__xludf.DUMMYFUNCTION("IF(OR(E494="""",F494&lt;&gt;""Barang Datang""), """",
  IFERROR(
    INDEX(
      SORT(
        FILTER(Jadwal!F:F, Jadwal!C:C=E494),
        FILTER(Jadwal!E:E, Jadwal!C:C=E494),
        FALSE
      ),
      1
    ),
    ""TIDAK ADA JADWAL""
  )
)"),"")</f>
        <v/>
      </c>
      <c r="H494" s="7" t="str">
        <f t="shared" si="2"/>
        <v/>
      </c>
      <c r="L494" s="13"/>
      <c r="M494" s="13"/>
    </row>
    <row r="495" ht="15.75" customHeight="1">
      <c r="A495" s="14" t="str">
        <f t="shared" si="1"/>
        <v/>
      </c>
      <c r="B495" s="17" t="str">
        <f t="shared" si="3"/>
        <v/>
      </c>
      <c r="C495" s="18" t="str">
        <f t="shared" si="4"/>
        <v/>
      </c>
      <c r="D495" s="7"/>
      <c r="F495" s="7"/>
      <c r="G495" s="19" t="str">
        <f>IFERROR(__xludf.DUMMYFUNCTION("IF(OR(E495="""",F495&lt;&gt;""Barang Datang""), """",
  IFERROR(
    INDEX(
      SORT(
        FILTER(Jadwal!F:F, Jadwal!C:C=E495),
        FILTER(Jadwal!E:E, Jadwal!C:C=E495),
        FALSE
      ),
      1
    ),
    ""TIDAK ADA JADWAL""
  )
)"),"")</f>
        <v/>
      </c>
      <c r="H495" s="7" t="str">
        <f t="shared" si="2"/>
        <v/>
      </c>
      <c r="L495" s="13"/>
      <c r="M495" s="13"/>
    </row>
    <row r="496" ht="15.75" customHeight="1">
      <c r="A496" s="14" t="str">
        <f t="shared" si="1"/>
        <v/>
      </c>
      <c r="B496" s="17" t="str">
        <f t="shared" si="3"/>
        <v/>
      </c>
      <c r="C496" s="18" t="str">
        <f t="shared" si="4"/>
        <v/>
      </c>
      <c r="D496" s="7"/>
      <c r="F496" s="7"/>
      <c r="G496" s="19" t="str">
        <f>IFERROR(__xludf.DUMMYFUNCTION("IF(OR(E496="""",F496&lt;&gt;""Barang Datang""), """",
  IFERROR(
    INDEX(
      SORT(
        FILTER(Jadwal!F:F, Jadwal!C:C=E496),
        FILTER(Jadwal!E:E, Jadwal!C:C=E496),
        FALSE
      ),
      1
    ),
    ""TIDAK ADA JADWAL""
  )
)"),"")</f>
        <v/>
      </c>
      <c r="H496" s="7" t="str">
        <f t="shared" si="2"/>
        <v/>
      </c>
      <c r="L496" s="13"/>
      <c r="M496" s="13"/>
    </row>
    <row r="497" ht="15.75" customHeight="1">
      <c r="A497" s="14" t="str">
        <f t="shared" si="1"/>
        <v/>
      </c>
      <c r="B497" s="17" t="str">
        <f t="shared" si="3"/>
        <v/>
      </c>
      <c r="C497" s="18" t="str">
        <f t="shared" si="4"/>
        <v/>
      </c>
      <c r="D497" s="7"/>
      <c r="F497" s="7"/>
      <c r="G497" s="19" t="str">
        <f>IFERROR(__xludf.DUMMYFUNCTION("IF(OR(E497="""",F497&lt;&gt;""Barang Datang""), """",
  IFERROR(
    INDEX(
      SORT(
        FILTER(Jadwal!F:F, Jadwal!C:C=E497),
        FILTER(Jadwal!E:E, Jadwal!C:C=E497),
        FALSE
      ),
      1
    ),
    ""TIDAK ADA JADWAL""
  )
)"),"")</f>
        <v/>
      </c>
      <c r="H497" s="7" t="str">
        <f t="shared" si="2"/>
        <v/>
      </c>
      <c r="L497" s="13"/>
      <c r="M497" s="13"/>
    </row>
    <row r="498" ht="15.75" customHeight="1">
      <c r="A498" s="14" t="str">
        <f t="shared" si="1"/>
        <v/>
      </c>
      <c r="B498" s="17" t="str">
        <f t="shared" si="3"/>
        <v/>
      </c>
      <c r="C498" s="18" t="str">
        <f t="shared" si="4"/>
        <v/>
      </c>
      <c r="D498" s="7"/>
      <c r="F498" s="7"/>
      <c r="G498" s="19" t="str">
        <f>IFERROR(__xludf.DUMMYFUNCTION("IF(OR(E498="""",F498&lt;&gt;""Barang Datang""), """",
  IFERROR(
    INDEX(
      SORT(
        FILTER(Jadwal!F:F, Jadwal!C:C=E498),
        FILTER(Jadwal!E:E, Jadwal!C:C=E498),
        FALSE
      ),
      1
    ),
    ""TIDAK ADA JADWAL""
  )
)"),"")</f>
        <v/>
      </c>
      <c r="H498" s="7" t="str">
        <f t="shared" si="2"/>
        <v/>
      </c>
      <c r="L498" s="13"/>
      <c r="M498" s="13"/>
    </row>
    <row r="499" ht="15.75" customHeight="1">
      <c r="A499" s="14" t="str">
        <f t="shared" si="1"/>
        <v/>
      </c>
      <c r="B499" s="17" t="str">
        <f t="shared" si="3"/>
        <v/>
      </c>
      <c r="C499" s="18" t="str">
        <f t="shared" si="4"/>
        <v/>
      </c>
      <c r="D499" s="7"/>
      <c r="F499" s="7"/>
      <c r="G499" s="19" t="str">
        <f>IFERROR(__xludf.DUMMYFUNCTION("IF(OR(E499="""",F499&lt;&gt;""Barang Datang""), """",
  IFERROR(
    INDEX(
      SORT(
        FILTER(Jadwal!F:F, Jadwal!C:C=E499),
        FILTER(Jadwal!E:E, Jadwal!C:C=E499),
        FALSE
      ),
      1
    ),
    ""TIDAK ADA JADWAL""
  )
)"),"")</f>
        <v/>
      </c>
      <c r="H499" s="7" t="str">
        <f t="shared" si="2"/>
        <v/>
      </c>
      <c r="L499" s="13"/>
      <c r="M499" s="13"/>
    </row>
    <row r="500" ht="15.75" customHeight="1">
      <c r="A500" s="14" t="str">
        <f t="shared" si="1"/>
        <v/>
      </c>
      <c r="B500" s="17" t="str">
        <f t="shared" si="3"/>
        <v/>
      </c>
      <c r="C500" s="18" t="str">
        <f t="shared" si="4"/>
        <v/>
      </c>
      <c r="D500" s="7"/>
      <c r="F500" s="7"/>
      <c r="G500" s="19" t="str">
        <f>IFERROR(__xludf.DUMMYFUNCTION("IF(OR(E500="""",F500&lt;&gt;""Barang Datang""), """",
  IFERROR(
    INDEX(
      SORT(
        FILTER(Jadwal!F:F, Jadwal!C:C=E500),
        FILTER(Jadwal!E:E, Jadwal!C:C=E500),
        FALSE
      ),
      1
    ),
    ""TIDAK ADA JADWAL""
  )
)"),"")</f>
        <v/>
      </c>
      <c r="H500" s="7" t="str">
        <f t="shared" si="2"/>
        <v/>
      </c>
      <c r="L500" s="13"/>
      <c r="M500" s="13"/>
    </row>
    <row r="501" ht="15.75" customHeight="1">
      <c r="A501" s="14" t="str">
        <f t="shared" si="1"/>
        <v/>
      </c>
      <c r="B501" s="17" t="str">
        <f t="shared" si="3"/>
        <v/>
      </c>
      <c r="C501" s="18" t="str">
        <f t="shared" si="4"/>
        <v/>
      </c>
      <c r="D501" s="7"/>
      <c r="F501" s="7"/>
      <c r="G501" s="19" t="str">
        <f>IFERROR(__xludf.DUMMYFUNCTION("IF(OR(E501="""",F501&lt;&gt;""Barang Datang""), """",
  IFERROR(
    INDEX(
      SORT(
        FILTER(Jadwal!F:F, Jadwal!C:C=E501),
        FILTER(Jadwal!E:E, Jadwal!C:C=E501),
        FALSE
      ),
      1
    ),
    ""TIDAK ADA JADWAL""
  )
)"),"")</f>
        <v/>
      </c>
      <c r="H501" s="7" t="str">
        <f t="shared" si="2"/>
        <v/>
      </c>
      <c r="L501" s="13"/>
      <c r="M501" s="13"/>
    </row>
    <row r="502" ht="15.75" customHeight="1">
      <c r="A502" s="14" t="str">
        <f t="shared" si="1"/>
        <v/>
      </c>
      <c r="B502" s="17" t="str">
        <f t="shared" si="3"/>
        <v/>
      </c>
      <c r="C502" s="18" t="str">
        <f t="shared" si="4"/>
        <v/>
      </c>
      <c r="D502" s="7"/>
      <c r="F502" s="7"/>
      <c r="G502" s="19" t="str">
        <f>IFERROR(__xludf.DUMMYFUNCTION("IF(OR(E502="""",F502&lt;&gt;""Barang Datang""), """",
  IFERROR(
    INDEX(
      SORT(
        FILTER(Jadwal!F:F, Jadwal!C:C=E502),
        FILTER(Jadwal!E:E, Jadwal!C:C=E502),
        FALSE
      ),
      1
    ),
    ""TIDAK ADA JADWAL""
  )
)"),"")</f>
        <v/>
      </c>
      <c r="H502" s="7" t="str">
        <f t="shared" si="2"/>
        <v/>
      </c>
      <c r="L502" s="13"/>
      <c r="M502" s="13"/>
    </row>
    <row r="503" ht="15.75" customHeight="1">
      <c r="A503" s="14" t="str">
        <f t="shared" si="1"/>
        <v/>
      </c>
      <c r="B503" s="17" t="str">
        <f t="shared" si="3"/>
        <v/>
      </c>
      <c r="C503" s="18" t="str">
        <f t="shared" si="4"/>
        <v/>
      </c>
      <c r="D503" s="7"/>
      <c r="F503" s="7"/>
      <c r="G503" s="19" t="str">
        <f>IFERROR(__xludf.DUMMYFUNCTION("IF(OR(E503="""",F503&lt;&gt;""Barang Datang""), """",
  IFERROR(
    INDEX(
      SORT(
        FILTER(Jadwal!F:F, Jadwal!C:C=E503),
        FILTER(Jadwal!E:E, Jadwal!C:C=E503),
        FALSE
      ),
      1
    ),
    ""TIDAK ADA JADWAL""
  )
)"),"")</f>
        <v/>
      </c>
      <c r="H503" s="7" t="str">
        <f t="shared" si="2"/>
        <v/>
      </c>
      <c r="L503" s="13"/>
      <c r="M503" s="13"/>
    </row>
    <row r="504" ht="15.75" customHeight="1">
      <c r="A504" s="14" t="str">
        <f t="shared" si="1"/>
        <v/>
      </c>
      <c r="B504" s="17" t="str">
        <f t="shared" si="3"/>
        <v/>
      </c>
      <c r="C504" s="18" t="str">
        <f t="shared" si="4"/>
        <v/>
      </c>
      <c r="D504" s="7"/>
      <c r="F504" s="7"/>
      <c r="G504" s="19" t="str">
        <f>IFERROR(__xludf.DUMMYFUNCTION("IF(OR(E504="""",F504&lt;&gt;""Barang Datang""), """",
  IFERROR(
    INDEX(
      SORT(
        FILTER(Jadwal!F:F, Jadwal!C:C=E504),
        FILTER(Jadwal!E:E, Jadwal!C:C=E504),
        FALSE
      ),
      1
    ),
    ""TIDAK ADA JADWAL""
  )
)"),"")</f>
        <v/>
      </c>
      <c r="H504" s="7" t="str">
        <f t="shared" si="2"/>
        <v/>
      </c>
      <c r="L504" s="13"/>
      <c r="M504" s="13"/>
    </row>
    <row r="505" ht="15.75" customHeight="1">
      <c r="A505" s="14" t="str">
        <f t="shared" si="1"/>
        <v/>
      </c>
      <c r="B505" s="17" t="str">
        <f t="shared" si="3"/>
        <v/>
      </c>
      <c r="C505" s="18" t="str">
        <f t="shared" si="4"/>
        <v/>
      </c>
      <c r="D505" s="7"/>
      <c r="F505" s="7"/>
      <c r="G505" s="19" t="str">
        <f>IFERROR(__xludf.DUMMYFUNCTION("IF(OR(E505="""",F505&lt;&gt;""Barang Datang""), """",
  IFERROR(
    INDEX(
      SORT(
        FILTER(Jadwal!F:F, Jadwal!C:C=E505),
        FILTER(Jadwal!E:E, Jadwal!C:C=E505),
        FALSE
      ),
      1
    ),
    ""TIDAK ADA JADWAL""
  )
)"),"")</f>
        <v/>
      </c>
      <c r="H505" s="7" t="str">
        <f t="shared" si="2"/>
        <v/>
      </c>
      <c r="L505" s="13"/>
      <c r="M505" s="13"/>
    </row>
    <row r="506" ht="15.75" customHeight="1">
      <c r="A506" s="14" t="str">
        <f t="shared" si="1"/>
        <v/>
      </c>
      <c r="B506" s="17" t="str">
        <f t="shared" si="3"/>
        <v/>
      </c>
      <c r="C506" s="18" t="str">
        <f t="shared" si="4"/>
        <v/>
      </c>
      <c r="D506" s="7"/>
      <c r="F506" s="7"/>
      <c r="G506" s="19" t="str">
        <f>IFERROR(__xludf.DUMMYFUNCTION("IF(OR(E506="""",F506&lt;&gt;""Barang Datang""), """",
  IFERROR(
    INDEX(
      SORT(
        FILTER(Jadwal!F:F, Jadwal!C:C=E506),
        FILTER(Jadwal!E:E, Jadwal!C:C=E506),
        FALSE
      ),
      1
    ),
    ""TIDAK ADA JADWAL""
  )
)"),"")</f>
        <v/>
      </c>
      <c r="H506" s="7" t="str">
        <f t="shared" si="2"/>
        <v/>
      </c>
      <c r="L506" s="13"/>
      <c r="M506" s="13"/>
    </row>
    <row r="507" ht="15.75" customHeight="1">
      <c r="A507" s="14" t="str">
        <f t="shared" si="1"/>
        <v/>
      </c>
      <c r="B507" s="17" t="str">
        <f t="shared" si="3"/>
        <v/>
      </c>
      <c r="C507" s="18" t="str">
        <f t="shared" si="4"/>
        <v/>
      </c>
      <c r="D507" s="7"/>
      <c r="F507" s="7"/>
      <c r="G507" s="19" t="str">
        <f>IFERROR(__xludf.DUMMYFUNCTION("IF(OR(E507="""",F507&lt;&gt;""Barang Datang""), """",
  IFERROR(
    INDEX(
      SORT(
        FILTER(Jadwal!F:F, Jadwal!C:C=E507),
        FILTER(Jadwal!E:E, Jadwal!C:C=E507),
        FALSE
      ),
      1
    ),
    ""TIDAK ADA JADWAL""
  )
)"),"")</f>
        <v/>
      </c>
      <c r="H507" s="7" t="str">
        <f t="shared" si="2"/>
        <v/>
      </c>
      <c r="L507" s="13"/>
      <c r="M507" s="13"/>
    </row>
    <row r="508" ht="15.75" customHeight="1">
      <c r="A508" s="14" t="str">
        <f t="shared" si="1"/>
        <v/>
      </c>
      <c r="B508" s="17" t="str">
        <f t="shared" si="3"/>
        <v/>
      </c>
      <c r="C508" s="18" t="str">
        <f t="shared" si="4"/>
        <v/>
      </c>
      <c r="D508" s="7"/>
      <c r="F508" s="7"/>
      <c r="G508" s="19" t="str">
        <f>IFERROR(__xludf.DUMMYFUNCTION("IF(OR(E508="""",F508&lt;&gt;""Barang Datang""), """",
  IFERROR(
    INDEX(
      SORT(
        FILTER(Jadwal!F:F, Jadwal!C:C=E508),
        FILTER(Jadwal!E:E, Jadwal!C:C=E508),
        FALSE
      ),
      1
    ),
    ""TIDAK ADA JADWAL""
  )
)"),"")</f>
        <v/>
      </c>
      <c r="H508" s="7" t="str">
        <f t="shared" si="2"/>
        <v/>
      </c>
      <c r="L508" s="13"/>
      <c r="M508" s="13"/>
    </row>
    <row r="509" ht="15.75" customHeight="1">
      <c r="A509" s="14" t="str">
        <f t="shared" si="1"/>
        <v/>
      </c>
      <c r="B509" s="17" t="str">
        <f t="shared" si="3"/>
        <v/>
      </c>
      <c r="C509" s="18" t="str">
        <f t="shared" si="4"/>
        <v/>
      </c>
      <c r="D509" s="7"/>
      <c r="F509" s="7"/>
      <c r="G509" s="19" t="str">
        <f>IFERROR(__xludf.DUMMYFUNCTION("IF(OR(E509="""",F509&lt;&gt;""Barang Datang""), """",
  IFERROR(
    INDEX(
      SORT(
        FILTER(Jadwal!F:F, Jadwal!C:C=E509),
        FILTER(Jadwal!E:E, Jadwal!C:C=E509),
        FALSE
      ),
      1
    ),
    ""TIDAK ADA JADWAL""
  )
)"),"")</f>
        <v/>
      </c>
      <c r="H509" s="7" t="str">
        <f t="shared" si="2"/>
        <v/>
      </c>
      <c r="L509" s="13"/>
      <c r="M509" s="13"/>
    </row>
    <row r="510" ht="15.75" customHeight="1">
      <c r="A510" s="14" t="str">
        <f t="shared" si="1"/>
        <v/>
      </c>
      <c r="B510" s="17" t="str">
        <f t="shared" si="3"/>
        <v/>
      </c>
      <c r="C510" s="18" t="str">
        <f t="shared" si="4"/>
        <v/>
      </c>
      <c r="D510" s="7"/>
      <c r="F510" s="7"/>
      <c r="G510" s="19" t="str">
        <f>IFERROR(__xludf.DUMMYFUNCTION("IF(OR(E510="""",F510&lt;&gt;""Barang Datang""), """",
  IFERROR(
    INDEX(
      SORT(
        FILTER(Jadwal!F:F, Jadwal!C:C=E510),
        FILTER(Jadwal!E:E, Jadwal!C:C=E510),
        FALSE
      ),
      1
    ),
    ""TIDAK ADA JADWAL""
  )
)"),"")</f>
        <v/>
      </c>
      <c r="H510" s="7" t="str">
        <f t="shared" si="2"/>
        <v/>
      </c>
      <c r="L510" s="13"/>
      <c r="M510" s="13"/>
    </row>
    <row r="511" ht="15.75" customHeight="1">
      <c r="A511" s="14" t="str">
        <f t="shared" si="1"/>
        <v/>
      </c>
      <c r="B511" s="17" t="str">
        <f t="shared" si="3"/>
        <v/>
      </c>
      <c r="C511" s="18" t="str">
        <f t="shared" si="4"/>
        <v/>
      </c>
      <c r="D511" s="7"/>
      <c r="F511" s="7"/>
      <c r="G511" s="19" t="str">
        <f>IFERROR(__xludf.DUMMYFUNCTION("IF(OR(E511="""",F511&lt;&gt;""Barang Datang""), """",
  IFERROR(
    INDEX(
      SORT(
        FILTER(Jadwal!F:F, Jadwal!C:C=E511),
        FILTER(Jadwal!E:E, Jadwal!C:C=E511),
        FALSE
      ),
      1
    ),
    ""TIDAK ADA JADWAL""
  )
)"),"")</f>
        <v/>
      </c>
      <c r="H511" s="7" t="str">
        <f t="shared" si="2"/>
        <v/>
      </c>
      <c r="L511" s="13"/>
      <c r="M511" s="13"/>
    </row>
    <row r="512" ht="15.75" customHeight="1">
      <c r="A512" s="14" t="str">
        <f t="shared" si="1"/>
        <v/>
      </c>
      <c r="B512" s="17" t="str">
        <f t="shared" si="3"/>
        <v/>
      </c>
      <c r="C512" s="18" t="str">
        <f t="shared" si="4"/>
        <v/>
      </c>
      <c r="D512" s="7"/>
      <c r="F512" s="7"/>
      <c r="G512" s="19" t="str">
        <f>IFERROR(__xludf.DUMMYFUNCTION("IF(OR(E512="""",F512&lt;&gt;""Barang Datang""), """",
  IFERROR(
    INDEX(
      SORT(
        FILTER(Jadwal!F:F, Jadwal!C:C=E512),
        FILTER(Jadwal!E:E, Jadwal!C:C=E512),
        FALSE
      ),
      1
    ),
    ""TIDAK ADA JADWAL""
  )
)"),"")</f>
        <v/>
      </c>
      <c r="H512" s="7" t="str">
        <f t="shared" si="2"/>
        <v/>
      </c>
      <c r="L512" s="13"/>
      <c r="M512" s="13"/>
    </row>
    <row r="513" ht="15.75" customHeight="1">
      <c r="A513" s="14" t="str">
        <f t="shared" si="1"/>
        <v/>
      </c>
      <c r="B513" s="17" t="str">
        <f t="shared" si="3"/>
        <v/>
      </c>
      <c r="C513" s="18" t="str">
        <f t="shared" si="4"/>
        <v/>
      </c>
      <c r="D513" s="7"/>
      <c r="F513" s="7"/>
      <c r="G513" s="19" t="str">
        <f>IFERROR(__xludf.DUMMYFUNCTION("IF(OR(E513="""",F513&lt;&gt;""Barang Datang""), """",
  IFERROR(
    INDEX(
      SORT(
        FILTER(Jadwal!F:F, Jadwal!C:C=E513),
        FILTER(Jadwal!E:E, Jadwal!C:C=E513),
        FALSE
      ),
      1
    ),
    ""TIDAK ADA JADWAL""
  )
)"),"")</f>
        <v/>
      </c>
      <c r="H513" s="7" t="str">
        <f t="shared" si="2"/>
        <v/>
      </c>
      <c r="L513" s="13"/>
      <c r="M513" s="13"/>
    </row>
    <row r="514" ht="15.75" customHeight="1">
      <c r="A514" s="14" t="str">
        <f t="shared" si="1"/>
        <v/>
      </c>
      <c r="B514" s="17" t="str">
        <f t="shared" si="3"/>
        <v/>
      </c>
      <c r="C514" s="18" t="str">
        <f t="shared" si="4"/>
        <v/>
      </c>
      <c r="D514" s="7"/>
      <c r="F514" s="7"/>
      <c r="G514" s="19" t="str">
        <f>IFERROR(__xludf.DUMMYFUNCTION("IF(OR(E514="""",F514&lt;&gt;""Barang Datang""), """",
  IFERROR(
    INDEX(
      SORT(
        FILTER(Jadwal!F:F, Jadwal!C:C=E514),
        FILTER(Jadwal!E:E, Jadwal!C:C=E514),
        FALSE
      ),
      1
    ),
    ""TIDAK ADA JADWAL""
  )
)"),"")</f>
        <v/>
      </c>
      <c r="H514" s="7" t="str">
        <f t="shared" si="2"/>
        <v/>
      </c>
      <c r="L514" s="13"/>
      <c r="M514" s="13"/>
    </row>
    <row r="515" ht="15.75" customHeight="1">
      <c r="A515" s="14" t="str">
        <f t="shared" si="1"/>
        <v/>
      </c>
      <c r="B515" s="17" t="str">
        <f t="shared" si="3"/>
        <v/>
      </c>
      <c r="C515" s="18" t="str">
        <f t="shared" si="4"/>
        <v/>
      </c>
      <c r="D515" s="7"/>
      <c r="F515" s="7"/>
      <c r="G515" s="19" t="str">
        <f>IFERROR(__xludf.DUMMYFUNCTION("IF(OR(E515="""",F515&lt;&gt;""Barang Datang""), """",
  IFERROR(
    INDEX(
      SORT(
        FILTER(Jadwal!F:F, Jadwal!C:C=E515),
        FILTER(Jadwal!E:E, Jadwal!C:C=E515),
        FALSE
      ),
      1
    ),
    ""TIDAK ADA JADWAL""
  )
)"),"")</f>
        <v/>
      </c>
      <c r="H515" s="7" t="str">
        <f t="shared" si="2"/>
        <v/>
      </c>
      <c r="L515" s="13"/>
      <c r="M515" s="13"/>
    </row>
    <row r="516" ht="15.75" customHeight="1">
      <c r="A516" s="14" t="str">
        <f t="shared" si="1"/>
        <v/>
      </c>
      <c r="B516" s="17" t="str">
        <f t="shared" si="3"/>
        <v/>
      </c>
      <c r="C516" s="18" t="str">
        <f t="shared" si="4"/>
        <v/>
      </c>
      <c r="D516" s="7"/>
      <c r="F516" s="7"/>
      <c r="G516" s="19" t="str">
        <f>IFERROR(__xludf.DUMMYFUNCTION("IF(OR(E516="""",F516&lt;&gt;""Barang Datang""), """",
  IFERROR(
    INDEX(
      SORT(
        FILTER(Jadwal!F:F, Jadwal!C:C=E516),
        FILTER(Jadwal!E:E, Jadwal!C:C=E516),
        FALSE
      ),
      1
    ),
    ""TIDAK ADA JADWAL""
  )
)"),"")</f>
        <v/>
      </c>
      <c r="H516" s="7" t="str">
        <f t="shared" si="2"/>
        <v/>
      </c>
      <c r="L516" s="13"/>
      <c r="M516" s="13"/>
    </row>
    <row r="517" ht="15.75" customHeight="1">
      <c r="A517" s="14" t="str">
        <f t="shared" si="1"/>
        <v/>
      </c>
      <c r="B517" s="17" t="str">
        <f t="shared" si="3"/>
        <v/>
      </c>
      <c r="C517" s="18" t="str">
        <f t="shared" si="4"/>
        <v/>
      </c>
      <c r="D517" s="7"/>
      <c r="F517" s="7"/>
      <c r="G517" s="19" t="str">
        <f>IFERROR(__xludf.DUMMYFUNCTION("IF(OR(E517="""",F517&lt;&gt;""Barang Datang""), """",
  IFERROR(
    INDEX(
      SORT(
        FILTER(Jadwal!F:F, Jadwal!C:C=E517),
        FILTER(Jadwal!E:E, Jadwal!C:C=E517),
        FALSE
      ),
      1
    ),
    ""TIDAK ADA JADWAL""
  )
)"),"")</f>
        <v/>
      </c>
      <c r="H517" s="7" t="str">
        <f t="shared" si="2"/>
        <v/>
      </c>
      <c r="L517" s="13"/>
      <c r="M517" s="13"/>
    </row>
    <row r="518" ht="15.75" customHeight="1">
      <c r="A518" s="14" t="str">
        <f t="shared" si="1"/>
        <v/>
      </c>
      <c r="B518" s="17" t="str">
        <f t="shared" si="3"/>
        <v/>
      </c>
      <c r="C518" s="18" t="str">
        <f t="shared" si="4"/>
        <v/>
      </c>
      <c r="D518" s="7"/>
      <c r="F518" s="7"/>
      <c r="G518" s="19" t="str">
        <f>IFERROR(__xludf.DUMMYFUNCTION("IF(OR(E518="""",F518&lt;&gt;""Barang Datang""), """",
  IFERROR(
    INDEX(
      SORT(
        FILTER(Jadwal!F:F, Jadwal!C:C=E518),
        FILTER(Jadwal!E:E, Jadwal!C:C=E518),
        FALSE
      ),
      1
    ),
    ""TIDAK ADA JADWAL""
  )
)"),"")</f>
        <v/>
      </c>
      <c r="H518" s="7" t="str">
        <f t="shared" si="2"/>
        <v/>
      </c>
      <c r="L518" s="13"/>
      <c r="M518" s="13"/>
    </row>
    <row r="519" ht="15.75" customHeight="1">
      <c r="A519" s="14" t="str">
        <f t="shared" si="1"/>
        <v/>
      </c>
      <c r="B519" s="17" t="str">
        <f t="shared" si="3"/>
        <v/>
      </c>
      <c r="C519" s="18" t="str">
        <f t="shared" si="4"/>
        <v/>
      </c>
      <c r="D519" s="7"/>
      <c r="F519" s="7"/>
      <c r="G519" s="19" t="str">
        <f>IFERROR(__xludf.DUMMYFUNCTION("IF(OR(E519="""",F519&lt;&gt;""Barang Datang""), """",
  IFERROR(
    INDEX(
      SORT(
        FILTER(Jadwal!F:F, Jadwal!C:C=E519),
        FILTER(Jadwal!E:E, Jadwal!C:C=E519),
        FALSE
      ),
      1
    ),
    ""TIDAK ADA JADWAL""
  )
)"),"")</f>
        <v/>
      </c>
      <c r="H519" s="7" t="str">
        <f t="shared" si="2"/>
        <v/>
      </c>
      <c r="L519" s="13"/>
      <c r="M519" s="13"/>
    </row>
    <row r="520" ht="15.75" customHeight="1">
      <c r="A520" s="14" t="str">
        <f t="shared" si="1"/>
        <v/>
      </c>
      <c r="B520" s="17" t="str">
        <f t="shared" si="3"/>
        <v/>
      </c>
      <c r="C520" s="18" t="str">
        <f t="shared" si="4"/>
        <v/>
      </c>
      <c r="D520" s="7"/>
      <c r="F520" s="7"/>
      <c r="G520" s="19" t="str">
        <f>IFERROR(__xludf.DUMMYFUNCTION("IF(OR(E520="""",F520&lt;&gt;""Barang Datang""), """",
  IFERROR(
    INDEX(
      SORT(
        FILTER(Jadwal!F:F, Jadwal!C:C=E520),
        FILTER(Jadwal!E:E, Jadwal!C:C=E520),
        FALSE
      ),
      1
    ),
    ""TIDAK ADA JADWAL""
  )
)"),"")</f>
        <v/>
      </c>
      <c r="H520" s="7" t="str">
        <f t="shared" si="2"/>
        <v/>
      </c>
      <c r="L520" s="13"/>
      <c r="M520" s="13"/>
    </row>
    <row r="521" ht="15.75" customHeight="1">
      <c r="A521" s="14" t="str">
        <f t="shared" si="1"/>
        <v/>
      </c>
      <c r="B521" s="17" t="str">
        <f t="shared" si="3"/>
        <v/>
      </c>
      <c r="C521" s="18" t="str">
        <f t="shared" si="4"/>
        <v/>
      </c>
      <c r="D521" s="7"/>
      <c r="F521" s="7"/>
      <c r="G521" s="19" t="str">
        <f>IFERROR(__xludf.DUMMYFUNCTION("IF(OR(E521="""",F521&lt;&gt;""Barang Datang""), """",
  IFERROR(
    INDEX(
      SORT(
        FILTER(Jadwal!F:F, Jadwal!C:C=E521),
        FILTER(Jadwal!E:E, Jadwal!C:C=E521),
        FALSE
      ),
      1
    ),
    ""TIDAK ADA JADWAL""
  )
)"),"")</f>
        <v/>
      </c>
      <c r="H521" s="7" t="str">
        <f t="shared" si="2"/>
        <v/>
      </c>
      <c r="L521" s="13"/>
      <c r="M521" s="13"/>
    </row>
    <row r="522" ht="15.75" customHeight="1">
      <c r="A522" s="14" t="str">
        <f t="shared" si="1"/>
        <v/>
      </c>
      <c r="B522" s="17" t="str">
        <f t="shared" si="3"/>
        <v/>
      </c>
      <c r="C522" s="18" t="str">
        <f t="shared" si="4"/>
        <v/>
      </c>
      <c r="D522" s="7"/>
      <c r="F522" s="7"/>
      <c r="G522" s="19" t="str">
        <f>IFERROR(__xludf.DUMMYFUNCTION("IF(OR(E522="""",F522&lt;&gt;""Barang Datang""), """",
  IFERROR(
    INDEX(
      SORT(
        FILTER(Jadwal!F:F, Jadwal!C:C=E522),
        FILTER(Jadwal!E:E, Jadwal!C:C=E522),
        FALSE
      ),
      1
    ),
    ""TIDAK ADA JADWAL""
  )
)"),"")</f>
        <v/>
      </c>
      <c r="H522" s="7" t="str">
        <f t="shared" si="2"/>
        <v/>
      </c>
      <c r="L522" s="13"/>
      <c r="M522" s="13"/>
    </row>
    <row r="523" ht="15.75" customHeight="1">
      <c r="A523" s="14" t="str">
        <f t="shared" si="1"/>
        <v/>
      </c>
      <c r="B523" s="17" t="str">
        <f t="shared" si="3"/>
        <v/>
      </c>
      <c r="C523" s="18" t="str">
        <f t="shared" si="4"/>
        <v/>
      </c>
      <c r="D523" s="7"/>
      <c r="F523" s="7"/>
      <c r="G523" s="19" t="str">
        <f>IFERROR(__xludf.DUMMYFUNCTION("IF(OR(E523="""",F523&lt;&gt;""Barang Datang""), """",
  IFERROR(
    INDEX(
      SORT(
        FILTER(Jadwal!F:F, Jadwal!C:C=E523),
        FILTER(Jadwal!E:E, Jadwal!C:C=E523),
        FALSE
      ),
      1
    ),
    ""TIDAK ADA JADWAL""
  )
)"),"")</f>
        <v/>
      </c>
      <c r="H523" s="7" t="str">
        <f t="shared" si="2"/>
        <v/>
      </c>
      <c r="L523" s="13"/>
      <c r="M523" s="13"/>
    </row>
    <row r="524" ht="15.75" customHeight="1">
      <c r="A524" s="14" t="str">
        <f t="shared" si="1"/>
        <v/>
      </c>
      <c r="B524" s="17" t="str">
        <f t="shared" si="3"/>
        <v/>
      </c>
      <c r="C524" s="18" t="str">
        <f t="shared" si="4"/>
        <v/>
      </c>
      <c r="D524" s="7"/>
      <c r="F524" s="7"/>
      <c r="G524" s="19" t="str">
        <f>IFERROR(__xludf.DUMMYFUNCTION("IF(OR(E524="""",F524&lt;&gt;""Barang Datang""), """",
  IFERROR(
    INDEX(
      SORT(
        FILTER(Jadwal!F:F, Jadwal!C:C=E524),
        FILTER(Jadwal!E:E, Jadwal!C:C=E524),
        FALSE
      ),
      1
    ),
    ""TIDAK ADA JADWAL""
  )
)"),"")</f>
        <v/>
      </c>
      <c r="H524" s="7" t="str">
        <f t="shared" si="2"/>
        <v/>
      </c>
      <c r="L524" s="13"/>
      <c r="M524" s="13"/>
    </row>
    <row r="525" ht="15.75" customHeight="1">
      <c r="A525" s="14" t="str">
        <f t="shared" si="1"/>
        <v/>
      </c>
      <c r="B525" s="17" t="str">
        <f t="shared" si="3"/>
        <v/>
      </c>
      <c r="C525" s="18" t="str">
        <f t="shared" si="4"/>
        <v/>
      </c>
      <c r="D525" s="7"/>
      <c r="F525" s="7"/>
      <c r="G525" s="19" t="str">
        <f>IFERROR(__xludf.DUMMYFUNCTION("IF(OR(E525="""",F525&lt;&gt;""Barang Datang""), """",
  IFERROR(
    INDEX(
      SORT(
        FILTER(Jadwal!F:F, Jadwal!C:C=E525),
        FILTER(Jadwal!E:E, Jadwal!C:C=E525),
        FALSE
      ),
      1
    ),
    ""TIDAK ADA JADWAL""
  )
)"),"")</f>
        <v/>
      </c>
      <c r="H525" s="7" t="str">
        <f t="shared" si="2"/>
        <v/>
      </c>
      <c r="L525" s="13"/>
      <c r="M525" s="13"/>
    </row>
    <row r="526" ht="15.75" customHeight="1">
      <c r="A526" s="14" t="str">
        <f t="shared" si="1"/>
        <v/>
      </c>
      <c r="B526" s="17" t="str">
        <f t="shared" si="3"/>
        <v/>
      </c>
      <c r="C526" s="18" t="str">
        <f t="shared" si="4"/>
        <v/>
      </c>
      <c r="D526" s="7"/>
      <c r="F526" s="7"/>
      <c r="G526" s="19" t="str">
        <f>IFERROR(__xludf.DUMMYFUNCTION("IF(OR(E526="""",F526&lt;&gt;""Barang Datang""), """",
  IFERROR(
    INDEX(
      SORT(
        FILTER(Jadwal!F:F, Jadwal!C:C=E526),
        FILTER(Jadwal!E:E, Jadwal!C:C=E526),
        FALSE
      ),
      1
    ),
    ""TIDAK ADA JADWAL""
  )
)"),"")</f>
        <v/>
      </c>
      <c r="H526" s="7" t="str">
        <f t="shared" si="2"/>
        <v/>
      </c>
      <c r="L526" s="13"/>
      <c r="M526" s="13"/>
    </row>
    <row r="527" ht="15.75" customHeight="1">
      <c r="A527" s="14" t="str">
        <f t="shared" si="1"/>
        <v/>
      </c>
      <c r="B527" s="17" t="str">
        <f t="shared" si="3"/>
        <v/>
      </c>
      <c r="C527" s="18" t="str">
        <f t="shared" si="4"/>
        <v/>
      </c>
      <c r="D527" s="7"/>
      <c r="F527" s="7"/>
      <c r="G527" s="19" t="str">
        <f>IFERROR(__xludf.DUMMYFUNCTION("IF(OR(E527="""",F527&lt;&gt;""Barang Datang""), """",
  IFERROR(
    INDEX(
      SORT(
        FILTER(Jadwal!F:F, Jadwal!C:C=E527),
        FILTER(Jadwal!E:E, Jadwal!C:C=E527),
        FALSE
      ),
      1
    ),
    ""TIDAK ADA JADWAL""
  )
)"),"")</f>
        <v/>
      </c>
      <c r="H527" s="7" t="str">
        <f t="shared" si="2"/>
        <v/>
      </c>
      <c r="L527" s="13"/>
      <c r="M527" s="13"/>
    </row>
    <row r="528" ht="15.75" customHeight="1">
      <c r="A528" s="14" t="str">
        <f t="shared" si="1"/>
        <v/>
      </c>
      <c r="B528" s="17" t="str">
        <f t="shared" si="3"/>
        <v/>
      </c>
      <c r="C528" s="18" t="str">
        <f t="shared" si="4"/>
        <v/>
      </c>
      <c r="D528" s="7"/>
      <c r="F528" s="7"/>
      <c r="G528" s="19" t="str">
        <f>IFERROR(__xludf.DUMMYFUNCTION("IF(OR(E528="""",F528&lt;&gt;""Barang Datang""), """",
  IFERROR(
    INDEX(
      SORT(
        FILTER(Jadwal!F:F, Jadwal!C:C=E528),
        FILTER(Jadwal!E:E, Jadwal!C:C=E528),
        FALSE
      ),
      1
    ),
    ""TIDAK ADA JADWAL""
  )
)"),"")</f>
        <v/>
      </c>
      <c r="H528" s="7" t="str">
        <f t="shared" si="2"/>
        <v/>
      </c>
      <c r="L528" s="13"/>
      <c r="M528" s="13"/>
    </row>
    <row r="529" ht="15.75" customHeight="1">
      <c r="A529" s="14" t="str">
        <f t="shared" si="1"/>
        <v/>
      </c>
      <c r="B529" s="17" t="str">
        <f t="shared" si="3"/>
        <v/>
      </c>
      <c r="C529" s="18" t="str">
        <f t="shared" si="4"/>
        <v/>
      </c>
      <c r="D529" s="7"/>
      <c r="F529" s="7"/>
      <c r="G529" s="19" t="str">
        <f>IFERROR(__xludf.DUMMYFUNCTION("IF(OR(E529="""",F529&lt;&gt;""Barang Datang""), """",
  IFERROR(
    INDEX(
      SORT(
        FILTER(Jadwal!F:F, Jadwal!C:C=E529),
        FILTER(Jadwal!E:E, Jadwal!C:C=E529),
        FALSE
      ),
      1
    ),
    ""TIDAK ADA JADWAL""
  )
)"),"")</f>
        <v/>
      </c>
      <c r="H529" s="7" t="str">
        <f t="shared" si="2"/>
        <v/>
      </c>
      <c r="L529" s="13"/>
      <c r="M529" s="13"/>
    </row>
    <row r="530" ht="15.75" customHeight="1">
      <c r="A530" s="14" t="str">
        <f t="shared" si="1"/>
        <v/>
      </c>
      <c r="B530" s="17" t="str">
        <f t="shared" si="3"/>
        <v/>
      </c>
      <c r="C530" s="18" t="str">
        <f t="shared" si="4"/>
        <v/>
      </c>
      <c r="D530" s="7"/>
      <c r="F530" s="7"/>
      <c r="G530" s="19" t="str">
        <f>IFERROR(__xludf.DUMMYFUNCTION("IF(OR(E530="""",F530&lt;&gt;""Barang Datang""), """",
  IFERROR(
    INDEX(
      SORT(
        FILTER(Jadwal!F:F, Jadwal!C:C=E530),
        FILTER(Jadwal!E:E, Jadwal!C:C=E530),
        FALSE
      ),
      1
    ),
    ""TIDAK ADA JADWAL""
  )
)"),"")</f>
        <v/>
      </c>
      <c r="H530" s="7" t="str">
        <f t="shared" si="2"/>
        <v/>
      </c>
      <c r="L530" s="13"/>
      <c r="M530" s="13"/>
    </row>
    <row r="531" ht="15.75" customHeight="1">
      <c r="A531" s="14" t="str">
        <f t="shared" si="1"/>
        <v/>
      </c>
      <c r="B531" s="17" t="str">
        <f t="shared" si="3"/>
        <v/>
      </c>
      <c r="C531" s="18" t="str">
        <f t="shared" si="4"/>
        <v/>
      </c>
      <c r="D531" s="7"/>
      <c r="F531" s="7"/>
      <c r="G531" s="19" t="str">
        <f>IFERROR(__xludf.DUMMYFUNCTION("IF(OR(E531="""",F531&lt;&gt;""Barang Datang""), """",
  IFERROR(
    INDEX(
      SORT(
        FILTER(Jadwal!F:F, Jadwal!C:C=E531),
        FILTER(Jadwal!E:E, Jadwal!C:C=E531),
        FALSE
      ),
      1
    ),
    ""TIDAK ADA JADWAL""
  )
)"),"")</f>
        <v/>
      </c>
      <c r="H531" s="7" t="str">
        <f t="shared" si="2"/>
        <v/>
      </c>
      <c r="L531" s="13"/>
      <c r="M531" s="13"/>
    </row>
    <row r="532" ht="15.75" customHeight="1">
      <c r="A532" s="14" t="str">
        <f t="shared" si="1"/>
        <v/>
      </c>
      <c r="B532" s="17" t="str">
        <f t="shared" si="3"/>
        <v/>
      </c>
      <c r="C532" s="18" t="str">
        <f t="shared" si="4"/>
        <v/>
      </c>
      <c r="D532" s="7"/>
      <c r="F532" s="7"/>
      <c r="G532" s="19" t="str">
        <f>IFERROR(__xludf.DUMMYFUNCTION("IF(OR(E532="""",F532&lt;&gt;""Barang Datang""), """",
  IFERROR(
    INDEX(
      SORT(
        FILTER(Jadwal!F:F, Jadwal!C:C=E532),
        FILTER(Jadwal!E:E, Jadwal!C:C=E532),
        FALSE
      ),
      1
    ),
    ""TIDAK ADA JADWAL""
  )
)"),"")</f>
        <v/>
      </c>
      <c r="H532" s="7" t="str">
        <f t="shared" si="2"/>
        <v/>
      </c>
      <c r="L532" s="13"/>
      <c r="M532" s="13"/>
    </row>
    <row r="533" ht="15.75" customHeight="1">
      <c r="A533" s="14" t="str">
        <f t="shared" si="1"/>
        <v/>
      </c>
      <c r="B533" s="17" t="str">
        <f t="shared" si="3"/>
        <v/>
      </c>
      <c r="C533" s="18" t="str">
        <f t="shared" si="4"/>
        <v/>
      </c>
      <c r="D533" s="7"/>
      <c r="F533" s="7"/>
      <c r="G533" s="19" t="str">
        <f>IFERROR(__xludf.DUMMYFUNCTION("IF(OR(E533="""",F533&lt;&gt;""Barang Datang""), """",
  IFERROR(
    INDEX(
      SORT(
        FILTER(Jadwal!F:F, Jadwal!C:C=E533),
        FILTER(Jadwal!E:E, Jadwal!C:C=E533),
        FALSE
      ),
      1
    ),
    ""TIDAK ADA JADWAL""
  )
)"),"")</f>
        <v/>
      </c>
      <c r="H533" s="7" t="str">
        <f t="shared" si="2"/>
        <v/>
      </c>
      <c r="L533" s="13"/>
      <c r="M533" s="13"/>
    </row>
    <row r="534" ht="15.75" customHeight="1">
      <c r="A534" s="14" t="str">
        <f t="shared" si="1"/>
        <v/>
      </c>
      <c r="B534" s="17" t="str">
        <f t="shared" si="3"/>
        <v/>
      </c>
      <c r="C534" s="18" t="str">
        <f t="shared" si="4"/>
        <v/>
      </c>
      <c r="D534" s="7"/>
      <c r="F534" s="7"/>
      <c r="G534" s="19" t="str">
        <f>IFERROR(__xludf.DUMMYFUNCTION("IF(OR(E534="""",F534&lt;&gt;""Barang Datang""), """",
  IFERROR(
    INDEX(
      SORT(
        FILTER(Jadwal!F:F, Jadwal!C:C=E534),
        FILTER(Jadwal!E:E, Jadwal!C:C=E534),
        FALSE
      ),
      1
    ),
    ""TIDAK ADA JADWAL""
  )
)"),"")</f>
        <v/>
      </c>
      <c r="H534" s="7" t="str">
        <f t="shared" si="2"/>
        <v/>
      </c>
      <c r="L534" s="13"/>
      <c r="M534" s="13"/>
    </row>
    <row r="535" ht="15.75" customHeight="1">
      <c r="A535" s="14" t="str">
        <f t="shared" si="1"/>
        <v/>
      </c>
      <c r="B535" s="17" t="str">
        <f t="shared" si="3"/>
        <v/>
      </c>
      <c r="C535" s="18" t="str">
        <f t="shared" si="4"/>
        <v/>
      </c>
      <c r="D535" s="7"/>
      <c r="F535" s="7"/>
      <c r="G535" s="19" t="str">
        <f>IFERROR(__xludf.DUMMYFUNCTION("IF(OR(E535="""",F535&lt;&gt;""Barang Datang""), """",
  IFERROR(
    INDEX(
      SORT(
        FILTER(Jadwal!F:F, Jadwal!C:C=E535),
        FILTER(Jadwal!E:E, Jadwal!C:C=E535),
        FALSE
      ),
      1
    ),
    ""TIDAK ADA JADWAL""
  )
)"),"")</f>
        <v/>
      </c>
      <c r="H535" s="7" t="str">
        <f t="shared" si="2"/>
        <v/>
      </c>
      <c r="L535" s="13"/>
      <c r="M535" s="13"/>
    </row>
    <row r="536" ht="15.75" customHeight="1">
      <c r="A536" s="14" t="str">
        <f t="shared" si="1"/>
        <v/>
      </c>
      <c r="B536" s="17" t="str">
        <f t="shared" si="3"/>
        <v/>
      </c>
      <c r="C536" s="18" t="str">
        <f t="shared" si="4"/>
        <v/>
      </c>
      <c r="D536" s="7"/>
      <c r="F536" s="7"/>
      <c r="G536" s="19" t="str">
        <f>IFERROR(__xludf.DUMMYFUNCTION("IF(OR(E536="""",F536&lt;&gt;""Barang Datang""), """",
  IFERROR(
    INDEX(
      SORT(
        FILTER(Jadwal!F:F, Jadwal!C:C=E536),
        FILTER(Jadwal!E:E, Jadwal!C:C=E536),
        FALSE
      ),
      1
    ),
    ""TIDAK ADA JADWAL""
  )
)"),"")</f>
        <v/>
      </c>
      <c r="H536" s="7" t="str">
        <f t="shared" si="2"/>
        <v/>
      </c>
      <c r="L536" s="13"/>
      <c r="M536" s="13"/>
    </row>
    <row r="537" ht="15.75" customHeight="1">
      <c r="A537" s="14" t="str">
        <f t="shared" si="1"/>
        <v/>
      </c>
      <c r="B537" s="17" t="str">
        <f t="shared" si="3"/>
        <v/>
      </c>
      <c r="C537" s="18" t="str">
        <f t="shared" si="4"/>
        <v/>
      </c>
      <c r="D537" s="7"/>
      <c r="F537" s="7"/>
      <c r="G537" s="19" t="str">
        <f>IFERROR(__xludf.DUMMYFUNCTION("IF(OR(E537="""",F537&lt;&gt;""Barang Datang""), """",
  IFERROR(
    INDEX(
      SORT(
        FILTER(Jadwal!F:F, Jadwal!C:C=E537),
        FILTER(Jadwal!E:E, Jadwal!C:C=E537),
        FALSE
      ),
      1
    ),
    ""TIDAK ADA JADWAL""
  )
)"),"")</f>
        <v/>
      </c>
      <c r="H537" s="7" t="str">
        <f t="shared" si="2"/>
        <v/>
      </c>
      <c r="L537" s="13"/>
      <c r="M537" s="13"/>
    </row>
    <row r="538" ht="15.75" customHeight="1">
      <c r="A538" s="14" t="str">
        <f t="shared" si="1"/>
        <v/>
      </c>
      <c r="B538" s="17" t="str">
        <f t="shared" si="3"/>
        <v/>
      </c>
      <c r="C538" s="18" t="str">
        <f t="shared" si="4"/>
        <v/>
      </c>
      <c r="D538" s="7"/>
      <c r="F538" s="7"/>
      <c r="G538" s="19" t="str">
        <f>IFERROR(__xludf.DUMMYFUNCTION("IF(OR(E538="""",F538&lt;&gt;""Barang Datang""), """",
  IFERROR(
    INDEX(
      SORT(
        FILTER(Jadwal!F:F, Jadwal!C:C=E538),
        FILTER(Jadwal!E:E, Jadwal!C:C=E538),
        FALSE
      ),
      1
    ),
    ""TIDAK ADA JADWAL""
  )
)"),"")</f>
        <v/>
      </c>
      <c r="H538" s="7" t="str">
        <f t="shared" si="2"/>
        <v/>
      </c>
      <c r="L538" s="13"/>
      <c r="M538" s="13"/>
    </row>
    <row r="539" ht="15.75" customHeight="1">
      <c r="A539" s="14" t="str">
        <f t="shared" si="1"/>
        <v/>
      </c>
      <c r="B539" s="17" t="str">
        <f t="shared" si="3"/>
        <v/>
      </c>
      <c r="C539" s="18" t="str">
        <f t="shared" si="4"/>
        <v/>
      </c>
      <c r="D539" s="7"/>
      <c r="F539" s="7"/>
      <c r="G539" s="19" t="str">
        <f>IFERROR(__xludf.DUMMYFUNCTION("IF(OR(E539="""",F539&lt;&gt;""Barang Datang""), """",
  IFERROR(
    INDEX(
      SORT(
        FILTER(Jadwal!F:F, Jadwal!C:C=E539),
        FILTER(Jadwal!E:E, Jadwal!C:C=E539),
        FALSE
      ),
      1
    ),
    ""TIDAK ADA JADWAL""
  )
)"),"")</f>
        <v/>
      </c>
      <c r="H539" s="7" t="str">
        <f t="shared" si="2"/>
        <v/>
      </c>
      <c r="L539" s="13"/>
      <c r="M539" s="13"/>
    </row>
    <row r="540" ht="15.75" customHeight="1">
      <c r="A540" s="14" t="str">
        <f t="shared" si="1"/>
        <v/>
      </c>
      <c r="B540" s="17" t="str">
        <f t="shared" si="3"/>
        <v/>
      </c>
      <c r="C540" s="18" t="str">
        <f t="shared" si="4"/>
        <v/>
      </c>
      <c r="D540" s="7"/>
      <c r="F540" s="7"/>
      <c r="G540" s="19" t="str">
        <f>IFERROR(__xludf.DUMMYFUNCTION("IF(OR(E540="""",F540&lt;&gt;""Barang Datang""), """",
  IFERROR(
    INDEX(
      SORT(
        FILTER(Jadwal!F:F, Jadwal!C:C=E540),
        FILTER(Jadwal!E:E, Jadwal!C:C=E540),
        FALSE
      ),
      1
    ),
    ""TIDAK ADA JADWAL""
  )
)"),"")</f>
        <v/>
      </c>
      <c r="H540" s="7" t="str">
        <f t="shared" si="2"/>
        <v/>
      </c>
      <c r="L540" s="13"/>
      <c r="M540" s="13"/>
    </row>
    <row r="541" ht="15.75" customHeight="1">
      <c r="A541" s="14" t="str">
        <f t="shared" si="1"/>
        <v/>
      </c>
      <c r="B541" s="17" t="str">
        <f t="shared" si="3"/>
        <v/>
      </c>
      <c r="C541" s="18" t="str">
        <f t="shared" si="4"/>
        <v/>
      </c>
      <c r="D541" s="7"/>
      <c r="F541" s="7"/>
      <c r="G541" s="19" t="str">
        <f>IFERROR(__xludf.DUMMYFUNCTION("IF(OR(E541="""",F541&lt;&gt;""Barang Datang""), """",
  IFERROR(
    INDEX(
      SORT(
        FILTER(Jadwal!F:F, Jadwal!C:C=E541),
        FILTER(Jadwal!E:E, Jadwal!C:C=E541),
        FALSE
      ),
      1
    ),
    ""TIDAK ADA JADWAL""
  )
)"),"")</f>
        <v/>
      </c>
      <c r="H541" s="7" t="str">
        <f t="shared" si="2"/>
        <v/>
      </c>
      <c r="L541" s="13"/>
      <c r="M541" s="13"/>
    </row>
    <row r="542" ht="15.75" customHeight="1">
      <c r="A542" s="14" t="str">
        <f t="shared" si="1"/>
        <v/>
      </c>
      <c r="B542" s="17" t="str">
        <f t="shared" si="3"/>
        <v/>
      </c>
      <c r="C542" s="18" t="str">
        <f t="shared" si="4"/>
        <v/>
      </c>
      <c r="D542" s="7"/>
      <c r="F542" s="7"/>
      <c r="G542" s="19" t="str">
        <f>IFERROR(__xludf.DUMMYFUNCTION("IF(OR(E542="""",F542&lt;&gt;""Barang Datang""), """",
  IFERROR(
    INDEX(
      SORT(
        FILTER(Jadwal!F:F, Jadwal!C:C=E542),
        FILTER(Jadwal!E:E, Jadwal!C:C=E542),
        FALSE
      ),
      1
    ),
    ""TIDAK ADA JADWAL""
  )
)"),"")</f>
        <v/>
      </c>
      <c r="H542" s="7" t="str">
        <f t="shared" si="2"/>
        <v/>
      </c>
      <c r="L542" s="13"/>
      <c r="M542" s="13"/>
    </row>
    <row r="543" ht="15.75" customHeight="1">
      <c r="A543" s="14" t="str">
        <f t="shared" si="1"/>
        <v/>
      </c>
      <c r="B543" s="17" t="str">
        <f t="shared" si="3"/>
        <v/>
      </c>
      <c r="C543" s="18" t="str">
        <f t="shared" si="4"/>
        <v/>
      </c>
      <c r="D543" s="7"/>
      <c r="F543" s="7"/>
      <c r="G543" s="19" t="str">
        <f>IFERROR(__xludf.DUMMYFUNCTION("IF(OR(E543="""",F543&lt;&gt;""Barang Datang""), """",
  IFERROR(
    INDEX(
      SORT(
        FILTER(Jadwal!F:F, Jadwal!C:C=E543),
        FILTER(Jadwal!E:E, Jadwal!C:C=E543),
        FALSE
      ),
      1
    ),
    ""TIDAK ADA JADWAL""
  )
)"),"")</f>
        <v/>
      </c>
      <c r="H543" s="7" t="str">
        <f t="shared" si="2"/>
        <v/>
      </c>
      <c r="L543" s="13"/>
      <c r="M543" s="13"/>
    </row>
    <row r="544" ht="15.75" customHeight="1">
      <c r="A544" s="14" t="str">
        <f t="shared" si="1"/>
        <v/>
      </c>
      <c r="B544" s="17" t="str">
        <f t="shared" si="3"/>
        <v/>
      </c>
      <c r="C544" s="18" t="str">
        <f t="shared" si="4"/>
        <v/>
      </c>
      <c r="D544" s="7"/>
      <c r="F544" s="7"/>
      <c r="G544" s="19" t="str">
        <f>IFERROR(__xludf.DUMMYFUNCTION("IF(OR(E544="""",F544&lt;&gt;""Barang Datang""), """",
  IFERROR(
    INDEX(
      SORT(
        FILTER(Jadwal!F:F, Jadwal!C:C=E544),
        FILTER(Jadwal!E:E, Jadwal!C:C=E544),
        FALSE
      ),
      1
    ),
    ""TIDAK ADA JADWAL""
  )
)"),"")</f>
        <v/>
      </c>
      <c r="H544" s="7" t="str">
        <f t="shared" si="2"/>
        <v/>
      </c>
      <c r="L544" s="13"/>
      <c r="M544" s="13"/>
    </row>
    <row r="545" ht="15.75" customHeight="1">
      <c r="A545" s="14" t="str">
        <f t="shared" si="1"/>
        <v/>
      </c>
      <c r="B545" s="17" t="str">
        <f t="shared" si="3"/>
        <v/>
      </c>
      <c r="C545" s="18" t="str">
        <f t="shared" si="4"/>
        <v/>
      </c>
      <c r="D545" s="7"/>
      <c r="F545" s="7"/>
      <c r="G545" s="19" t="str">
        <f>IFERROR(__xludf.DUMMYFUNCTION("IF(OR(E545="""",F545&lt;&gt;""Barang Datang""), """",
  IFERROR(
    INDEX(
      SORT(
        FILTER(Jadwal!F:F, Jadwal!C:C=E545),
        FILTER(Jadwal!E:E, Jadwal!C:C=E545),
        FALSE
      ),
      1
    ),
    ""TIDAK ADA JADWAL""
  )
)"),"")</f>
        <v/>
      </c>
      <c r="H545" s="7" t="str">
        <f t="shared" si="2"/>
        <v/>
      </c>
      <c r="L545" s="13"/>
      <c r="M545" s="13"/>
    </row>
    <row r="546" ht="15.75" customHeight="1">
      <c r="A546" s="14" t="str">
        <f t="shared" si="1"/>
        <v/>
      </c>
      <c r="B546" s="17" t="str">
        <f t="shared" si="3"/>
        <v/>
      </c>
      <c r="C546" s="18" t="str">
        <f t="shared" si="4"/>
        <v/>
      </c>
      <c r="D546" s="7"/>
      <c r="F546" s="7"/>
      <c r="G546" s="19" t="str">
        <f>IFERROR(__xludf.DUMMYFUNCTION("IF(OR(E546="""",F546&lt;&gt;""Barang Datang""), """",
  IFERROR(
    INDEX(
      SORT(
        FILTER(Jadwal!F:F, Jadwal!C:C=E546),
        FILTER(Jadwal!E:E, Jadwal!C:C=E546),
        FALSE
      ),
      1
    ),
    ""TIDAK ADA JADWAL""
  )
)"),"")</f>
        <v/>
      </c>
      <c r="H546" s="7" t="str">
        <f t="shared" si="2"/>
        <v/>
      </c>
      <c r="L546" s="13"/>
      <c r="M546" s="13"/>
    </row>
    <row r="547" ht="15.75" customHeight="1">
      <c r="A547" s="14" t="str">
        <f t="shared" si="1"/>
        <v/>
      </c>
      <c r="B547" s="17" t="str">
        <f t="shared" si="3"/>
        <v/>
      </c>
      <c r="C547" s="18" t="str">
        <f t="shared" si="4"/>
        <v/>
      </c>
      <c r="D547" s="7"/>
      <c r="F547" s="7"/>
      <c r="G547" s="19" t="str">
        <f>IFERROR(__xludf.DUMMYFUNCTION("IF(OR(E547="""",F547&lt;&gt;""Barang Datang""), """",
  IFERROR(
    INDEX(
      SORT(
        FILTER(Jadwal!F:F, Jadwal!C:C=E547),
        FILTER(Jadwal!E:E, Jadwal!C:C=E547),
        FALSE
      ),
      1
    ),
    ""TIDAK ADA JADWAL""
  )
)"),"")</f>
        <v/>
      </c>
      <c r="H547" s="7" t="str">
        <f t="shared" si="2"/>
        <v/>
      </c>
      <c r="L547" s="13"/>
      <c r="M547" s="13"/>
    </row>
    <row r="548" ht="15.75" customHeight="1">
      <c r="A548" s="14" t="str">
        <f t="shared" si="1"/>
        <v/>
      </c>
      <c r="B548" s="17" t="str">
        <f t="shared" si="3"/>
        <v/>
      </c>
      <c r="C548" s="18" t="str">
        <f t="shared" si="4"/>
        <v/>
      </c>
      <c r="D548" s="7"/>
      <c r="F548" s="7"/>
      <c r="G548" s="19" t="str">
        <f>IFERROR(__xludf.DUMMYFUNCTION("IF(OR(E548="""",F548&lt;&gt;""Barang Datang""), """",
  IFERROR(
    INDEX(
      SORT(
        FILTER(Jadwal!F:F, Jadwal!C:C=E548),
        FILTER(Jadwal!E:E, Jadwal!C:C=E548),
        FALSE
      ),
      1
    ),
    ""TIDAK ADA JADWAL""
  )
)"),"")</f>
        <v/>
      </c>
      <c r="H548" s="7" t="str">
        <f t="shared" si="2"/>
        <v/>
      </c>
      <c r="L548" s="13"/>
      <c r="M548" s="13"/>
    </row>
    <row r="549" ht="15.75" customHeight="1">
      <c r="A549" s="14" t="str">
        <f t="shared" si="1"/>
        <v/>
      </c>
      <c r="B549" s="17" t="str">
        <f t="shared" si="3"/>
        <v/>
      </c>
      <c r="C549" s="18" t="str">
        <f t="shared" si="4"/>
        <v/>
      </c>
      <c r="D549" s="7"/>
      <c r="F549" s="7"/>
      <c r="G549" s="19" t="str">
        <f>IFERROR(__xludf.DUMMYFUNCTION("IF(OR(E549="""",F549&lt;&gt;""Barang Datang""), """",
  IFERROR(
    INDEX(
      SORT(
        FILTER(Jadwal!F:F, Jadwal!C:C=E549),
        FILTER(Jadwal!E:E, Jadwal!C:C=E549),
        FALSE
      ),
      1
    ),
    ""TIDAK ADA JADWAL""
  )
)"),"")</f>
        <v/>
      </c>
      <c r="H549" s="7" t="str">
        <f t="shared" si="2"/>
        <v/>
      </c>
      <c r="L549" s="13"/>
      <c r="M549" s="13"/>
    </row>
    <row r="550" ht="15.75" customHeight="1">
      <c r="A550" s="14" t="str">
        <f t="shared" si="1"/>
        <v/>
      </c>
      <c r="B550" s="17" t="str">
        <f t="shared" si="3"/>
        <v/>
      </c>
      <c r="C550" s="18" t="str">
        <f t="shared" si="4"/>
        <v/>
      </c>
      <c r="D550" s="7"/>
      <c r="F550" s="7"/>
      <c r="G550" s="19" t="str">
        <f>IFERROR(__xludf.DUMMYFUNCTION("IF(OR(E550="""",F550&lt;&gt;""Barang Datang""), """",
  IFERROR(
    INDEX(
      SORT(
        FILTER(Jadwal!F:F, Jadwal!C:C=E550),
        FILTER(Jadwal!E:E, Jadwal!C:C=E550),
        FALSE
      ),
      1
    ),
    ""TIDAK ADA JADWAL""
  )
)"),"")</f>
        <v/>
      </c>
      <c r="H550" s="7" t="str">
        <f t="shared" si="2"/>
        <v/>
      </c>
      <c r="L550" s="13"/>
      <c r="M550" s="13"/>
    </row>
    <row r="551" ht="15.75" customHeight="1">
      <c r="A551" s="14" t="str">
        <f t="shared" si="1"/>
        <v/>
      </c>
      <c r="B551" s="17" t="str">
        <f t="shared" si="3"/>
        <v/>
      </c>
      <c r="C551" s="18" t="str">
        <f t="shared" si="4"/>
        <v/>
      </c>
      <c r="D551" s="7"/>
      <c r="F551" s="7"/>
      <c r="G551" s="19" t="str">
        <f>IFERROR(__xludf.DUMMYFUNCTION("IF(OR(E551="""",F551&lt;&gt;""Barang Datang""), """",
  IFERROR(
    INDEX(
      SORT(
        FILTER(Jadwal!F:F, Jadwal!C:C=E551),
        FILTER(Jadwal!E:E, Jadwal!C:C=E551),
        FALSE
      ),
      1
    ),
    ""TIDAK ADA JADWAL""
  )
)"),"")</f>
        <v/>
      </c>
      <c r="H551" s="7" t="str">
        <f t="shared" si="2"/>
        <v/>
      </c>
      <c r="L551" s="13"/>
      <c r="M551" s="13"/>
    </row>
    <row r="552" ht="15.75" customHeight="1">
      <c r="A552" s="14" t="str">
        <f t="shared" si="1"/>
        <v/>
      </c>
      <c r="B552" s="17" t="str">
        <f t="shared" si="3"/>
        <v/>
      </c>
      <c r="C552" s="18" t="str">
        <f t="shared" si="4"/>
        <v/>
      </c>
      <c r="D552" s="7"/>
      <c r="F552" s="7"/>
      <c r="G552" s="19" t="str">
        <f>IFERROR(__xludf.DUMMYFUNCTION("IF(OR(E552="""",F552&lt;&gt;""Barang Datang""), """",
  IFERROR(
    INDEX(
      SORT(
        FILTER(Jadwal!F:F, Jadwal!C:C=E552),
        FILTER(Jadwal!E:E, Jadwal!C:C=E552),
        FALSE
      ),
      1
    ),
    ""TIDAK ADA JADWAL""
  )
)"),"")</f>
        <v/>
      </c>
      <c r="H552" s="7" t="str">
        <f t="shared" si="2"/>
        <v/>
      </c>
      <c r="L552" s="13"/>
      <c r="M552" s="13"/>
    </row>
    <row r="553" ht="15.75" customHeight="1">
      <c r="A553" s="14" t="str">
        <f t="shared" si="1"/>
        <v/>
      </c>
      <c r="B553" s="17" t="str">
        <f t="shared" si="3"/>
        <v/>
      </c>
      <c r="C553" s="18" t="str">
        <f t="shared" si="4"/>
        <v/>
      </c>
      <c r="D553" s="7"/>
      <c r="F553" s="7"/>
      <c r="G553" s="19" t="str">
        <f>IFERROR(__xludf.DUMMYFUNCTION("IF(OR(E553="""",F553&lt;&gt;""Barang Datang""), """",
  IFERROR(
    INDEX(
      SORT(
        FILTER(Jadwal!F:F, Jadwal!C:C=E553),
        FILTER(Jadwal!E:E, Jadwal!C:C=E553),
        FALSE
      ),
      1
    ),
    ""TIDAK ADA JADWAL""
  )
)"),"")</f>
        <v/>
      </c>
      <c r="H553" s="7" t="str">
        <f t="shared" si="2"/>
        <v/>
      </c>
      <c r="L553" s="13"/>
      <c r="M553" s="13"/>
    </row>
    <row r="554" ht="15.75" customHeight="1">
      <c r="A554" s="14" t="str">
        <f t="shared" si="1"/>
        <v/>
      </c>
      <c r="B554" s="17" t="str">
        <f t="shared" si="3"/>
        <v/>
      </c>
      <c r="C554" s="18" t="str">
        <f t="shared" si="4"/>
        <v/>
      </c>
      <c r="D554" s="7"/>
      <c r="F554" s="7"/>
      <c r="G554" s="19" t="str">
        <f>IFERROR(__xludf.DUMMYFUNCTION("IF(OR(E554="""",F554&lt;&gt;""Barang Datang""), """",
  IFERROR(
    INDEX(
      SORT(
        FILTER(Jadwal!F:F, Jadwal!C:C=E554),
        FILTER(Jadwal!E:E, Jadwal!C:C=E554),
        FALSE
      ),
      1
    ),
    ""TIDAK ADA JADWAL""
  )
)"),"")</f>
        <v/>
      </c>
      <c r="H554" s="7" t="str">
        <f t="shared" si="2"/>
        <v/>
      </c>
      <c r="L554" s="13"/>
      <c r="M554" s="13"/>
    </row>
    <row r="555" ht="15.75" customHeight="1">
      <c r="A555" s="14" t="str">
        <f t="shared" si="1"/>
        <v/>
      </c>
      <c r="B555" s="17" t="str">
        <f t="shared" si="3"/>
        <v/>
      </c>
      <c r="C555" s="18" t="str">
        <f t="shared" si="4"/>
        <v/>
      </c>
      <c r="D555" s="7"/>
      <c r="F555" s="7"/>
      <c r="G555" s="19" t="str">
        <f>IFERROR(__xludf.DUMMYFUNCTION("IF(OR(E555="""",F555&lt;&gt;""Barang Datang""), """",
  IFERROR(
    INDEX(
      SORT(
        FILTER(Jadwal!F:F, Jadwal!C:C=E555),
        FILTER(Jadwal!E:E, Jadwal!C:C=E555),
        FALSE
      ),
      1
    ),
    ""TIDAK ADA JADWAL""
  )
)"),"")</f>
        <v/>
      </c>
      <c r="H555" s="7" t="str">
        <f t="shared" si="2"/>
        <v/>
      </c>
      <c r="L555" s="13"/>
      <c r="M555" s="13"/>
    </row>
    <row r="556" ht="15.75" customHeight="1">
      <c r="A556" s="14" t="str">
        <f t="shared" si="1"/>
        <v/>
      </c>
      <c r="B556" s="17" t="str">
        <f t="shared" si="3"/>
        <v/>
      </c>
      <c r="C556" s="18" t="str">
        <f t="shared" si="4"/>
        <v/>
      </c>
      <c r="D556" s="7"/>
      <c r="F556" s="7"/>
      <c r="G556" s="19" t="str">
        <f>IFERROR(__xludf.DUMMYFUNCTION("IF(OR(E556="""",F556&lt;&gt;""Barang Datang""), """",
  IFERROR(
    INDEX(
      SORT(
        FILTER(Jadwal!F:F, Jadwal!C:C=E556),
        FILTER(Jadwal!E:E, Jadwal!C:C=E556),
        FALSE
      ),
      1
    ),
    ""TIDAK ADA JADWAL""
  )
)"),"")</f>
        <v/>
      </c>
      <c r="H556" s="7" t="str">
        <f t="shared" si="2"/>
        <v/>
      </c>
      <c r="L556" s="13"/>
      <c r="M556" s="13"/>
    </row>
    <row r="557" ht="15.75" customHeight="1">
      <c r="A557" s="14" t="str">
        <f t="shared" si="1"/>
        <v/>
      </c>
      <c r="B557" s="17" t="str">
        <f t="shared" si="3"/>
        <v/>
      </c>
      <c r="C557" s="18" t="str">
        <f t="shared" si="4"/>
        <v/>
      </c>
      <c r="D557" s="7"/>
      <c r="F557" s="7"/>
      <c r="G557" s="19" t="str">
        <f>IFERROR(__xludf.DUMMYFUNCTION("IF(OR(E557="""",F557&lt;&gt;""Barang Datang""), """",
  IFERROR(
    INDEX(
      SORT(
        FILTER(Jadwal!F:F, Jadwal!C:C=E557),
        FILTER(Jadwal!E:E, Jadwal!C:C=E557),
        FALSE
      ),
      1
    ),
    ""TIDAK ADA JADWAL""
  )
)"),"")</f>
        <v/>
      </c>
      <c r="H557" s="7" t="str">
        <f t="shared" si="2"/>
        <v/>
      </c>
      <c r="L557" s="13"/>
      <c r="M557" s="13"/>
    </row>
    <row r="558" ht="15.75" customHeight="1">
      <c r="A558" s="14" t="str">
        <f t="shared" si="1"/>
        <v/>
      </c>
      <c r="B558" s="17" t="str">
        <f t="shared" si="3"/>
        <v/>
      </c>
      <c r="C558" s="18" t="str">
        <f t="shared" si="4"/>
        <v/>
      </c>
      <c r="D558" s="7"/>
      <c r="F558" s="7"/>
      <c r="G558" s="19" t="str">
        <f>IFERROR(__xludf.DUMMYFUNCTION("IF(OR(E558="""",F558&lt;&gt;""Barang Datang""), """",
  IFERROR(
    INDEX(
      SORT(
        FILTER(Jadwal!F:F, Jadwal!C:C=E558),
        FILTER(Jadwal!E:E, Jadwal!C:C=E558),
        FALSE
      ),
      1
    ),
    ""TIDAK ADA JADWAL""
  )
)"),"")</f>
        <v/>
      </c>
      <c r="H558" s="7" t="str">
        <f t="shared" si="2"/>
        <v/>
      </c>
      <c r="L558" s="13"/>
      <c r="M558" s="13"/>
    </row>
    <row r="559" ht="15.75" customHeight="1">
      <c r="A559" s="14" t="str">
        <f t="shared" si="1"/>
        <v/>
      </c>
      <c r="B559" s="17" t="str">
        <f t="shared" si="3"/>
        <v/>
      </c>
      <c r="C559" s="18" t="str">
        <f t="shared" si="4"/>
        <v/>
      </c>
      <c r="D559" s="7"/>
      <c r="F559" s="7"/>
      <c r="G559" s="19" t="str">
        <f>IFERROR(__xludf.DUMMYFUNCTION("IF(OR(E559="""",F559&lt;&gt;""Barang Datang""), """",
  IFERROR(
    INDEX(
      SORT(
        FILTER(Jadwal!F:F, Jadwal!C:C=E559),
        FILTER(Jadwal!E:E, Jadwal!C:C=E559),
        FALSE
      ),
      1
    ),
    ""TIDAK ADA JADWAL""
  )
)"),"")</f>
        <v/>
      </c>
      <c r="H559" s="7" t="str">
        <f t="shared" si="2"/>
        <v/>
      </c>
      <c r="L559" s="13"/>
      <c r="M559" s="13"/>
    </row>
    <row r="560" ht="15.75" customHeight="1">
      <c r="A560" s="14" t="str">
        <f t="shared" si="1"/>
        <v/>
      </c>
      <c r="B560" s="17" t="str">
        <f t="shared" si="3"/>
        <v/>
      </c>
      <c r="C560" s="18" t="str">
        <f t="shared" si="4"/>
        <v/>
      </c>
      <c r="D560" s="7"/>
      <c r="F560" s="7"/>
      <c r="G560" s="19" t="str">
        <f>IFERROR(__xludf.DUMMYFUNCTION("IF(OR(E560="""",F560&lt;&gt;""Barang Datang""), """",
  IFERROR(
    INDEX(
      SORT(
        FILTER(Jadwal!F:F, Jadwal!C:C=E560),
        FILTER(Jadwal!E:E, Jadwal!C:C=E560),
        FALSE
      ),
      1
    ),
    ""TIDAK ADA JADWAL""
  )
)"),"")</f>
        <v/>
      </c>
      <c r="H560" s="7" t="str">
        <f t="shared" si="2"/>
        <v/>
      </c>
      <c r="L560" s="13"/>
      <c r="M560" s="13"/>
    </row>
    <row r="561" ht="15.75" customHeight="1">
      <c r="A561" s="14" t="str">
        <f t="shared" si="1"/>
        <v/>
      </c>
      <c r="B561" s="17" t="str">
        <f t="shared" si="3"/>
        <v/>
      </c>
      <c r="C561" s="18" t="str">
        <f t="shared" si="4"/>
        <v/>
      </c>
      <c r="D561" s="7"/>
      <c r="F561" s="7"/>
      <c r="G561" s="19" t="str">
        <f>IFERROR(__xludf.DUMMYFUNCTION("IF(OR(E561="""",F561&lt;&gt;""Barang Datang""), """",
  IFERROR(
    INDEX(
      SORT(
        FILTER(Jadwal!F:F, Jadwal!C:C=E561),
        FILTER(Jadwal!E:E, Jadwal!C:C=E561),
        FALSE
      ),
      1
    ),
    ""TIDAK ADA JADWAL""
  )
)"),"")</f>
        <v/>
      </c>
      <c r="H561" s="7" t="str">
        <f t="shared" si="2"/>
        <v/>
      </c>
      <c r="L561" s="13"/>
      <c r="M561" s="13"/>
    </row>
    <row r="562" ht="15.75" customHeight="1">
      <c r="A562" s="14" t="str">
        <f t="shared" si="1"/>
        <v/>
      </c>
      <c r="B562" s="17" t="str">
        <f t="shared" si="3"/>
        <v/>
      </c>
      <c r="C562" s="18" t="str">
        <f t="shared" si="4"/>
        <v/>
      </c>
      <c r="D562" s="7"/>
      <c r="F562" s="7"/>
      <c r="G562" s="19" t="str">
        <f>IFERROR(__xludf.DUMMYFUNCTION("IF(OR(E562="""",F562&lt;&gt;""Barang Datang""), """",
  IFERROR(
    INDEX(
      SORT(
        FILTER(Jadwal!F:F, Jadwal!C:C=E562),
        FILTER(Jadwal!E:E, Jadwal!C:C=E562),
        FALSE
      ),
      1
    ),
    ""TIDAK ADA JADWAL""
  )
)"),"")</f>
        <v/>
      </c>
      <c r="H562" s="7" t="str">
        <f t="shared" si="2"/>
        <v/>
      </c>
      <c r="L562" s="13"/>
      <c r="M562" s="13"/>
    </row>
    <row r="563" ht="15.75" customHeight="1">
      <c r="A563" s="14" t="str">
        <f t="shared" si="1"/>
        <v/>
      </c>
      <c r="B563" s="17" t="str">
        <f t="shared" si="3"/>
        <v/>
      </c>
      <c r="C563" s="18" t="str">
        <f t="shared" si="4"/>
        <v/>
      </c>
      <c r="D563" s="7"/>
      <c r="F563" s="7"/>
      <c r="G563" s="19" t="str">
        <f>IFERROR(__xludf.DUMMYFUNCTION("IF(OR(E563="""",F563&lt;&gt;""Barang Datang""), """",
  IFERROR(
    INDEX(
      SORT(
        FILTER(Jadwal!F:F, Jadwal!C:C=E563),
        FILTER(Jadwal!E:E, Jadwal!C:C=E563),
        FALSE
      ),
      1
    ),
    ""TIDAK ADA JADWAL""
  )
)"),"")</f>
        <v/>
      </c>
      <c r="H563" s="7" t="str">
        <f t="shared" si="2"/>
        <v/>
      </c>
      <c r="L563" s="13"/>
      <c r="M563" s="13"/>
    </row>
    <row r="564" ht="15.75" customHeight="1">
      <c r="A564" s="14" t="str">
        <f t="shared" si="1"/>
        <v/>
      </c>
      <c r="B564" s="17" t="str">
        <f t="shared" si="3"/>
        <v/>
      </c>
      <c r="C564" s="18" t="str">
        <f t="shared" si="4"/>
        <v/>
      </c>
      <c r="D564" s="7"/>
      <c r="F564" s="7"/>
      <c r="G564" s="19" t="str">
        <f>IFERROR(__xludf.DUMMYFUNCTION("IF(OR(E564="""",F564&lt;&gt;""Barang Datang""), """",
  IFERROR(
    INDEX(
      SORT(
        FILTER(Jadwal!F:F, Jadwal!C:C=E564),
        FILTER(Jadwal!E:E, Jadwal!C:C=E564),
        FALSE
      ),
      1
    ),
    ""TIDAK ADA JADWAL""
  )
)"),"")</f>
        <v/>
      </c>
      <c r="H564" s="7" t="str">
        <f t="shared" si="2"/>
        <v/>
      </c>
      <c r="L564" s="13"/>
      <c r="M564" s="13"/>
    </row>
    <row r="565" ht="15.75" customHeight="1">
      <c r="A565" s="14" t="str">
        <f t="shared" si="1"/>
        <v/>
      </c>
      <c r="B565" s="17" t="str">
        <f t="shared" si="3"/>
        <v/>
      </c>
      <c r="C565" s="18" t="str">
        <f t="shared" si="4"/>
        <v/>
      </c>
      <c r="D565" s="7"/>
      <c r="F565" s="7"/>
      <c r="G565" s="19" t="str">
        <f>IFERROR(__xludf.DUMMYFUNCTION("IF(OR(E565="""",F565&lt;&gt;""Barang Datang""), """",
  IFERROR(
    INDEX(
      SORT(
        FILTER(Jadwal!F:F, Jadwal!C:C=E565),
        FILTER(Jadwal!E:E, Jadwal!C:C=E565),
        FALSE
      ),
      1
    ),
    ""TIDAK ADA JADWAL""
  )
)"),"")</f>
        <v/>
      </c>
      <c r="H565" s="7" t="str">
        <f t="shared" si="2"/>
        <v/>
      </c>
      <c r="L565" s="13"/>
      <c r="M565" s="13"/>
    </row>
    <row r="566" ht="15.75" customHeight="1">
      <c r="A566" s="14" t="str">
        <f t="shared" si="1"/>
        <v/>
      </c>
      <c r="B566" s="17" t="str">
        <f t="shared" si="3"/>
        <v/>
      </c>
      <c r="C566" s="18" t="str">
        <f t="shared" si="4"/>
        <v/>
      </c>
      <c r="D566" s="7"/>
      <c r="F566" s="7"/>
      <c r="G566" s="19" t="str">
        <f>IFERROR(__xludf.DUMMYFUNCTION("IF(OR(E566="""",F566&lt;&gt;""Barang Datang""), """",
  IFERROR(
    INDEX(
      SORT(
        FILTER(Jadwal!F:F, Jadwal!C:C=E566),
        FILTER(Jadwal!E:E, Jadwal!C:C=E566),
        FALSE
      ),
      1
    ),
    ""TIDAK ADA JADWAL""
  )
)"),"")</f>
        <v/>
      </c>
      <c r="H566" s="7" t="str">
        <f t="shared" si="2"/>
        <v/>
      </c>
      <c r="L566" s="13"/>
      <c r="M566" s="13"/>
    </row>
    <row r="567" ht="15.75" customHeight="1">
      <c r="A567" s="14" t="str">
        <f t="shared" si="1"/>
        <v/>
      </c>
      <c r="B567" s="17" t="str">
        <f t="shared" si="3"/>
        <v/>
      </c>
      <c r="C567" s="18" t="str">
        <f t="shared" si="4"/>
        <v/>
      </c>
      <c r="D567" s="7"/>
      <c r="F567" s="7"/>
      <c r="G567" s="19" t="str">
        <f>IFERROR(__xludf.DUMMYFUNCTION("IF(OR(E567="""",F567&lt;&gt;""Barang Datang""), """",
  IFERROR(
    INDEX(
      SORT(
        FILTER(Jadwal!F:F, Jadwal!C:C=E567),
        FILTER(Jadwal!E:E, Jadwal!C:C=E567),
        FALSE
      ),
      1
    ),
    ""TIDAK ADA JADWAL""
  )
)"),"")</f>
        <v/>
      </c>
      <c r="H567" s="7" t="str">
        <f t="shared" si="2"/>
        <v/>
      </c>
      <c r="L567" s="13"/>
      <c r="M567" s="13"/>
    </row>
    <row r="568" ht="15.75" customHeight="1">
      <c r="A568" s="14" t="str">
        <f t="shared" si="1"/>
        <v/>
      </c>
      <c r="B568" s="17" t="str">
        <f t="shared" si="3"/>
        <v/>
      </c>
      <c r="C568" s="18" t="str">
        <f t="shared" si="4"/>
        <v/>
      </c>
      <c r="D568" s="7"/>
      <c r="F568" s="7"/>
      <c r="G568" s="19" t="str">
        <f>IFERROR(__xludf.DUMMYFUNCTION("IF(OR(E568="""",F568&lt;&gt;""Barang Datang""), """",
  IFERROR(
    INDEX(
      SORT(
        FILTER(Jadwal!F:F, Jadwal!C:C=E568),
        FILTER(Jadwal!E:E, Jadwal!C:C=E568),
        FALSE
      ),
      1
    ),
    ""TIDAK ADA JADWAL""
  )
)"),"")</f>
        <v/>
      </c>
      <c r="H568" s="7" t="str">
        <f t="shared" si="2"/>
        <v/>
      </c>
      <c r="L568" s="13"/>
      <c r="M568" s="13"/>
    </row>
    <row r="569" ht="15.75" customHeight="1">
      <c r="A569" s="14" t="str">
        <f t="shared" si="1"/>
        <v/>
      </c>
      <c r="B569" s="17" t="str">
        <f t="shared" si="3"/>
        <v/>
      </c>
      <c r="C569" s="18" t="str">
        <f t="shared" si="4"/>
        <v/>
      </c>
      <c r="D569" s="7"/>
      <c r="F569" s="7"/>
      <c r="G569" s="19" t="str">
        <f>IFERROR(__xludf.DUMMYFUNCTION("IF(OR(E569="""",F569&lt;&gt;""Barang Datang""), """",
  IFERROR(
    INDEX(
      SORT(
        FILTER(Jadwal!F:F, Jadwal!C:C=E569),
        FILTER(Jadwal!E:E, Jadwal!C:C=E569),
        FALSE
      ),
      1
    ),
    ""TIDAK ADA JADWAL""
  )
)"),"")</f>
        <v/>
      </c>
      <c r="H569" s="7" t="str">
        <f t="shared" si="2"/>
        <v/>
      </c>
      <c r="L569" s="13"/>
      <c r="M569" s="13"/>
    </row>
    <row r="570" ht="15.75" customHeight="1">
      <c r="A570" s="14" t="str">
        <f t="shared" si="1"/>
        <v/>
      </c>
      <c r="B570" s="17" t="str">
        <f t="shared" si="3"/>
        <v/>
      </c>
      <c r="C570" s="18" t="str">
        <f t="shared" si="4"/>
        <v/>
      </c>
      <c r="D570" s="7"/>
      <c r="F570" s="7"/>
      <c r="G570" s="19" t="str">
        <f>IFERROR(__xludf.DUMMYFUNCTION("IF(OR(E570="""",F570&lt;&gt;""Barang Datang""), """",
  IFERROR(
    INDEX(
      SORT(
        FILTER(Jadwal!F:F, Jadwal!C:C=E570),
        FILTER(Jadwal!E:E, Jadwal!C:C=E570),
        FALSE
      ),
      1
    ),
    ""TIDAK ADA JADWAL""
  )
)"),"")</f>
        <v/>
      </c>
      <c r="H570" s="7" t="str">
        <f t="shared" si="2"/>
        <v/>
      </c>
      <c r="L570" s="13"/>
      <c r="M570" s="13"/>
    </row>
    <row r="571" ht="15.75" customHeight="1">
      <c r="A571" s="14" t="str">
        <f t="shared" si="1"/>
        <v/>
      </c>
      <c r="B571" s="17" t="str">
        <f t="shared" si="3"/>
        <v/>
      </c>
      <c r="C571" s="18" t="str">
        <f t="shared" si="4"/>
        <v/>
      </c>
      <c r="D571" s="7"/>
      <c r="F571" s="7"/>
      <c r="G571" s="19" t="str">
        <f>IFERROR(__xludf.DUMMYFUNCTION("IF(OR(E571="""",F571&lt;&gt;""Barang Datang""), """",
  IFERROR(
    INDEX(
      SORT(
        FILTER(Jadwal!F:F, Jadwal!C:C=E571),
        FILTER(Jadwal!E:E, Jadwal!C:C=E571),
        FALSE
      ),
      1
    ),
    ""TIDAK ADA JADWAL""
  )
)"),"")</f>
        <v/>
      </c>
      <c r="H571" s="7" t="str">
        <f t="shared" si="2"/>
        <v/>
      </c>
      <c r="L571" s="13"/>
      <c r="M571" s="13"/>
    </row>
    <row r="572" ht="15.75" customHeight="1">
      <c r="A572" s="14" t="str">
        <f t="shared" si="1"/>
        <v/>
      </c>
      <c r="B572" s="17" t="str">
        <f t="shared" si="3"/>
        <v/>
      </c>
      <c r="C572" s="18" t="str">
        <f t="shared" si="4"/>
        <v/>
      </c>
      <c r="D572" s="7"/>
      <c r="F572" s="7"/>
      <c r="G572" s="19" t="str">
        <f>IFERROR(__xludf.DUMMYFUNCTION("IF(OR(E572="""",F572&lt;&gt;""Barang Datang""), """",
  IFERROR(
    INDEX(
      SORT(
        FILTER(Jadwal!F:F, Jadwal!C:C=E572),
        FILTER(Jadwal!E:E, Jadwal!C:C=E572),
        FALSE
      ),
      1
    ),
    ""TIDAK ADA JADWAL""
  )
)"),"")</f>
        <v/>
      </c>
      <c r="H572" s="7" t="str">
        <f t="shared" si="2"/>
        <v/>
      </c>
      <c r="L572" s="13"/>
      <c r="M572" s="13"/>
    </row>
    <row r="573" ht="15.75" customHeight="1">
      <c r="A573" s="14" t="str">
        <f t="shared" si="1"/>
        <v/>
      </c>
      <c r="B573" s="17" t="str">
        <f t="shared" si="3"/>
        <v/>
      </c>
      <c r="C573" s="18" t="str">
        <f t="shared" si="4"/>
        <v/>
      </c>
      <c r="D573" s="7"/>
      <c r="F573" s="7"/>
      <c r="G573" s="19" t="str">
        <f>IFERROR(__xludf.DUMMYFUNCTION("IF(OR(E573="""",F573&lt;&gt;""Barang Datang""), """",
  IFERROR(
    INDEX(
      SORT(
        FILTER(Jadwal!F:F, Jadwal!C:C=E573),
        FILTER(Jadwal!E:E, Jadwal!C:C=E573),
        FALSE
      ),
      1
    ),
    ""TIDAK ADA JADWAL""
  )
)"),"")</f>
        <v/>
      </c>
      <c r="H573" s="7" t="str">
        <f t="shared" si="2"/>
        <v/>
      </c>
      <c r="L573" s="13"/>
      <c r="M573" s="13"/>
    </row>
    <row r="574" ht="15.75" customHeight="1">
      <c r="A574" s="14" t="str">
        <f t="shared" si="1"/>
        <v/>
      </c>
      <c r="B574" s="17" t="str">
        <f t="shared" si="3"/>
        <v/>
      </c>
      <c r="C574" s="18" t="str">
        <f t="shared" si="4"/>
        <v/>
      </c>
      <c r="D574" s="7"/>
      <c r="F574" s="7"/>
      <c r="G574" s="19" t="str">
        <f>IFERROR(__xludf.DUMMYFUNCTION("IF(OR(E574="""",F574&lt;&gt;""Barang Datang""), """",
  IFERROR(
    INDEX(
      SORT(
        FILTER(Jadwal!F:F, Jadwal!C:C=E574),
        FILTER(Jadwal!E:E, Jadwal!C:C=E574),
        FALSE
      ),
      1
    ),
    ""TIDAK ADA JADWAL""
  )
)"),"")</f>
        <v/>
      </c>
      <c r="H574" s="7" t="str">
        <f t="shared" si="2"/>
        <v/>
      </c>
      <c r="L574" s="13"/>
      <c r="M574" s="13"/>
    </row>
    <row r="575" ht="15.75" customHeight="1">
      <c r="A575" s="14" t="str">
        <f t="shared" si="1"/>
        <v/>
      </c>
      <c r="B575" s="17" t="str">
        <f t="shared" si="3"/>
        <v/>
      </c>
      <c r="C575" s="18" t="str">
        <f t="shared" si="4"/>
        <v/>
      </c>
      <c r="D575" s="7"/>
      <c r="F575" s="7"/>
      <c r="G575" s="19" t="str">
        <f>IFERROR(__xludf.DUMMYFUNCTION("IF(OR(E575="""",F575&lt;&gt;""Barang Datang""), """",
  IFERROR(
    INDEX(
      SORT(
        FILTER(Jadwal!F:F, Jadwal!C:C=E575),
        FILTER(Jadwal!E:E, Jadwal!C:C=E575),
        FALSE
      ),
      1
    ),
    ""TIDAK ADA JADWAL""
  )
)"),"")</f>
        <v/>
      </c>
      <c r="H575" s="7" t="str">
        <f t="shared" si="2"/>
        <v/>
      </c>
      <c r="L575" s="13"/>
      <c r="M575" s="13"/>
    </row>
    <row r="576" ht="15.75" customHeight="1">
      <c r="A576" s="14" t="str">
        <f t="shared" si="1"/>
        <v/>
      </c>
      <c r="B576" s="17" t="str">
        <f t="shared" si="3"/>
        <v/>
      </c>
      <c r="C576" s="18" t="str">
        <f t="shared" si="4"/>
        <v/>
      </c>
      <c r="D576" s="7"/>
      <c r="F576" s="7"/>
      <c r="G576" s="19" t="str">
        <f>IFERROR(__xludf.DUMMYFUNCTION("IF(OR(E576="""",F576&lt;&gt;""Barang Datang""), """",
  IFERROR(
    INDEX(
      SORT(
        FILTER(Jadwal!F:F, Jadwal!C:C=E576),
        FILTER(Jadwal!E:E, Jadwal!C:C=E576),
        FALSE
      ),
      1
    ),
    ""TIDAK ADA JADWAL""
  )
)"),"")</f>
        <v/>
      </c>
      <c r="H576" s="7" t="str">
        <f t="shared" si="2"/>
        <v/>
      </c>
      <c r="L576" s="13"/>
      <c r="M576" s="13"/>
    </row>
    <row r="577" ht="15.75" customHeight="1">
      <c r="A577" s="14" t="str">
        <f t="shared" si="1"/>
        <v/>
      </c>
      <c r="B577" s="17" t="str">
        <f t="shared" si="3"/>
        <v/>
      </c>
      <c r="C577" s="18" t="str">
        <f t="shared" si="4"/>
        <v/>
      </c>
      <c r="D577" s="7"/>
      <c r="F577" s="7"/>
      <c r="G577" s="19" t="str">
        <f>IFERROR(__xludf.DUMMYFUNCTION("IF(OR(E577="""",F577&lt;&gt;""Barang Datang""), """",
  IFERROR(
    INDEX(
      SORT(
        FILTER(Jadwal!F:F, Jadwal!C:C=E577),
        FILTER(Jadwal!E:E, Jadwal!C:C=E577),
        FALSE
      ),
      1
    ),
    ""TIDAK ADA JADWAL""
  )
)"),"")</f>
        <v/>
      </c>
      <c r="H577" s="7" t="str">
        <f t="shared" si="2"/>
        <v/>
      </c>
      <c r="L577" s="13"/>
      <c r="M577" s="13"/>
    </row>
    <row r="578" ht="15.75" customHeight="1">
      <c r="A578" s="14" t="str">
        <f t="shared" si="1"/>
        <v/>
      </c>
      <c r="B578" s="17" t="str">
        <f t="shared" si="3"/>
        <v/>
      </c>
      <c r="C578" s="18" t="str">
        <f t="shared" si="4"/>
        <v/>
      </c>
      <c r="D578" s="7"/>
      <c r="F578" s="7"/>
      <c r="G578" s="19" t="str">
        <f>IFERROR(__xludf.DUMMYFUNCTION("IF(OR(E578="""",F578&lt;&gt;""Barang Datang""), """",
  IFERROR(
    INDEX(
      SORT(
        FILTER(Jadwal!F:F, Jadwal!C:C=E578),
        FILTER(Jadwal!E:E, Jadwal!C:C=E578),
        FALSE
      ),
      1
    ),
    ""TIDAK ADA JADWAL""
  )
)"),"")</f>
        <v/>
      </c>
      <c r="H578" s="7" t="str">
        <f t="shared" si="2"/>
        <v/>
      </c>
      <c r="L578" s="13"/>
      <c r="M578" s="13"/>
    </row>
    <row r="579" ht="15.75" customHeight="1">
      <c r="A579" s="14" t="str">
        <f t="shared" si="1"/>
        <v/>
      </c>
      <c r="B579" s="17" t="str">
        <f t="shared" si="3"/>
        <v/>
      </c>
      <c r="C579" s="18" t="str">
        <f t="shared" si="4"/>
        <v/>
      </c>
      <c r="D579" s="7"/>
      <c r="F579" s="7"/>
      <c r="G579" s="19" t="str">
        <f>IFERROR(__xludf.DUMMYFUNCTION("IF(OR(E579="""",F579&lt;&gt;""Barang Datang""), """",
  IFERROR(
    INDEX(
      SORT(
        FILTER(Jadwal!F:F, Jadwal!C:C=E579),
        FILTER(Jadwal!E:E, Jadwal!C:C=E579),
        FALSE
      ),
      1
    ),
    ""TIDAK ADA JADWAL""
  )
)"),"")</f>
        <v/>
      </c>
      <c r="H579" s="7" t="str">
        <f t="shared" si="2"/>
        <v/>
      </c>
      <c r="L579" s="13"/>
      <c r="M579" s="13"/>
    </row>
    <row r="580" ht="15.75" customHeight="1">
      <c r="A580" s="14" t="str">
        <f t="shared" si="1"/>
        <v/>
      </c>
      <c r="B580" s="17" t="str">
        <f t="shared" si="3"/>
        <v/>
      </c>
      <c r="C580" s="18" t="str">
        <f t="shared" si="4"/>
        <v/>
      </c>
      <c r="D580" s="7"/>
      <c r="F580" s="7"/>
      <c r="G580" s="19" t="str">
        <f>IFERROR(__xludf.DUMMYFUNCTION("IF(OR(E580="""",F580&lt;&gt;""Barang Datang""), """",
  IFERROR(
    INDEX(
      SORT(
        FILTER(Jadwal!F:F, Jadwal!C:C=E580),
        FILTER(Jadwal!E:E, Jadwal!C:C=E580),
        FALSE
      ),
      1
    ),
    ""TIDAK ADA JADWAL""
  )
)"),"")</f>
        <v/>
      </c>
      <c r="H580" s="7" t="str">
        <f t="shared" si="2"/>
        <v/>
      </c>
      <c r="L580" s="13"/>
      <c r="M580" s="13"/>
    </row>
    <row r="581" ht="15.75" customHeight="1">
      <c r="A581" s="14" t="str">
        <f t="shared" si="1"/>
        <v/>
      </c>
      <c r="B581" s="17" t="str">
        <f t="shared" si="3"/>
        <v/>
      </c>
      <c r="C581" s="18" t="str">
        <f t="shared" si="4"/>
        <v/>
      </c>
      <c r="D581" s="7"/>
      <c r="F581" s="7"/>
      <c r="G581" s="19" t="str">
        <f>IFERROR(__xludf.DUMMYFUNCTION("IF(OR(E581="""",F581&lt;&gt;""Barang Datang""), """",
  IFERROR(
    INDEX(
      SORT(
        FILTER(Jadwal!F:F, Jadwal!C:C=E581),
        FILTER(Jadwal!E:E, Jadwal!C:C=E581),
        FALSE
      ),
      1
    ),
    ""TIDAK ADA JADWAL""
  )
)"),"")</f>
        <v/>
      </c>
      <c r="H581" s="7" t="str">
        <f t="shared" si="2"/>
        <v/>
      </c>
      <c r="L581" s="13"/>
      <c r="M581" s="13"/>
    </row>
    <row r="582" ht="15.75" customHeight="1">
      <c r="A582" s="14" t="str">
        <f t="shared" si="1"/>
        <v/>
      </c>
      <c r="B582" s="17" t="str">
        <f t="shared" si="3"/>
        <v/>
      </c>
      <c r="C582" s="18" t="str">
        <f t="shared" si="4"/>
        <v/>
      </c>
      <c r="D582" s="7"/>
      <c r="F582" s="7"/>
      <c r="G582" s="19" t="str">
        <f>IFERROR(__xludf.DUMMYFUNCTION("IF(OR(E582="""",F582&lt;&gt;""Barang Datang""), """",
  IFERROR(
    INDEX(
      SORT(
        FILTER(Jadwal!F:F, Jadwal!C:C=E582),
        FILTER(Jadwal!E:E, Jadwal!C:C=E582),
        FALSE
      ),
      1
    ),
    ""TIDAK ADA JADWAL""
  )
)"),"")</f>
        <v/>
      </c>
      <c r="H582" s="7" t="str">
        <f t="shared" si="2"/>
        <v/>
      </c>
      <c r="L582" s="13"/>
      <c r="M582" s="13"/>
    </row>
    <row r="583" ht="15.75" customHeight="1">
      <c r="A583" s="14" t="str">
        <f t="shared" si="1"/>
        <v/>
      </c>
      <c r="B583" s="17" t="str">
        <f t="shared" si="3"/>
        <v/>
      </c>
      <c r="C583" s="18" t="str">
        <f t="shared" si="4"/>
        <v/>
      </c>
      <c r="D583" s="7"/>
      <c r="F583" s="7"/>
      <c r="G583" s="19" t="str">
        <f>IFERROR(__xludf.DUMMYFUNCTION("IF(OR(E583="""",F583&lt;&gt;""Barang Datang""), """",
  IFERROR(
    INDEX(
      SORT(
        FILTER(Jadwal!F:F, Jadwal!C:C=E583),
        FILTER(Jadwal!E:E, Jadwal!C:C=E583),
        FALSE
      ),
      1
    ),
    ""TIDAK ADA JADWAL""
  )
)"),"")</f>
        <v/>
      </c>
      <c r="H583" s="7" t="str">
        <f t="shared" si="2"/>
        <v/>
      </c>
      <c r="L583" s="13"/>
      <c r="M583" s="13"/>
    </row>
    <row r="584" ht="15.75" customHeight="1">
      <c r="A584" s="14" t="str">
        <f t="shared" si="1"/>
        <v/>
      </c>
      <c r="B584" s="17" t="str">
        <f t="shared" si="3"/>
        <v/>
      </c>
      <c r="C584" s="18" t="str">
        <f t="shared" si="4"/>
        <v/>
      </c>
      <c r="D584" s="7"/>
      <c r="F584" s="7"/>
      <c r="G584" s="19" t="str">
        <f>IFERROR(__xludf.DUMMYFUNCTION("IF(OR(E584="""",F584&lt;&gt;""Barang Datang""), """",
  IFERROR(
    INDEX(
      SORT(
        FILTER(Jadwal!F:F, Jadwal!C:C=E584),
        FILTER(Jadwal!E:E, Jadwal!C:C=E584),
        FALSE
      ),
      1
    ),
    ""TIDAK ADA JADWAL""
  )
)"),"")</f>
        <v/>
      </c>
      <c r="H584" s="7" t="str">
        <f t="shared" si="2"/>
        <v/>
      </c>
      <c r="L584" s="13"/>
      <c r="M584" s="13"/>
    </row>
    <row r="585" ht="15.75" customHeight="1">
      <c r="A585" s="14" t="str">
        <f t="shared" si="1"/>
        <v/>
      </c>
      <c r="B585" s="17" t="str">
        <f t="shared" si="3"/>
        <v/>
      </c>
      <c r="C585" s="18" t="str">
        <f t="shared" si="4"/>
        <v/>
      </c>
      <c r="D585" s="7"/>
      <c r="F585" s="7"/>
      <c r="G585" s="19" t="str">
        <f>IFERROR(__xludf.DUMMYFUNCTION("IF(OR(E585="""",F585&lt;&gt;""Barang Datang""), """",
  IFERROR(
    INDEX(
      SORT(
        FILTER(Jadwal!F:F, Jadwal!C:C=E585),
        FILTER(Jadwal!E:E, Jadwal!C:C=E585),
        FALSE
      ),
      1
    ),
    ""TIDAK ADA JADWAL""
  )
)"),"")</f>
        <v/>
      </c>
      <c r="H585" s="7" t="str">
        <f t="shared" si="2"/>
        <v/>
      </c>
      <c r="L585" s="13"/>
      <c r="M585" s="13"/>
    </row>
    <row r="586" ht="15.75" customHeight="1">
      <c r="A586" s="14" t="str">
        <f t="shared" si="1"/>
        <v/>
      </c>
      <c r="B586" s="17" t="str">
        <f t="shared" si="3"/>
        <v/>
      </c>
      <c r="C586" s="18" t="str">
        <f t="shared" si="4"/>
        <v/>
      </c>
      <c r="D586" s="7"/>
      <c r="F586" s="7"/>
      <c r="G586" s="19" t="str">
        <f>IFERROR(__xludf.DUMMYFUNCTION("IF(OR(E586="""",F586&lt;&gt;""Barang Datang""), """",
  IFERROR(
    INDEX(
      SORT(
        FILTER(Jadwal!F:F, Jadwal!C:C=E586),
        FILTER(Jadwal!E:E, Jadwal!C:C=E586),
        FALSE
      ),
      1
    ),
    ""TIDAK ADA JADWAL""
  )
)"),"")</f>
        <v/>
      </c>
      <c r="H586" s="7" t="str">
        <f t="shared" si="2"/>
        <v/>
      </c>
      <c r="L586" s="13"/>
      <c r="M586" s="13"/>
    </row>
    <row r="587" ht="15.75" customHeight="1">
      <c r="A587" s="14" t="str">
        <f t="shared" si="1"/>
        <v/>
      </c>
      <c r="B587" s="17" t="str">
        <f t="shared" si="3"/>
        <v/>
      </c>
      <c r="C587" s="18" t="str">
        <f t="shared" si="4"/>
        <v/>
      </c>
      <c r="D587" s="7"/>
      <c r="F587" s="7"/>
      <c r="G587" s="19" t="str">
        <f>IFERROR(__xludf.DUMMYFUNCTION("IF(OR(E587="""",F587&lt;&gt;""Barang Datang""), """",
  IFERROR(
    INDEX(
      SORT(
        FILTER(Jadwal!F:F, Jadwal!C:C=E587),
        FILTER(Jadwal!E:E, Jadwal!C:C=E587),
        FALSE
      ),
      1
    ),
    ""TIDAK ADA JADWAL""
  )
)"),"")</f>
        <v/>
      </c>
      <c r="H587" s="7" t="str">
        <f t="shared" si="2"/>
        <v/>
      </c>
      <c r="L587" s="13"/>
      <c r="M587" s="13"/>
    </row>
    <row r="588" ht="15.75" customHeight="1">
      <c r="A588" s="14" t="str">
        <f t="shared" si="1"/>
        <v/>
      </c>
      <c r="B588" s="17" t="str">
        <f t="shared" si="3"/>
        <v/>
      </c>
      <c r="C588" s="18" t="str">
        <f t="shared" si="4"/>
        <v/>
      </c>
      <c r="D588" s="7"/>
      <c r="F588" s="7"/>
      <c r="G588" s="19" t="str">
        <f>IFERROR(__xludf.DUMMYFUNCTION("IF(OR(E588="""",F588&lt;&gt;""Barang Datang""), """",
  IFERROR(
    INDEX(
      SORT(
        FILTER(Jadwal!F:F, Jadwal!C:C=E588),
        FILTER(Jadwal!E:E, Jadwal!C:C=E588),
        FALSE
      ),
      1
    ),
    ""TIDAK ADA JADWAL""
  )
)"),"")</f>
        <v/>
      </c>
      <c r="H588" s="7" t="str">
        <f t="shared" si="2"/>
        <v/>
      </c>
      <c r="L588" s="13"/>
      <c r="M588" s="13"/>
    </row>
    <row r="589" ht="15.75" customHeight="1">
      <c r="A589" s="14" t="str">
        <f t="shared" si="1"/>
        <v/>
      </c>
      <c r="B589" s="17" t="str">
        <f t="shared" si="3"/>
        <v/>
      </c>
      <c r="C589" s="18" t="str">
        <f t="shared" si="4"/>
        <v/>
      </c>
      <c r="D589" s="7"/>
      <c r="F589" s="7"/>
      <c r="G589" s="19" t="str">
        <f>IFERROR(__xludf.DUMMYFUNCTION("IF(OR(E589="""",F589&lt;&gt;""Barang Datang""), """",
  IFERROR(
    INDEX(
      SORT(
        FILTER(Jadwal!F:F, Jadwal!C:C=E589),
        FILTER(Jadwal!E:E, Jadwal!C:C=E589),
        FALSE
      ),
      1
    ),
    ""TIDAK ADA JADWAL""
  )
)"),"")</f>
        <v/>
      </c>
      <c r="H589" s="7" t="str">
        <f t="shared" si="2"/>
        <v/>
      </c>
      <c r="L589" s="13"/>
      <c r="M589" s="13"/>
    </row>
    <row r="590" ht="15.75" customHeight="1">
      <c r="A590" s="14" t="str">
        <f t="shared" si="1"/>
        <v/>
      </c>
      <c r="B590" s="17" t="str">
        <f t="shared" si="3"/>
        <v/>
      </c>
      <c r="C590" s="18" t="str">
        <f t="shared" si="4"/>
        <v/>
      </c>
      <c r="D590" s="7"/>
      <c r="F590" s="7"/>
      <c r="G590" s="19" t="str">
        <f>IFERROR(__xludf.DUMMYFUNCTION("IF(OR(E590="""",F590&lt;&gt;""Barang Datang""), """",
  IFERROR(
    INDEX(
      SORT(
        FILTER(Jadwal!F:F, Jadwal!C:C=E590),
        FILTER(Jadwal!E:E, Jadwal!C:C=E590),
        FALSE
      ),
      1
    ),
    ""TIDAK ADA JADWAL""
  )
)"),"")</f>
        <v/>
      </c>
      <c r="H590" s="7" t="str">
        <f t="shared" si="2"/>
        <v/>
      </c>
      <c r="L590" s="13"/>
      <c r="M590" s="13"/>
    </row>
    <row r="591" ht="15.75" customHeight="1">
      <c r="A591" s="14" t="str">
        <f t="shared" si="1"/>
        <v/>
      </c>
      <c r="B591" s="17" t="str">
        <f t="shared" si="3"/>
        <v/>
      </c>
      <c r="C591" s="18" t="str">
        <f t="shared" si="4"/>
        <v/>
      </c>
      <c r="D591" s="7"/>
      <c r="F591" s="7"/>
      <c r="G591" s="19" t="str">
        <f>IFERROR(__xludf.DUMMYFUNCTION("IF(OR(E591="""",F591&lt;&gt;""Barang Datang""), """",
  IFERROR(
    INDEX(
      SORT(
        FILTER(Jadwal!F:F, Jadwal!C:C=E591),
        FILTER(Jadwal!E:E, Jadwal!C:C=E591),
        FALSE
      ),
      1
    ),
    ""TIDAK ADA JADWAL""
  )
)"),"")</f>
        <v/>
      </c>
      <c r="H591" s="7" t="str">
        <f t="shared" si="2"/>
        <v/>
      </c>
      <c r="L591" s="13"/>
      <c r="M591" s="13"/>
    </row>
    <row r="592" ht="15.75" customHeight="1">
      <c r="A592" s="14" t="str">
        <f t="shared" si="1"/>
        <v/>
      </c>
      <c r="B592" s="17" t="str">
        <f t="shared" si="3"/>
        <v/>
      </c>
      <c r="C592" s="18" t="str">
        <f t="shared" si="4"/>
        <v/>
      </c>
      <c r="D592" s="7"/>
      <c r="F592" s="7"/>
      <c r="G592" s="19" t="str">
        <f>IFERROR(__xludf.DUMMYFUNCTION("IF(OR(E592="""",F592&lt;&gt;""Barang Datang""), """",
  IFERROR(
    INDEX(
      SORT(
        FILTER(Jadwal!F:F, Jadwal!C:C=E592),
        FILTER(Jadwal!E:E, Jadwal!C:C=E592),
        FALSE
      ),
      1
    ),
    ""TIDAK ADA JADWAL""
  )
)"),"")</f>
        <v/>
      </c>
      <c r="H592" s="7" t="str">
        <f t="shared" si="2"/>
        <v/>
      </c>
      <c r="L592" s="13"/>
      <c r="M592" s="13"/>
    </row>
    <row r="593" ht="15.75" customHeight="1">
      <c r="A593" s="14" t="str">
        <f t="shared" si="1"/>
        <v/>
      </c>
      <c r="B593" s="17" t="str">
        <f t="shared" si="3"/>
        <v/>
      </c>
      <c r="C593" s="18" t="str">
        <f t="shared" si="4"/>
        <v/>
      </c>
      <c r="D593" s="7"/>
      <c r="F593" s="7"/>
      <c r="G593" s="19" t="str">
        <f>IFERROR(__xludf.DUMMYFUNCTION("IF(OR(E593="""",F593&lt;&gt;""Barang Datang""), """",
  IFERROR(
    INDEX(
      SORT(
        FILTER(Jadwal!F:F, Jadwal!C:C=E593),
        FILTER(Jadwal!E:E, Jadwal!C:C=E593),
        FALSE
      ),
      1
    ),
    ""TIDAK ADA JADWAL""
  )
)"),"")</f>
        <v/>
      </c>
      <c r="H593" s="7" t="str">
        <f t="shared" si="2"/>
        <v/>
      </c>
      <c r="L593" s="13"/>
      <c r="M593" s="13"/>
    </row>
    <row r="594" ht="15.75" customHeight="1">
      <c r="A594" s="14" t="str">
        <f t="shared" si="1"/>
        <v/>
      </c>
      <c r="B594" s="17" t="str">
        <f t="shared" si="3"/>
        <v/>
      </c>
      <c r="C594" s="18" t="str">
        <f t="shared" si="4"/>
        <v/>
      </c>
      <c r="D594" s="7"/>
      <c r="F594" s="7"/>
      <c r="G594" s="19" t="str">
        <f>IFERROR(__xludf.DUMMYFUNCTION("IF(OR(E594="""",F594&lt;&gt;""Barang Datang""), """",
  IFERROR(
    INDEX(
      SORT(
        FILTER(Jadwal!F:F, Jadwal!C:C=E594),
        FILTER(Jadwal!E:E, Jadwal!C:C=E594),
        FALSE
      ),
      1
    ),
    ""TIDAK ADA JADWAL""
  )
)"),"")</f>
        <v/>
      </c>
      <c r="H594" s="7" t="str">
        <f t="shared" si="2"/>
        <v/>
      </c>
      <c r="L594" s="13"/>
      <c r="M594" s="13"/>
    </row>
    <row r="595" ht="15.75" customHeight="1">
      <c r="A595" s="14" t="str">
        <f t="shared" si="1"/>
        <v/>
      </c>
      <c r="B595" s="17" t="str">
        <f t="shared" si="3"/>
        <v/>
      </c>
      <c r="C595" s="18" t="str">
        <f t="shared" si="4"/>
        <v/>
      </c>
      <c r="D595" s="7"/>
      <c r="F595" s="7"/>
      <c r="G595" s="19" t="str">
        <f>IFERROR(__xludf.DUMMYFUNCTION("IF(OR(E595="""",F595&lt;&gt;""Barang Datang""), """",
  IFERROR(
    INDEX(
      SORT(
        FILTER(Jadwal!F:F, Jadwal!C:C=E595),
        FILTER(Jadwal!E:E, Jadwal!C:C=E595),
        FALSE
      ),
      1
    ),
    ""TIDAK ADA JADWAL""
  )
)"),"")</f>
        <v/>
      </c>
      <c r="H595" s="7" t="str">
        <f t="shared" si="2"/>
        <v/>
      </c>
      <c r="L595" s="13"/>
      <c r="M595" s="13"/>
    </row>
    <row r="596" ht="15.75" customHeight="1">
      <c r="A596" s="14" t="str">
        <f t="shared" si="1"/>
        <v/>
      </c>
      <c r="B596" s="17" t="str">
        <f t="shared" si="3"/>
        <v/>
      </c>
      <c r="C596" s="18" t="str">
        <f t="shared" si="4"/>
        <v/>
      </c>
      <c r="D596" s="7"/>
      <c r="F596" s="7"/>
      <c r="G596" s="19" t="str">
        <f>IFERROR(__xludf.DUMMYFUNCTION("IF(OR(E596="""",F596&lt;&gt;""Barang Datang""), """",
  IFERROR(
    INDEX(
      SORT(
        FILTER(Jadwal!F:F, Jadwal!C:C=E596),
        FILTER(Jadwal!E:E, Jadwal!C:C=E596),
        FALSE
      ),
      1
    ),
    ""TIDAK ADA JADWAL""
  )
)"),"")</f>
        <v/>
      </c>
      <c r="H596" s="7" t="str">
        <f t="shared" si="2"/>
        <v/>
      </c>
      <c r="L596" s="13"/>
      <c r="M596" s="13"/>
    </row>
    <row r="597" ht="15.75" customHeight="1">
      <c r="A597" s="14" t="str">
        <f t="shared" si="1"/>
        <v/>
      </c>
      <c r="B597" s="17" t="str">
        <f t="shared" si="3"/>
        <v/>
      </c>
      <c r="C597" s="18" t="str">
        <f t="shared" si="4"/>
        <v/>
      </c>
      <c r="D597" s="7"/>
      <c r="F597" s="7"/>
      <c r="G597" s="19" t="str">
        <f>IFERROR(__xludf.DUMMYFUNCTION("IF(OR(E597="""",F597&lt;&gt;""Barang Datang""), """",
  IFERROR(
    INDEX(
      SORT(
        FILTER(Jadwal!F:F, Jadwal!C:C=E597),
        FILTER(Jadwal!E:E, Jadwal!C:C=E597),
        FALSE
      ),
      1
    ),
    ""TIDAK ADA JADWAL""
  )
)"),"")</f>
        <v/>
      </c>
      <c r="H597" s="7" t="str">
        <f t="shared" si="2"/>
        <v/>
      </c>
      <c r="L597" s="13"/>
      <c r="M597" s="13"/>
    </row>
    <row r="598" ht="15.75" customHeight="1">
      <c r="A598" s="14" t="str">
        <f t="shared" si="1"/>
        <v/>
      </c>
      <c r="B598" s="17" t="str">
        <f t="shared" si="3"/>
        <v/>
      </c>
      <c r="C598" s="18" t="str">
        <f t="shared" si="4"/>
        <v/>
      </c>
      <c r="D598" s="7"/>
      <c r="F598" s="7"/>
      <c r="G598" s="19" t="str">
        <f>IFERROR(__xludf.DUMMYFUNCTION("IF(OR(E598="""",F598&lt;&gt;""Barang Datang""), """",
  IFERROR(
    INDEX(
      SORT(
        FILTER(Jadwal!F:F, Jadwal!C:C=E598),
        FILTER(Jadwal!E:E, Jadwal!C:C=E598),
        FALSE
      ),
      1
    ),
    ""TIDAK ADA JADWAL""
  )
)"),"")</f>
        <v/>
      </c>
      <c r="H598" s="7" t="str">
        <f t="shared" si="2"/>
        <v/>
      </c>
      <c r="L598" s="13"/>
      <c r="M598" s="13"/>
    </row>
    <row r="599" ht="15.75" customHeight="1">
      <c r="A599" s="14" t="str">
        <f t="shared" si="1"/>
        <v/>
      </c>
      <c r="B599" s="17" t="str">
        <f t="shared" si="3"/>
        <v/>
      </c>
      <c r="C599" s="18" t="str">
        <f t="shared" si="4"/>
        <v/>
      </c>
      <c r="D599" s="7"/>
      <c r="F599" s="7"/>
      <c r="G599" s="19" t="str">
        <f>IFERROR(__xludf.DUMMYFUNCTION("IF(OR(E599="""",F599&lt;&gt;""Barang Datang""), """",
  IFERROR(
    INDEX(
      SORT(
        FILTER(Jadwal!F:F, Jadwal!C:C=E599),
        FILTER(Jadwal!E:E, Jadwal!C:C=E599),
        FALSE
      ),
      1
    ),
    ""TIDAK ADA JADWAL""
  )
)"),"")</f>
        <v/>
      </c>
      <c r="H599" s="7" t="str">
        <f t="shared" si="2"/>
        <v/>
      </c>
      <c r="L599" s="13"/>
      <c r="M599" s="13"/>
    </row>
    <row r="600" ht="15.75" customHeight="1">
      <c r="A600" s="14" t="str">
        <f t="shared" si="1"/>
        <v/>
      </c>
      <c r="B600" s="17" t="str">
        <f t="shared" si="3"/>
        <v/>
      </c>
      <c r="C600" s="18" t="str">
        <f t="shared" si="4"/>
        <v/>
      </c>
      <c r="D600" s="7"/>
      <c r="F600" s="7"/>
      <c r="G600" s="19" t="str">
        <f>IFERROR(__xludf.DUMMYFUNCTION("IF(OR(E600="""",F600&lt;&gt;""Barang Datang""), """",
  IFERROR(
    INDEX(
      SORT(
        FILTER(Jadwal!F:F, Jadwal!C:C=E600),
        FILTER(Jadwal!E:E, Jadwal!C:C=E600),
        FALSE
      ),
      1
    ),
    ""TIDAK ADA JADWAL""
  )
)"),"")</f>
        <v/>
      </c>
      <c r="H600" s="7" t="str">
        <f t="shared" si="2"/>
        <v/>
      </c>
      <c r="L600" s="13"/>
      <c r="M600" s="13"/>
    </row>
    <row r="601" ht="15.75" customHeight="1">
      <c r="A601" s="14" t="str">
        <f t="shared" si="1"/>
        <v/>
      </c>
      <c r="B601" s="17" t="str">
        <f t="shared" si="3"/>
        <v/>
      </c>
      <c r="C601" s="18" t="str">
        <f t="shared" si="4"/>
        <v/>
      </c>
      <c r="D601" s="7"/>
      <c r="F601" s="7"/>
      <c r="G601" s="19" t="str">
        <f>IFERROR(__xludf.DUMMYFUNCTION("IF(OR(E601="""",F601&lt;&gt;""Barang Datang""), """",
  IFERROR(
    INDEX(
      SORT(
        FILTER(Jadwal!F:F, Jadwal!C:C=E601),
        FILTER(Jadwal!E:E, Jadwal!C:C=E601),
        FALSE
      ),
      1
    ),
    ""TIDAK ADA JADWAL""
  )
)"),"")</f>
        <v/>
      </c>
      <c r="H601" s="7" t="str">
        <f t="shared" si="2"/>
        <v/>
      </c>
      <c r="L601" s="13"/>
      <c r="M601" s="13"/>
    </row>
    <row r="602" ht="15.75" customHeight="1">
      <c r="A602" s="14" t="str">
        <f t="shared" si="1"/>
        <v/>
      </c>
      <c r="B602" s="17" t="str">
        <f t="shared" si="3"/>
        <v/>
      </c>
      <c r="C602" s="18" t="str">
        <f t="shared" si="4"/>
        <v/>
      </c>
      <c r="D602" s="7"/>
      <c r="F602" s="7"/>
      <c r="G602" s="19" t="str">
        <f>IFERROR(__xludf.DUMMYFUNCTION("IF(OR(E602="""",F602&lt;&gt;""Barang Datang""), """",
  IFERROR(
    INDEX(
      SORT(
        FILTER(Jadwal!F:F, Jadwal!C:C=E602),
        FILTER(Jadwal!E:E, Jadwal!C:C=E602),
        FALSE
      ),
      1
    ),
    ""TIDAK ADA JADWAL""
  )
)"),"")</f>
        <v/>
      </c>
      <c r="H602" s="7" t="str">
        <f t="shared" si="2"/>
        <v/>
      </c>
      <c r="L602" s="13"/>
      <c r="M602" s="13"/>
    </row>
    <row r="603" ht="15.75" customHeight="1">
      <c r="A603" s="14" t="str">
        <f t="shared" si="1"/>
        <v/>
      </c>
      <c r="B603" s="17" t="str">
        <f t="shared" si="3"/>
        <v/>
      </c>
      <c r="C603" s="18" t="str">
        <f t="shared" si="4"/>
        <v/>
      </c>
      <c r="D603" s="7"/>
      <c r="F603" s="7"/>
      <c r="G603" s="19" t="str">
        <f>IFERROR(__xludf.DUMMYFUNCTION("IF(OR(E603="""",F603&lt;&gt;""Barang Datang""), """",
  IFERROR(
    INDEX(
      SORT(
        FILTER(Jadwal!F:F, Jadwal!C:C=E603),
        FILTER(Jadwal!E:E, Jadwal!C:C=E603),
        FALSE
      ),
      1
    ),
    ""TIDAK ADA JADWAL""
  )
)"),"")</f>
        <v/>
      </c>
      <c r="H603" s="7" t="str">
        <f t="shared" si="2"/>
        <v/>
      </c>
      <c r="L603" s="13"/>
      <c r="M603" s="13"/>
    </row>
    <row r="604" ht="15.75" customHeight="1">
      <c r="A604" s="14" t="str">
        <f t="shared" si="1"/>
        <v/>
      </c>
      <c r="B604" s="17" t="str">
        <f t="shared" si="3"/>
        <v/>
      </c>
      <c r="C604" s="18" t="str">
        <f t="shared" si="4"/>
        <v/>
      </c>
      <c r="D604" s="7"/>
      <c r="F604" s="7"/>
      <c r="G604" s="19" t="str">
        <f>IFERROR(__xludf.DUMMYFUNCTION("IF(OR(E604="""",F604&lt;&gt;""Barang Datang""), """",
  IFERROR(
    INDEX(
      SORT(
        FILTER(Jadwal!F:F, Jadwal!C:C=E604),
        FILTER(Jadwal!E:E, Jadwal!C:C=E604),
        FALSE
      ),
      1
    ),
    ""TIDAK ADA JADWAL""
  )
)"),"")</f>
        <v/>
      </c>
      <c r="H604" s="7" t="str">
        <f t="shared" si="2"/>
        <v/>
      </c>
      <c r="L604" s="13"/>
      <c r="M604" s="13"/>
    </row>
    <row r="605" ht="15.75" customHeight="1">
      <c r="A605" s="14" t="str">
        <f t="shared" si="1"/>
        <v/>
      </c>
      <c r="B605" s="17" t="str">
        <f t="shared" si="3"/>
        <v/>
      </c>
      <c r="C605" s="18" t="str">
        <f t="shared" si="4"/>
        <v/>
      </c>
      <c r="D605" s="7"/>
      <c r="F605" s="7"/>
      <c r="G605" s="19" t="str">
        <f>IFERROR(__xludf.DUMMYFUNCTION("IF(OR(E605="""",F605&lt;&gt;""Barang Datang""), """",
  IFERROR(
    INDEX(
      SORT(
        FILTER(Jadwal!F:F, Jadwal!C:C=E605),
        FILTER(Jadwal!E:E, Jadwal!C:C=E605),
        FALSE
      ),
      1
    ),
    ""TIDAK ADA JADWAL""
  )
)"),"")</f>
        <v/>
      </c>
      <c r="H605" s="7" t="str">
        <f t="shared" si="2"/>
        <v/>
      </c>
      <c r="L605" s="13"/>
      <c r="M605" s="13"/>
    </row>
    <row r="606" ht="15.75" customHeight="1">
      <c r="A606" s="14" t="str">
        <f t="shared" si="1"/>
        <v/>
      </c>
      <c r="B606" s="17" t="str">
        <f t="shared" si="3"/>
        <v/>
      </c>
      <c r="C606" s="18" t="str">
        <f t="shared" si="4"/>
        <v/>
      </c>
      <c r="D606" s="7"/>
      <c r="F606" s="7"/>
      <c r="G606" s="19" t="str">
        <f>IFERROR(__xludf.DUMMYFUNCTION("IF(OR(E606="""",F606&lt;&gt;""Barang Datang""), """",
  IFERROR(
    INDEX(
      SORT(
        FILTER(Jadwal!F:F, Jadwal!C:C=E606),
        FILTER(Jadwal!E:E, Jadwal!C:C=E606),
        FALSE
      ),
      1
    ),
    ""TIDAK ADA JADWAL""
  )
)"),"")</f>
        <v/>
      </c>
      <c r="H606" s="7" t="str">
        <f t="shared" si="2"/>
        <v/>
      </c>
      <c r="L606" s="13"/>
      <c r="M606" s="13"/>
    </row>
    <row r="607" ht="15.75" customHeight="1">
      <c r="A607" s="14" t="str">
        <f t="shared" si="1"/>
        <v/>
      </c>
      <c r="B607" s="17" t="str">
        <f t="shared" si="3"/>
        <v/>
      </c>
      <c r="C607" s="18" t="str">
        <f t="shared" si="4"/>
        <v/>
      </c>
      <c r="D607" s="7"/>
      <c r="F607" s="7"/>
      <c r="G607" s="19" t="str">
        <f>IFERROR(__xludf.DUMMYFUNCTION("IF(OR(E607="""",F607&lt;&gt;""Barang Datang""), """",
  IFERROR(
    INDEX(
      SORT(
        FILTER(Jadwal!F:F, Jadwal!C:C=E607),
        FILTER(Jadwal!E:E, Jadwal!C:C=E607),
        FALSE
      ),
      1
    ),
    ""TIDAK ADA JADWAL""
  )
)"),"")</f>
        <v/>
      </c>
      <c r="H607" s="7" t="str">
        <f t="shared" si="2"/>
        <v/>
      </c>
      <c r="L607" s="13"/>
      <c r="M607" s="13"/>
    </row>
    <row r="608" ht="15.75" customHeight="1">
      <c r="A608" s="14" t="str">
        <f t="shared" si="1"/>
        <v/>
      </c>
      <c r="B608" s="17" t="str">
        <f t="shared" si="3"/>
        <v/>
      </c>
      <c r="C608" s="18" t="str">
        <f t="shared" si="4"/>
        <v/>
      </c>
      <c r="D608" s="7"/>
      <c r="F608" s="7"/>
      <c r="G608" s="19" t="str">
        <f>IFERROR(__xludf.DUMMYFUNCTION("IF(OR(E608="""",F608&lt;&gt;""Barang Datang""), """",
  IFERROR(
    INDEX(
      SORT(
        FILTER(Jadwal!F:F, Jadwal!C:C=E608),
        FILTER(Jadwal!E:E, Jadwal!C:C=E608),
        FALSE
      ),
      1
    ),
    ""TIDAK ADA JADWAL""
  )
)"),"")</f>
        <v/>
      </c>
      <c r="H608" s="7" t="str">
        <f t="shared" si="2"/>
        <v/>
      </c>
      <c r="L608" s="13"/>
      <c r="M608" s="13"/>
    </row>
    <row r="609" ht="15.75" customHeight="1">
      <c r="A609" s="14" t="str">
        <f t="shared" si="1"/>
        <v/>
      </c>
      <c r="B609" s="17" t="str">
        <f t="shared" si="3"/>
        <v/>
      </c>
      <c r="C609" s="18" t="str">
        <f t="shared" si="4"/>
        <v/>
      </c>
      <c r="D609" s="7"/>
      <c r="F609" s="7"/>
      <c r="G609" s="19" t="str">
        <f>IFERROR(__xludf.DUMMYFUNCTION("IF(OR(E609="""",F609&lt;&gt;""Barang Datang""), """",
  IFERROR(
    INDEX(
      SORT(
        FILTER(Jadwal!F:F, Jadwal!C:C=E609),
        FILTER(Jadwal!E:E, Jadwal!C:C=E609),
        FALSE
      ),
      1
    ),
    ""TIDAK ADA JADWAL""
  )
)"),"")</f>
        <v/>
      </c>
      <c r="H609" s="7" t="str">
        <f t="shared" si="2"/>
        <v/>
      </c>
      <c r="L609" s="13"/>
      <c r="M609" s="13"/>
    </row>
    <row r="610" ht="15.75" customHeight="1">
      <c r="A610" s="14" t="str">
        <f t="shared" si="1"/>
        <v/>
      </c>
      <c r="B610" s="17" t="str">
        <f t="shared" si="3"/>
        <v/>
      </c>
      <c r="C610" s="18" t="str">
        <f t="shared" si="4"/>
        <v/>
      </c>
      <c r="D610" s="7"/>
      <c r="F610" s="7"/>
      <c r="G610" s="19" t="str">
        <f>IFERROR(__xludf.DUMMYFUNCTION("IF(OR(E610="""",F610&lt;&gt;""Barang Datang""), """",
  IFERROR(
    INDEX(
      SORT(
        FILTER(Jadwal!F:F, Jadwal!C:C=E610),
        FILTER(Jadwal!E:E, Jadwal!C:C=E610),
        FALSE
      ),
      1
    ),
    ""TIDAK ADA JADWAL""
  )
)"),"")</f>
        <v/>
      </c>
      <c r="H610" s="7" t="str">
        <f t="shared" si="2"/>
        <v/>
      </c>
      <c r="L610" s="13"/>
      <c r="M610" s="13"/>
    </row>
    <row r="611" ht="15.75" customHeight="1">
      <c r="A611" s="14" t="str">
        <f t="shared" si="1"/>
        <v/>
      </c>
      <c r="B611" s="17" t="str">
        <f t="shared" si="3"/>
        <v/>
      </c>
      <c r="C611" s="18" t="str">
        <f t="shared" si="4"/>
        <v/>
      </c>
      <c r="D611" s="7"/>
      <c r="F611" s="7"/>
      <c r="G611" s="19" t="str">
        <f>IFERROR(__xludf.DUMMYFUNCTION("IF(OR(E611="""",F611&lt;&gt;""Barang Datang""), """",
  IFERROR(
    INDEX(
      SORT(
        FILTER(Jadwal!F:F, Jadwal!C:C=E611),
        FILTER(Jadwal!E:E, Jadwal!C:C=E611),
        FALSE
      ),
      1
    ),
    ""TIDAK ADA JADWAL""
  )
)"),"")</f>
        <v/>
      </c>
      <c r="H611" s="7" t="str">
        <f t="shared" si="2"/>
        <v/>
      </c>
      <c r="L611" s="13"/>
      <c r="M611" s="13"/>
    </row>
    <row r="612" ht="15.75" customHeight="1">
      <c r="A612" s="14" t="str">
        <f t="shared" si="1"/>
        <v/>
      </c>
      <c r="B612" s="17" t="str">
        <f t="shared" si="3"/>
        <v/>
      </c>
      <c r="C612" s="18" t="str">
        <f t="shared" si="4"/>
        <v/>
      </c>
      <c r="D612" s="7"/>
      <c r="F612" s="7"/>
      <c r="G612" s="19" t="str">
        <f>IFERROR(__xludf.DUMMYFUNCTION("IF(OR(E612="""",F612&lt;&gt;""Barang Datang""), """",
  IFERROR(
    INDEX(
      SORT(
        FILTER(Jadwal!F:F, Jadwal!C:C=E612),
        FILTER(Jadwal!E:E, Jadwal!C:C=E612),
        FALSE
      ),
      1
    ),
    ""TIDAK ADA JADWAL""
  )
)"),"")</f>
        <v/>
      </c>
      <c r="H612" s="7" t="str">
        <f t="shared" si="2"/>
        <v/>
      </c>
      <c r="L612" s="13"/>
      <c r="M612" s="13"/>
    </row>
    <row r="613" ht="15.75" customHeight="1">
      <c r="A613" s="14" t="str">
        <f t="shared" si="1"/>
        <v/>
      </c>
      <c r="B613" s="17" t="str">
        <f t="shared" si="3"/>
        <v/>
      </c>
      <c r="C613" s="18" t="str">
        <f t="shared" si="4"/>
        <v/>
      </c>
      <c r="D613" s="7"/>
      <c r="F613" s="7"/>
      <c r="G613" s="19" t="str">
        <f>IFERROR(__xludf.DUMMYFUNCTION("IF(OR(E613="""",F613&lt;&gt;""Barang Datang""), """",
  IFERROR(
    INDEX(
      SORT(
        FILTER(Jadwal!F:F, Jadwal!C:C=E613),
        FILTER(Jadwal!E:E, Jadwal!C:C=E613),
        FALSE
      ),
      1
    ),
    ""TIDAK ADA JADWAL""
  )
)"),"")</f>
        <v/>
      </c>
      <c r="H613" s="7" t="str">
        <f t="shared" si="2"/>
        <v/>
      </c>
      <c r="L613" s="13"/>
      <c r="M613" s="13"/>
    </row>
    <row r="614" ht="15.75" customHeight="1">
      <c r="A614" s="14" t="str">
        <f t="shared" si="1"/>
        <v/>
      </c>
      <c r="B614" s="17" t="str">
        <f t="shared" si="3"/>
        <v/>
      </c>
      <c r="C614" s="18" t="str">
        <f t="shared" si="4"/>
        <v/>
      </c>
      <c r="D614" s="7"/>
      <c r="F614" s="7"/>
      <c r="G614" s="19" t="str">
        <f>IFERROR(__xludf.DUMMYFUNCTION("IF(OR(E614="""",F614&lt;&gt;""Barang Datang""), """",
  IFERROR(
    INDEX(
      SORT(
        FILTER(Jadwal!F:F, Jadwal!C:C=E614),
        FILTER(Jadwal!E:E, Jadwal!C:C=E614),
        FALSE
      ),
      1
    ),
    ""TIDAK ADA JADWAL""
  )
)"),"")</f>
        <v/>
      </c>
      <c r="H614" s="7" t="str">
        <f t="shared" si="2"/>
        <v/>
      </c>
      <c r="L614" s="13"/>
      <c r="M614" s="13"/>
    </row>
    <row r="615" ht="15.75" customHeight="1">
      <c r="A615" s="14" t="str">
        <f t="shared" si="1"/>
        <v/>
      </c>
      <c r="B615" s="17" t="str">
        <f t="shared" si="3"/>
        <v/>
      </c>
      <c r="C615" s="18" t="str">
        <f t="shared" si="4"/>
        <v/>
      </c>
      <c r="D615" s="7"/>
      <c r="F615" s="7"/>
      <c r="G615" s="19" t="str">
        <f>IFERROR(__xludf.DUMMYFUNCTION("IF(OR(E615="""",F615&lt;&gt;""Barang Datang""), """",
  IFERROR(
    INDEX(
      SORT(
        FILTER(Jadwal!F:F, Jadwal!C:C=E615),
        FILTER(Jadwal!E:E, Jadwal!C:C=E615),
        FALSE
      ),
      1
    ),
    ""TIDAK ADA JADWAL""
  )
)"),"")</f>
        <v/>
      </c>
      <c r="H615" s="7" t="str">
        <f t="shared" si="2"/>
        <v/>
      </c>
      <c r="L615" s="13"/>
      <c r="M615" s="13"/>
    </row>
    <row r="616" ht="15.75" customHeight="1">
      <c r="A616" s="14" t="str">
        <f t="shared" si="1"/>
        <v/>
      </c>
      <c r="B616" s="17" t="str">
        <f t="shared" si="3"/>
        <v/>
      </c>
      <c r="C616" s="18" t="str">
        <f t="shared" si="4"/>
        <v/>
      </c>
      <c r="D616" s="7"/>
      <c r="F616" s="7"/>
      <c r="G616" s="19" t="str">
        <f>IFERROR(__xludf.DUMMYFUNCTION("IF(OR(E616="""",F616&lt;&gt;""Barang Datang""), """",
  IFERROR(
    INDEX(
      SORT(
        FILTER(Jadwal!F:F, Jadwal!C:C=E616),
        FILTER(Jadwal!E:E, Jadwal!C:C=E616),
        FALSE
      ),
      1
    ),
    ""TIDAK ADA JADWAL""
  )
)"),"")</f>
        <v/>
      </c>
      <c r="H616" s="7" t="str">
        <f t="shared" si="2"/>
        <v/>
      </c>
      <c r="L616" s="13"/>
      <c r="M616" s="13"/>
    </row>
    <row r="617" ht="15.75" customHeight="1">
      <c r="A617" s="14" t="str">
        <f t="shared" si="1"/>
        <v/>
      </c>
      <c r="B617" s="17" t="str">
        <f t="shared" si="3"/>
        <v/>
      </c>
      <c r="C617" s="18" t="str">
        <f t="shared" si="4"/>
        <v/>
      </c>
      <c r="D617" s="7"/>
      <c r="F617" s="7"/>
      <c r="G617" s="19" t="str">
        <f>IFERROR(__xludf.DUMMYFUNCTION("IF(OR(E617="""",F617&lt;&gt;""Barang Datang""), """",
  IFERROR(
    INDEX(
      SORT(
        FILTER(Jadwal!F:F, Jadwal!C:C=E617),
        FILTER(Jadwal!E:E, Jadwal!C:C=E617),
        FALSE
      ),
      1
    ),
    ""TIDAK ADA JADWAL""
  )
)"),"")</f>
        <v/>
      </c>
      <c r="H617" s="7" t="str">
        <f t="shared" si="2"/>
        <v/>
      </c>
      <c r="L617" s="13"/>
      <c r="M617" s="13"/>
    </row>
    <row r="618" ht="15.75" customHeight="1">
      <c r="A618" s="14" t="str">
        <f t="shared" si="1"/>
        <v/>
      </c>
      <c r="B618" s="17" t="str">
        <f t="shared" si="3"/>
        <v/>
      </c>
      <c r="C618" s="18" t="str">
        <f t="shared" si="4"/>
        <v/>
      </c>
      <c r="D618" s="7"/>
      <c r="F618" s="7"/>
      <c r="G618" s="19" t="str">
        <f>IFERROR(__xludf.DUMMYFUNCTION("IF(OR(E618="""",F618&lt;&gt;""Barang Datang""), """",
  IFERROR(
    INDEX(
      SORT(
        FILTER(Jadwal!F:F, Jadwal!C:C=E618),
        FILTER(Jadwal!E:E, Jadwal!C:C=E618),
        FALSE
      ),
      1
    ),
    ""TIDAK ADA JADWAL""
  )
)"),"")</f>
        <v/>
      </c>
      <c r="H618" s="7" t="str">
        <f t="shared" si="2"/>
        <v/>
      </c>
      <c r="L618" s="13"/>
      <c r="M618" s="13"/>
    </row>
    <row r="619" ht="15.75" customHeight="1">
      <c r="A619" s="14" t="str">
        <f t="shared" si="1"/>
        <v/>
      </c>
      <c r="B619" s="17" t="str">
        <f t="shared" si="3"/>
        <v/>
      </c>
      <c r="C619" s="18" t="str">
        <f t="shared" si="4"/>
        <v/>
      </c>
      <c r="D619" s="7"/>
      <c r="F619" s="7"/>
      <c r="G619" s="19" t="str">
        <f>IFERROR(__xludf.DUMMYFUNCTION("IF(OR(E619="""",F619&lt;&gt;""Barang Datang""), """",
  IFERROR(
    INDEX(
      SORT(
        FILTER(Jadwal!F:F, Jadwal!C:C=E619),
        FILTER(Jadwal!E:E, Jadwal!C:C=E619),
        FALSE
      ),
      1
    ),
    ""TIDAK ADA JADWAL""
  )
)"),"")</f>
        <v/>
      </c>
      <c r="H619" s="7" t="str">
        <f t="shared" si="2"/>
        <v/>
      </c>
      <c r="L619" s="13"/>
      <c r="M619" s="13"/>
    </row>
    <row r="620" ht="15.75" customHeight="1">
      <c r="A620" s="14" t="str">
        <f t="shared" si="1"/>
        <v/>
      </c>
      <c r="B620" s="17" t="str">
        <f t="shared" si="3"/>
        <v/>
      </c>
      <c r="C620" s="18" t="str">
        <f t="shared" si="4"/>
        <v/>
      </c>
      <c r="D620" s="7"/>
      <c r="F620" s="7"/>
      <c r="G620" s="19" t="str">
        <f>IFERROR(__xludf.DUMMYFUNCTION("IF(OR(E620="""",F620&lt;&gt;""Barang Datang""), """",
  IFERROR(
    INDEX(
      SORT(
        FILTER(Jadwal!F:F, Jadwal!C:C=E620),
        FILTER(Jadwal!E:E, Jadwal!C:C=E620),
        FALSE
      ),
      1
    ),
    ""TIDAK ADA JADWAL""
  )
)"),"")</f>
        <v/>
      </c>
      <c r="H620" s="7" t="str">
        <f t="shared" si="2"/>
        <v/>
      </c>
      <c r="L620" s="13"/>
      <c r="M620" s="13"/>
    </row>
    <row r="621" ht="15.75" customHeight="1">
      <c r="A621" s="14" t="str">
        <f t="shared" si="1"/>
        <v/>
      </c>
      <c r="B621" s="17" t="str">
        <f t="shared" si="3"/>
        <v/>
      </c>
      <c r="C621" s="18" t="str">
        <f t="shared" si="4"/>
        <v/>
      </c>
      <c r="D621" s="7"/>
      <c r="F621" s="7"/>
      <c r="G621" s="19" t="str">
        <f>IFERROR(__xludf.DUMMYFUNCTION("IF(OR(E621="""",F621&lt;&gt;""Barang Datang""), """",
  IFERROR(
    INDEX(
      SORT(
        FILTER(Jadwal!F:F, Jadwal!C:C=E621),
        FILTER(Jadwal!E:E, Jadwal!C:C=E621),
        FALSE
      ),
      1
    ),
    ""TIDAK ADA JADWAL""
  )
)"),"")</f>
        <v/>
      </c>
      <c r="H621" s="7" t="str">
        <f t="shared" si="2"/>
        <v/>
      </c>
      <c r="L621" s="13"/>
      <c r="M621" s="13"/>
    </row>
    <row r="622" ht="15.75" customHeight="1">
      <c r="A622" s="14" t="str">
        <f t="shared" si="1"/>
        <v/>
      </c>
      <c r="B622" s="17" t="str">
        <f t="shared" si="3"/>
        <v/>
      </c>
      <c r="C622" s="18" t="str">
        <f t="shared" si="4"/>
        <v/>
      </c>
      <c r="D622" s="7"/>
      <c r="F622" s="7"/>
      <c r="G622" s="19" t="str">
        <f>IFERROR(__xludf.DUMMYFUNCTION("IF(OR(E622="""",F622&lt;&gt;""Barang Datang""), """",
  IFERROR(
    INDEX(
      SORT(
        FILTER(Jadwal!F:F, Jadwal!C:C=E622),
        FILTER(Jadwal!E:E, Jadwal!C:C=E622),
        FALSE
      ),
      1
    ),
    ""TIDAK ADA JADWAL""
  )
)"),"")</f>
        <v/>
      </c>
      <c r="H622" s="7" t="str">
        <f t="shared" si="2"/>
        <v/>
      </c>
      <c r="L622" s="13"/>
      <c r="M622" s="13"/>
    </row>
    <row r="623" ht="15.75" customHeight="1">
      <c r="A623" s="14" t="str">
        <f t="shared" si="1"/>
        <v/>
      </c>
      <c r="B623" s="17" t="str">
        <f t="shared" si="3"/>
        <v/>
      </c>
      <c r="C623" s="18" t="str">
        <f t="shared" si="4"/>
        <v/>
      </c>
      <c r="D623" s="7"/>
      <c r="F623" s="7"/>
      <c r="G623" s="19" t="str">
        <f>IFERROR(__xludf.DUMMYFUNCTION("IF(OR(E623="""",F623&lt;&gt;""Barang Datang""), """",
  IFERROR(
    INDEX(
      SORT(
        FILTER(Jadwal!F:F, Jadwal!C:C=E623),
        FILTER(Jadwal!E:E, Jadwal!C:C=E623),
        FALSE
      ),
      1
    ),
    ""TIDAK ADA JADWAL""
  )
)"),"")</f>
        <v/>
      </c>
      <c r="H623" s="7" t="str">
        <f t="shared" si="2"/>
        <v/>
      </c>
      <c r="L623" s="13"/>
      <c r="M623" s="13"/>
    </row>
    <row r="624" ht="15.75" customHeight="1">
      <c r="A624" s="14" t="str">
        <f t="shared" si="1"/>
        <v/>
      </c>
      <c r="B624" s="17" t="str">
        <f t="shared" si="3"/>
        <v/>
      </c>
      <c r="C624" s="18" t="str">
        <f t="shared" si="4"/>
        <v/>
      </c>
      <c r="D624" s="7"/>
      <c r="F624" s="7"/>
      <c r="G624" s="19" t="str">
        <f>IFERROR(__xludf.DUMMYFUNCTION("IF(OR(E624="""",F624&lt;&gt;""Barang Datang""), """",
  IFERROR(
    INDEX(
      SORT(
        FILTER(Jadwal!F:F, Jadwal!C:C=E624),
        FILTER(Jadwal!E:E, Jadwal!C:C=E624),
        FALSE
      ),
      1
    ),
    ""TIDAK ADA JADWAL""
  )
)"),"")</f>
        <v/>
      </c>
      <c r="H624" s="7" t="str">
        <f t="shared" si="2"/>
        <v/>
      </c>
      <c r="L624" s="13"/>
      <c r="M624" s="13"/>
    </row>
    <row r="625" ht="15.75" customHeight="1">
      <c r="A625" s="14" t="str">
        <f t="shared" si="1"/>
        <v/>
      </c>
      <c r="B625" s="17" t="str">
        <f t="shared" si="3"/>
        <v/>
      </c>
      <c r="C625" s="18" t="str">
        <f t="shared" si="4"/>
        <v/>
      </c>
      <c r="D625" s="7"/>
      <c r="F625" s="7"/>
      <c r="G625" s="19" t="str">
        <f>IFERROR(__xludf.DUMMYFUNCTION("IF(OR(E625="""",F625&lt;&gt;""Barang Datang""), """",
  IFERROR(
    INDEX(
      SORT(
        FILTER(Jadwal!F:F, Jadwal!C:C=E625),
        FILTER(Jadwal!E:E, Jadwal!C:C=E625),
        FALSE
      ),
      1
    ),
    ""TIDAK ADA JADWAL""
  )
)"),"")</f>
        <v/>
      </c>
      <c r="H625" s="7" t="str">
        <f t="shared" si="2"/>
        <v/>
      </c>
      <c r="L625" s="13"/>
      <c r="M625" s="13"/>
    </row>
    <row r="626" ht="15.75" customHeight="1">
      <c r="A626" s="14" t="str">
        <f t="shared" si="1"/>
        <v/>
      </c>
      <c r="B626" s="17" t="str">
        <f t="shared" si="3"/>
        <v/>
      </c>
      <c r="C626" s="18" t="str">
        <f t="shared" si="4"/>
        <v/>
      </c>
      <c r="D626" s="7"/>
      <c r="F626" s="7"/>
      <c r="G626" s="19" t="str">
        <f>IFERROR(__xludf.DUMMYFUNCTION("IF(OR(E626="""",F626&lt;&gt;""Barang Datang""), """",
  IFERROR(
    INDEX(
      SORT(
        FILTER(Jadwal!F:F, Jadwal!C:C=E626),
        FILTER(Jadwal!E:E, Jadwal!C:C=E626),
        FALSE
      ),
      1
    ),
    ""TIDAK ADA JADWAL""
  )
)"),"")</f>
        <v/>
      </c>
      <c r="H626" s="7" t="str">
        <f t="shared" si="2"/>
        <v/>
      </c>
      <c r="L626" s="13"/>
      <c r="M626" s="13"/>
    </row>
    <row r="627" ht="15.75" customHeight="1">
      <c r="A627" s="14" t="str">
        <f t="shared" si="1"/>
        <v/>
      </c>
      <c r="B627" s="17" t="str">
        <f t="shared" si="3"/>
        <v/>
      </c>
      <c r="C627" s="18" t="str">
        <f t="shared" si="4"/>
        <v/>
      </c>
      <c r="D627" s="7"/>
      <c r="F627" s="7"/>
      <c r="G627" s="19" t="str">
        <f>IFERROR(__xludf.DUMMYFUNCTION("IF(OR(E627="""",F627&lt;&gt;""Barang Datang""), """",
  IFERROR(
    INDEX(
      SORT(
        FILTER(Jadwal!F:F, Jadwal!C:C=E627),
        FILTER(Jadwal!E:E, Jadwal!C:C=E627),
        FALSE
      ),
      1
    ),
    ""TIDAK ADA JADWAL""
  )
)"),"")</f>
        <v/>
      </c>
      <c r="H627" s="7" t="str">
        <f t="shared" si="2"/>
        <v/>
      </c>
      <c r="L627" s="13"/>
      <c r="M627" s="13"/>
    </row>
    <row r="628" ht="15.75" customHeight="1">
      <c r="A628" s="14" t="str">
        <f t="shared" si="1"/>
        <v/>
      </c>
      <c r="B628" s="17" t="str">
        <f t="shared" si="3"/>
        <v/>
      </c>
      <c r="C628" s="18" t="str">
        <f t="shared" si="4"/>
        <v/>
      </c>
      <c r="D628" s="7"/>
      <c r="F628" s="7"/>
      <c r="G628" s="19" t="str">
        <f>IFERROR(__xludf.DUMMYFUNCTION("IF(OR(E628="""",F628&lt;&gt;""Barang Datang""), """",
  IFERROR(
    INDEX(
      SORT(
        FILTER(Jadwal!F:F, Jadwal!C:C=E628),
        FILTER(Jadwal!E:E, Jadwal!C:C=E628),
        FALSE
      ),
      1
    ),
    ""TIDAK ADA JADWAL""
  )
)"),"")</f>
        <v/>
      </c>
      <c r="H628" s="7" t="str">
        <f t="shared" si="2"/>
        <v/>
      </c>
      <c r="L628" s="13"/>
      <c r="M628" s="13"/>
    </row>
    <row r="629" ht="15.75" customHeight="1">
      <c r="A629" s="14" t="str">
        <f t="shared" si="1"/>
        <v/>
      </c>
      <c r="B629" s="17" t="str">
        <f t="shared" si="3"/>
        <v/>
      </c>
      <c r="C629" s="18" t="str">
        <f t="shared" si="4"/>
        <v/>
      </c>
      <c r="D629" s="7"/>
      <c r="F629" s="7"/>
      <c r="G629" s="19" t="str">
        <f>IFERROR(__xludf.DUMMYFUNCTION("IF(OR(E629="""",F629&lt;&gt;""Barang Datang""), """",
  IFERROR(
    INDEX(
      SORT(
        FILTER(Jadwal!F:F, Jadwal!C:C=E629),
        FILTER(Jadwal!E:E, Jadwal!C:C=E629),
        FALSE
      ),
      1
    ),
    ""TIDAK ADA JADWAL""
  )
)"),"")</f>
        <v/>
      </c>
      <c r="H629" s="7" t="str">
        <f t="shared" si="2"/>
        <v/>
      </c>
      <c r="L629" s="13"/>
      <c r="M629" s="13"/>
    </row>
    <row r="630" ht="15.75" customHeight="1">
      <c r="A630" s="14" t="str">
        <f t="shared" si="1"/>
        <v/>
      </c>
      <c r="B630" s="17" t="str">
        <f t="shared" si="3"/>
        <v/>
      </c>
      <c r="C630" s="18" t="str">
        <f t="shared" si="4"/>
        <v/>
      </c>
      <c r="D630" s="7"/>
      <c r="F630" s="7"/>
      <c r="G630" s="19" t="str">
        <f>IFERROR(__xludf.DUMMYFUNCTION("IF(OR(E630="""",F630&lt;&gt;""Barang Datang""), """",
  IFERROR(
    INDEX(
      SORT(
        FILTER(Jadwal!F:F, Jadwal!C:C=E630),
        FILTER(Jadwal!E:E, Jadwal!C:C=E630),
        FALSE
      ),
      1
    ),
    ""TIDAK ADA JADWAL""
  )
)"),"")</f>
        <v/>
      </c>
      <c r="H630" s="7" t="str">
        <f t="shared" si="2"/>
        <v/>
      </c>
      <c r="L630" s="13"/>
      <c r="M630" s="13"/>
    </row>
    <row r="631" ht="15.75" customHeight="1">
      <c r="A631" s="14" t="str">
        <f t="shared" si="1"/>
        <v/>
      </c>
      <c r="B631" s="17" t="str">
        <f t="shared" si="3"/>
        <v/>
      </c>
      <c r="C631" s="18" t="str">
        <f t="shared" si="4"/>
        <v/>
      </c>
      <c r="D631" s="7"/>
      <c r="F631" s="7"/>
      <c r="G631" s="19" t="str">
        <f>IFERROR(__xludf.DUMMYFUNCTION("IF(OR(E631="""",F631&lt;&gt;""Barang Datang""), """",
  IFERROR(
    INDEX(
      SORT(
        FILTER(Jadwal!F:F, Jadwal!C:C=E631),
        FILTER(Jadwal!E:E, Jadwal!C:C=E631),
        FALSE
      ),
      1
    ),
    ""TIDAK ADA JADWAL""
  )
)"),"")</f>
        <v/>
      </c>
      <c r="H631" s="7" t="str">
        <f t="shared" si="2"/>
        <v/>
      </c>
      <c r="L631" s="13"/>
      <c r="M631" s="13"/>
    </row>
    <row r="632" ht="15.75" customHeight="1">
      <c r="A632" s="14" t="str">
        <f t="shared" si="1"/>
        <v/>
      </c>
      <c r="B632" s="17" t="str">
        <f t="shared" si="3"/>
        <v/>
      </c>
      <c r="C632" s="18" t="str">
        <f t="shared" si="4"/>
        <v/>
      </c>
      <c r="D632" s="7"/>
      <c r="F632" s="7"/>
      <c r="G632" s="19" t="str">
        <f>IFERROR(__xludf.DUMMYFUNCTION("IF(OR(E632="""",F632&lt;&gt;""Barang Datang""), """",
  IFERROR(
    INDEX(
      SORT(
        FILTER(Jadwal!F:F, Jadwal!C:C=E632),
        FILTER(Jadwal!E:E, Jadwal!C:C=E632),
        FALSE
      ),
      1
    ),
    ""TIDAK ADA JADWAL""
  )
)"),"")</f>
        <v/>
      </c>
      <c r="H632" s="7" t="str">
        <f t="shared" si="2"/>
        <v/>
      </c>
      <c r="L632" s="13"/>
      <c r="M632" s="13"/>
    </row>
    <row r="633" ht="15.75" customHeight="1">
      <c r="A633" s="14" t="str">
        <f t="shared" si="1"/>
        <v/>
      </c>
      <c r="B633" s="17" t="str">
        <f t="shared" si="3"/>
        <v/>
      </c>
      <c r="C633" s="18" t="str">
        <f t="shared" si="4"/>
        <v/>
      </c>
      <c r="D633" s="7"/>
      <c r="F633" s="7"/>
      <c r="G633" s="19" t="str">
        <f>IFERROR(__xludf.DUMMYFUNCTION("IF(OR(E633="""",F633&lt;&gt;""Barang Datang""), """",
  IFERROR(
    INDEX(
      SORT(
        FILTER(Jadwal!F:F, Jadwal!C:C=E633),
        FILTER(Jadwal!E:E, Jadwal!C:C=E633),
        FALSE
      ),
      1
    ),
    ""TIDAK ADA JADWAL""
  )
)"),"")</f>
        <v/>
      </c>
      <c r="H633" s="7" t="str">
        <f t="shared" si="2"/>
        <v/>
      </c>
      <c r="L633" s="13"/>
      <c r="M633" s="13"/>
    </row>
    <row r="634" ht="15.75" customHeight="1">
      <c r="A634" s="14" t="str">
        <f t="shared" si="1"/>
        <v/>
      </c>
      <c r="B634" s="17" t="str">
        <f t="shared" si="3"/>
        <v/>
      </c>
      <c r="C634" s="18" t="str">
        <f t="shared" si="4"/>
        <v/>
      </c>
      <c r="D634" s="7"/>
      <c r="F634" s="7"/>
      <c r="G634" s="19" t="str">
        <f>IFERROR(__xludf.DUMMYFUNCTION("IF(OR(E634="""",F634&lt;&gt;""Barang Datang""), """",
  IFERROR(
    INDEX(
      SORT(
        FILTER(Jadwal!F:F, Jadwal!C:C=E634),
        FILTER(Jadwal!E:E, Jadwal!C:C=E634),
        FALSE
      ),
      1
    ),
    ""TIDAK ADA JADWAL""
  )
)"),"")</f>
        <v/>
      </c>
      <c r="H634" s="7" t="str">
        <f t="shared" si="2"/>
        <v/>
      </c>
      <c r="L634" s="13"/>
      <c r="M634" s="13"/>
    </row>
    <row r="635" ht="15.75" customHeight="1">
      <c r="A635" s="14" t="str">
        <f t="shared" si="1"/>
        <v/>
      </c>
      <c r="B635" s="17" t="str">
        <f t="shared" si="3"/>
        <v/>
      </c>
      <c r="C635" s="18" t="str">
        <f t="shared" si="4"/>
        <v/>
      </c>
      <c r="D635" s="7"/>
      <c r="F635" s="7"/>
      <c r="G635" s="19" t="str">
        <f>IFERROR(__xludf.DUMMYFUNCTION("IF(OR(E635="""",F635&lt;&gt;""Barang Datang""), """",
  IFERROR(
    INDEX(
      SORT(
        FILTER(Jadwal!F:F, Jadwal!C:C=E635),
        FILTER(Jadwal!E:E, Jadwal!C:C=E635),
        FALSE
      ),
      1
    ),
    ""TIDAK ADA JADWAL""
  )
)"),"")</f>
        <v/>
      </c>
      <c r="H635" s="7" t="str">
        <f t="shared" si="2"/>
        <v/>
      </c>
      <c r="L635" s="13"/>
      <c r="M635" s="13"/>
    </row>
    <row r="636" ht="15.75" customHeight="1">
      <c r="A636" s="14" t="str">
        <f t="shared" si="1"/>
        <v/>
      </c>
      <c r="B636" s="17" t="str">
        <f t="shared" si="3"/>
        <v/>
      </c>
      <c r="C636" s="18" t="str">
        <f t="shared" si="4"/>
        <v/>
      </c>
      <c r="D636" s="7"/>
      <c r="F636" s="7"/>
      <c r="G636" s="19" t="str">
        <f>IFERROR(__xludf.DUMMYFUNCTION("IF(OR(E636="""",F636&lt;&gt;""Barang Datang""), """",
  IFERROR(
    INDEX(
      SORT(
        FILTER(Jadwal!F:F, Jadwal!C:C=E636),
        FILTER(Jadwal!E:E, Jadwal!C:C=E636),
        FALSE
      ),
      1
    ),
    ""TIDAK ADA JADWAL""
  )
)"),"")</f>
        <v/>
      </c>
      <c r="H636" s="7" t="str">
        <f t="shared" si="2"/>
        <v/>
      </c>
      <c r="L636" s="13"/>
      <c r="M636" s="13"/>
    </row>
    <row r="637" ht="15.75" customHeight="1">
      <c r="A637" s="14" t="str">
        <f t="shared" si="1"/>
        <v/>
      </c>
      <c r="B637" s="17" t="str">
        <f t="shared" si="3"/>
        <v/>
      </c>
      <c r="C637" s="18" t="str">
        <f t="shared" si="4"/>
        <v/>
      </c>
      <c r="D637" s="7"/>
      <c r="F637" s="7"/>
      <c r="G637" s="19" t="str">
        <f>IFERROR(__xludf.DUMMYFUNCTION("IF(OR(E637="""",F637&lt;&gt;""Barang Datang""), """",
  IFERROR(
    INDEX(
      SORT(
        FILTER(Jadwal!F:F, Jadwal!C:C=E637),
        FILTER(Jadwal!E:E, Jadwal!C:C=E637),
        FALSE
      ),
      1
    ),
    ""TIDAK ADA JADWAL""
  )
)"),"")</f>
        <v/>
      </c>
      <c r="H637" s="7" t="str">
        <f t="shared" si="2"/>
        <v/>
      </c>
      <c r="L637" s="13"/>
      <c r="M637" s="13"/>
    </row>
    <row r="638" ht="15.75" customHeight="1">
      <c r="A638" s="14" t="str">
        <f t="shared" si="1"/>
        <v/>
      </c>
      <c r="B638" s="17" t="str">
        <f t="shared" si="3"/>
        <v/>
      </c>
      <c r="C638" s="18" t="str">
        <f t="shared" si="4"/>
        <v/>
      </c>
      <c r="D638" s="7"/>
      <c r="F638" s="7"/>
      <c r="G638" s="19" t="str">
        <f>IFERROR(__xludf.DUMMYFUNCTION("IF(OR(E638="""",F638&lt;&gt;""Barang Datang""), """",
  IFERROR(
    INDEX(
      SORT(
        FILTER(Jadwal!F:F, Jadwal!C:C=E638),
        FILTER(Jadwal!E:E, Jadwal!C:C=E638),
        FALSE
      ),
      1
    ),
    ""TIDAK ADA JADWAL""
  )
)"),"")</f>
        <v/>
      </c>
      <c r="H638" s="7" t="str">
        <f t="shared" si="2"/>
        <v/>
      </c>
      <c r="L638" s="13"/>
      <c r="M638" s="13"/>
    </row>
    <row r="639" ht="15.75" customHeight="1">
      <c r="A639" s="14" t="str">
        <f t="shared" si="1"/>
        <v/>
      </c>
      <c r="B639" s="17" t="str">
        <f t="shared" si="3"/>
        <v/>
      </c>
      <c r="C639" s="18" t="str">
        <f t="shared" si="4"/>
        <v/>
      </c>
      <c r="D639" s="7"/>
      <c r="F639" s="7"/>
      <c r="G639" s="19" t="str">
        <f>IFERROR(__xludf.DUMMYFUNCTION("IF(OR(E639="""",F639&lt;&gt;""Barang Datang""), """",
  IFERROR(
    INDEX(
      SORT(
        FILTER(Jadwal!F:F, Jadwal!C:C=E639),
        FILTER(Jadwal!E:E, Jadwal!C:C=E639),
        FALSE
      ),
      1
    ),
    ""TIDAK ADA JADWAL""
  )
)"),"")</f>
        <v/>
      </c>
      <c r="H639" s="7" t="str">
        <f t="shared" si="2"/>
        <v/>
      </c>
      <c r="L639" s="13"/>
      <c r="M639" s="13"/>
    </row>
    <row r="640" ht="15.75" customHeight="1">
      <c r="A640" s="14" t="str">
        <f t="shared" si="1"/>
        <v/>
      </c>
      <c r="B640" s="17" t="str">
        <f t="shared" si="3"/>
        <v/>
      </c>
      <c r="C640" s="18" t="str">
        <f t="shared" si="4"/>
        <v/>
      </c>
      <c r="D640" s="7"/>
      <c r="F640" s="7"/>
      <c r="G640" s="19" t="str">
        <f>IFERROR(__xludf.DUMMYFUNCTION("IF(OR(E640="""",F640&lt;&gt;""Barang Datang""), """",
  IFERROR(
    INDEX(
      SORT(
        FILTER(Jadwal!F:F, Jadwal!C:C=E640),
        FILTER(Jadwal!E:E, Jadwal!C:C=E640),
        FALSE
      ),
      1
    ),
    ""TIDAK ADA JADWAL""
  )
)"),"")</f>
        <v/>
      </c>
      <c r="H640" s="7" t="str">
        <f t="shared" si="2"/>
        <v/>
      </c>
      <c r="L640" s="13"/>
      <c r="M640" s="13"/>
    </row>
    <row r="641" ht="15.75" customHeight="1">
      <c r="A641" s="14" t="str">
        <f t="shared" si="1"/>
        <v/>
      </c>
      <c r="B641" s="17" t="str">
        <f t="shared" si="3"/>
        <v/>
      </c>
      <c r="C641" s="18" t="str">
        <f t="shared" si="4"/>
        <v/>
      </c>
      <c r="D641" s="7"/>
      <c r="F641" s="7"/>
      <c r="G641" s="19" t="str">
        <f>IFERROR(__xludf.DUMMYFUNCTION("IF(OR(E641="""",F641&lt;&gt;""Barang Datang""), """",
  IFERROR(
    INDEX(
      SORT(
        FILTER(Jadwal!F:F, Jadwal!C:C=E641),
        FILTER(Jadwal!E:E, Jadwal!C:C=E641),
        FALSE
      ),
      1
    ),
    ""TIDAK ADA JADWAL""
  )
)"),"")</f>
        <v/>
      </c>
      <c r="H641" s="7" t="str">
        <f t="shared" si="2"/>
        <v/>
      </c>
      <c r="L641" s="13"/>
      <c r="M641" s="13"/>
    </row>
    <row r="642" ht="15.75" customHeight="1">
      <c r="A642" s="14" t="str">
        <f t="shared" si="1"/>
        <v/>
      </c>
      <c r="B642" s="17" t="str">
        <f t="shared" si="3"/>
        <v/>
      </c>
      <c r="C642" s="18" t="str">
        <f t="shared" si="4"/>
        <v/>
      </c>
      <c r="D642" s="7"/>
      <c r="F642" s="7"/>
      <c r="G642" s="19" t="str">
        <f>IFERROR(__xludf.DUMMYFUNCTION("IF(OR(E642="""",F642&lt;&gt;""Barang Datang""), """",
  IFERROR(
    INDEX(
      SORT(
        FILTER(Jadwal!F:F, Jadwal!C:C=E642),
        FILTER(Jadwal!E:E, Jadwal!C:C=E642),
        FALSE
      ),
      1
    ),
    ""TIDAK ADA JADWAL""
  )
)"),"")</f>
        <v/>
      </c>
      <c r="H642" s="7" t="str">
        <f t="shared" si="2"/>
        <v/>
      </c>
      <c r="L642" s="13"/>
      <c r="M642" s="13"/>
    </row>
    <row r="643" ht="15.75" customHeight="1">
      <c r="A643" s="14" t="str">
        <f t="shared" si="1"/>
        <v/>
      </c>
      <c r="B643" s="17" t="str">
        <f t="shared" si="3"/>
        <v/>
      </c>
      <c r="C643" s="18" t="str">
        <f t="shared" si="4"/>
        <v/>
      </c>
      <c r="D643" s="7"/>
      <c r="F643" s="7"/>
      <c r="G643" s="19" t="str">
        <f>IFERROR(__xludf.DUMMYFUNCTION("IF(OR(E643="""",F643&lt;&gt;""Barang Datang""), """",
  IFERROR(
    INDEX(
      SORT(
        FILTER(Jadwal!F:F, Jadwal!C:C=E643),
        FILTER(Jadwal!E:E, Jadwal!C:C=E643),
        FALSE
      ),
      1
    ),
    ""TIDAK ADA JADWAL""
  )
)"),"")</f>
        <v/>
      </c>
      <c r="H643" s="7" t="str">
        <f t="shared" si="2"/>
        <v/>
      </c>
      <c r="L643" s="13"/>
      <c r="M643" s="13"/>
    </row>
    <row r="644" ht="15.75" customHeight="1">
      <c r="A644" s="14" t="str">
        <f t="shared" si="1"/>
        <v/>
      </c>
      <c r="B644" s="17" t="str">
        <f t="shared" si="3"/>
        <v/>
      </c>
      <c r="C644" s="18" t="str">
        <f t="shared" si="4"/>
        <v/>
      </c>
      <c r="D644" s="7"/>
      <c r="F644" s="7"/>
      <c r="G644" s="19" t="str">
        <f>IFERROR(__xludf.DUMMYFUNCTION("IF(OR(E644="""",F644&lt;&gt;""Barang Datang""), """",
  IFERROR(
    INDEX(
      SORT(
        FILTER(Jadwal!F:F, Jadwal!C:C=E644),
        FILTER(Jadwal!E:E, Jadwal!C:C=E644),
        FALSE
      ),
      1
    ),
    ""TIDAK ADA JADWAL""
  )
)"),"")</f>
        <v/>
      </c>
      <c r="H644" s="7" t="str">
        <f t="shared" si="2"/>
        <v/>
      </c>
      <c r="L644" s="13"/>
      <c r="M644" s="13"/>
    </row>
    <row r="645" ht="15.75" customHeight="1">
      <c r="A645" s="14" t="str">
        <f t="shared" si="1"/>
        <v/>
      </c>
      <c r="B645" s="17" t="str">
        <f t="shared" si="3"/>
        <v/>
      </c>
      <c r="C645" s="18" t="str">
        <f t="shared" si="4"/>
        <v/>
      </c>
      <c r="D645" s="7"/>
      <c r="F645" s="7"/>
      <c r="G645" s="19" t="str">
        <f>IFERROR(__xludf.DUMMYFUNCTION("IF(OR(E645="""",F645&lt;&gt;""Barang Datang""), """",
  IFERROR(
    INDEX(
      SORT(
        FILTER(Jadwal!F:F, Jadwal!C:C=E645),
        FILTER(Jadwal!E:E, Jadwal!C:C=E645),
        FALSE
      ),
      1
    ),
    ""TIDAK ADA JADWAL""
  )
)"),"")</f>
        <v/>
      </c>
      <c r="H645" s="7" t="str">
        <f t="shared" si="2"/>
        <v/>
      </c>
      <c r="L645" s="13"/>
      <c r="M645" s="13"/>
    </row>
    <row r="646" ht="15.75" customHeight="1">
      <c r="A646" s="14" t="str">
        <f t="shared" si="1"/>
        <v/>
      </c>
      <c r="B646" s="17" t="str">
        <f t="shared" si="3"/>
        <v/>
      </c>
      <c r="C646" s="18" t="str">
        <f t="shared" si="4"/>
        <v/>
      </c>
      <c r="D646" s="7"/>
      <c r="F646" s="7"/>
      <c r="G646" s="19" t="str">
        <f>IFERROR(__xludf.DUMMYFUNCTION("IF(OR(E646="""",F646&lt;&gt;""Barang Datang""), """",
  IFERROR(
    INDEX(
      SORT(
        FILTER(Jadwal!F:F, Jadwal!C:C=E646),
        FILTER(Jadwal!E:E, Jadwal!C:C=E646),
        FALSE
      ),
      1
    ),
    ""TIDAK ADA JADWAL""
  )
)"),"")</f>
        <v/>
      </c>
      <c r="H646" s="7" t="str">
        <f t="shared" si="2"/>
        <v/>
      </c>
      <c r="L646" s="13"/>
      <c r="M646" s="13"/>
    </row>
    <row r="647" ht="15.75" customHeight="1">
      <c r="A647" s="14" t="str">
        <f t="shared" si="1"/>
        <v/>
      </c>
      <c r="B647" s="17" t="str">
        <f t="shared" si="3"/>
        <v/>
      </c>
      <c r="C647" s="18" t="str">
        <f t="shared" si="4"/>
        <v/>
      </c>
      <c r="D647" s="7"/>
      <c r="F647" s="7"/>
      <c r="G647" s="19" t="str">
        <f>IFERROR(__xludf.DUMMYFUNCTION("IF(OR(E647="""",F647&lt;&gt;""Barang Datang""), """",
  IFERROR(
    INDEX(
      SORT(
        FILTER(Jadwal!F:F, Jadwal!C:C=E647),
        FILTER(Jadwal!E:E, Jadwal!C:C=E647),
        FALSE
      ),
      1
    ),
    ""TIDAK ADA JADWAL""
  )
)"),"")</f>
        <v/>
      </c>
      <c r="H647" s="7" t="str">
        <f t="shared" si="2"/>
        <v/>
      </c>
      <c r="L647" s="13"/>
      <c r="M647" s="13"/>
    </row>
    <row r="648" ht="15.75" customHeight="1">
      <c r="A648" s="14" t="str">
        <f t="shared" si="1"/>
        <v/>
      </c>
      <c r="B648" s="17" t="str">
        <f t="shared" si="3"/>
        <v/>
      </c>
      <c r="C648" s="18" t="str">
        <f t="shared" si="4"/>
        <v/>
      </c>
      <c r="D648" s="7"/>
      <c r="F648" s="7"/>
      <c r="G648" s="19" t="str">
        <f>IFERROR(__xludf.DUMMYFUNCTION("IF(OR(E648="""",F648&lt;&gt;""Barang Datang""), """",
  IFERROR(
    INDEX(
      SORT(
        FILTER(Jadwal!F:F, Jadwal!C:C=E648),
        FILTER(Jadwal!E:E, Jadwal!C:C=E648),
        FALSE
      ),
      1
    ),
    ""TIDAK ADA JADWAL""
  )
)"),"")</f>
        <v/>
      </c>
      <c r="H648" s="7" t="str">
        <f t="shared" si="2"/>
        <v/>
      </c>
      <c r="L648" s="13"/>
      <c r="M648" s="13"/>
    </row>
    <row r="649" ht="15.75" customHeight="1">
      <c r="A649" s="14" t="str">
        <f t="shared" si="1"/>
        <v/>
      </c>
      <c r="B649" s="17" t="str">
        <f t="shared" si="3"/>
        <v/>
      </c>
      <c r="C649" s="18" t="str">
        <f t="shared" si="4"/>
        <v/>
      </c>
      <c r="D649" s="7"/>
      <c r="F649" s="7"/>
      <c r="G649" s="19" t="str">
        <f>IFERROR(__xludf.DUMMYFUNCTION("IF(OR(E649="""",F649&lt;&gt;""Barang Datang""), """",
  IFERROR(
    INDEX(
      SORT(
        FILTER(Jadwal!F:F, Jadwal!C:C=E649),
        FILTER(Jadwal!E:E, Jadwal!C:C=E649),
        FALSE
      ),
      1
    ),
    ""TIDAK ADA JADWAL""
  )
)"),"")</f>
        <v/>
      </c>
      <c r="H649" s="7" t="str">
        <f t="shared" si="2"/>
        <v/>
      </c>
      <c r="L649" s="13"/>
      <c r="M649" s="13"/>
    </row>
    <row r="650" ht="15.75" customHeight="1">
      <c r="A650" s="14" t="str">
        <f t="shared" si="1"/>
        <v/>
      </c>
      <c r="B650" s="17" t="str">
        <f t="shared" si="3"/>
        <v/>
      </c>
      <c r="C650" s="18" t="str">
        <f t="shared" si="4"/>
        <v/>
      </c>
      <c r="D650" s="7"/>
      <c r="F650" s="7"/>
      <c r="G650" s="19" t="str">
        <f>IFERROR(__xludf.DUMMYFUNCTION("IF(OR(E650="""",F650&lt;&gt;""Barang Datang""), """",
  IFERROR(
    INDEX(
      SORT(
        FILTER(Jadwal!F:F, Jadwal!C:C=E650),
        FILTER(Jadwal!E:E, Jadwal!C:C=E650),
        FALSE
      ),
      1
    ),
    ""TIDAK ADA JADWAL""
  )
)"),"")</f>
        <v/>
      </c>
      <c r="H650" s="7" t="str">
        <f t="shared" si="2"/>
        <v/>
      </c>
      <c r="L650" s="13"/>
      <c r="M650" s="13"/>
    </row>
    <row r="651" ht="15.75" customHeight="1">
      <c r="A651" s="14" t="str">
        <f t="shared" si="1"/>
        <v/>
      </c>
      <c r="B651" s="17" t="str">
        <f t="shared" si="3"/>
        <v/>
      </c>
      <c r="C651" s="18" t="str">
        <f t="shared" si="4"/>
        <v/>
      </c>
      <c r="D651" s="7"/>
      <c r="F651" s="7"/>
      <c r="G651" s="19" t="str">
        <f>IFERROR(__xludf.DUMMYFUNCTION("IF(OR(E651="""",F651&lt;&gt;""Barang Datang""), """",
  IFERROR(
    INDEX(
      SORT(
        FILTER(Jadwal!F:F, Jadwal!C:C=E651),
        FILTER(Jadwal!E:E, Jadwal!C:C=E651),
        FALSE
      ),
      1
    ),
    ""TIDAK ADA JADWAL""
  )
)"),"")</f>
        <v/>
      </c>
      <c r="H651" s="7" t="str">
        <f t="shared" si="2"/>
        <v/>
      </c>
      <c r="L651" s="13"/>
      <c r="M651" s="13"/>
    </row>
    <row r="652" ht="15.75" customHeight="1">
      <c r="A652" s="14" t="str">
        <f t="shared" si="1"/>
        <v/>
      </c>
      <c r="B652" s="17" t="str">
        <f t="shared" si="3"/>
        <v/>
      </c>
      <c r="C652" s="18" t="str">
        <f t="shared" si="4"/>
        <v/>
      </c>
      <c r="D652" s="7"/>
      <c r="F652" s="7"/>
      <c r="G652" s="19" t="str">
        <f>IFERROR(__xludf.DUMMYFUNCTION("IF(OR(E652="""",F652&lt;&gt;""Barang Datang""), """",
  IFERROR(
    INDEX(
      SORT(
        FILTER(Jadwal!F:F, Jadwal!C:C=E652),
        FILTER(Jadwal!E:E, Jadwal!C:C=E652),
        FALSE
      ),
      1
    ),
    ""TIDAK ADA JADWAL""
  )
)"),"")</f>
        <v/>
      </c>
      <c r="H652" s="7" t="str">
        <f t="shared" si="2"/>
        <v/>
      </c>
      <c r="L652" s="13"/>
      <c r="M652" s="13"/>
    </row>
    <row r="653" ht="15.75" customHeight="1">
      <c r="A653" s="14" t="str">
        <f t="shared" si="1"/>
        <v/>
      </c>
      <c r="B653" s="17" t="str">
        <f t="shared" si="3"/>
        <v/>
      </c>
      <c r="C653" s="18" t="str">
        <f t="shared" si="4"/>
        <v/>
      </c>
      <c r="D653" s="7"/>
      <c r="F653" s="7"/>
      <c r="G653" s="19" t="str">
        <f>IFERROR(__xludf.DUMMYFUNCTION("IF(OR(E653="""",F653&lt;&gt;""Barang Datang""), """",
  IFERROR(
    INDEX(
      SORT(
        FILTER(Jadwal!F:F, Jadwal!C:C=E653),
        FILTER(Jadwal!E:E, Jadwal!C:C=E653),
        FALSE
      ),
      1
    ),
    ""TIDAK ADA JADWAL""
  )
)"),"")</f>
        <v/>
      </c>
      <c r="H653" s="7" t="str">
        <f t="shared" si="2"/>
        <v/>
      </c>
      <c r="L653" s="13"/>
      <c r="M653" s="13"/>
    </row>
    <row r="654" ht="15.75" customHeight="1">
      <c r="A654" s="14" t="str">
        <f t="shared" si="1"/>
        <v/>
      </c>
      <c r="B654" s="17" t="str">
        <f t="shared" si="3"/>
        <v/>
      </c>
      <c r="C654" s="18" t="str">
        <f t="shared" si="4"/>
        <v/>
      </c>
      <c r="D654" s="7"/>
      <c r="F654" s="7"/>
      <c r="G654" s="19" t="str">
        <f>IFERROR(__xludf.DUMMYFUNCTION("IF(OR(E654="""",F654&lt;&gt;""Barang Datang""), """",
  IFERROR(
    INDEX(
      SORT(
        FILTER(Jadwal!F:F, Jadwal!C:C=E654),
        FILTER(Jadwal!E:E, Jadwal!C:C=E654),
        FALSE
      ),
      1
    ),
    ""TIDAK ADA JADWAL""
  )
)"),"")</f>
        <v/>
      </c>
      <c r="H654" s="7" t="str">
        <f t="shared" si="2"/>
        <v/>
      </c>
      <c r="L654" s="13"/>
      <c r="M654" s="13"/>
    </row>
    <row r="655" ht="15.75" customHeight="1">
      <c r="A655" s="14" t="str">
        <f t="shared" si="1"/>
        <v/>
      </c>
      <c r="B655" s="17" t="str">
        <f t="shared" si="3"/>
        <v/>
      </c>
      <c r="C655" s="18" t="str">
        <f t="shared" si="4"/>
        <v/>
      </c>
      <c r="D655" s="7"/>
      <c r="F655" s="7"/>
      <c r="G655" s="19" t="str">
        <f>IFERROR(__xludf.DUMMYFUNCTION("IF(OR(E655="""",F655&lt;&gt;""Barang Datang""), """",
  IFERROR(
    INDEX(
      SORT(
        FILTER(Jadwal!F:F, Jadwal!C:C=E655),
        FILTER(Jadwal!E:E, Jadwal!C:C=E655),
        FALSE
      ),
      1
    ),
    ""TIDAK ADA JADWAL""
  )
)"),"")</f>
        <v/>
      </c>
      <c r="H655" s="7" t="str">
        <f t="shared" si="2"/>
        <v/>
      </c>
      <c r="L655" s="13"/>
      <c r="M655" s="13"/>
    </row>
    <row r="656" ht="15.75" customHeight="1">
      <c r="A656" s="14" t="str">
        <f t="shared" si="1"/>
        <v/>
      </c>
      <c r="B656" s="17" t="str">
        <f t="shared" si="3"/>
        <v/>
      </c>
      <c r="C656" s="18" t="str">
        <f t="shared" si="4"/>
        <v/>
      </c>
      <c r="D656" s="7"/>
      <c r="F656" s="7"/>
      <c r="G656" s="19" t="str">
        <f>IFERROR(__xludf.DUMMYFUNCTION("IF(OR(E656="""",F656&lt;&gt;""Barang Datang""), """",
  IFERROR(
    INDEX(
      SORT(
        FILTER(Jadwal!F:F, Jadwal!C:C=E656),
        FILTER(Jadwal!E:E, Jadwal!C:C=E656),
        FALSE
      ),
      1
    ),
    ""TIDAK ADA JADWAL""
  )
)"),"")</f>
        <v/>
      </c>
      <c r="H656" s="7" t="str">
        <f t="shared" si="2"/>
        <v/>
      </c>
      <c r="L656" s="13"/>
      <c r="M656" s="13"/>
    </row>
    <row r="657" ht="15.75" customHeight="1">
      <c r="A657" s="14" t="str">
        <f t="shared" si="1"/>
        <v/>
      </c>
      <c r="B657" s="17" t="str">
        <f t="shared" si="3"/>
        <v/>
      </c>
      <c r="C657" s="18" t="str">
        <f t="shared" si="4"/>
        <v/>
      </c>
      <c r="D657" s="7"/>
      <c r="F657" s="7"/>
      <c r="G657" s="19" t="str">
        <f>IFERROR(__xludf.DUMMYFUNCTION("IF(OR(E657="""",F657&lt;&gt;""Barang Datang""), """",
  IFERROR(
    INDEX(
      SORT(
        FILTER(Jadwal!F:F, Jadwal!C:C=E657),
        FILTER(Jadwal!E:E, Jadwal!C:C=E657),
        FALSE
      ),
      1
    ),
    ""TIDAK ADA JADWAL""
  )
)"),"")</f>
        <v/>
      </c>
      <c r="H657" s="7" t="str">
        <f t="shared" si="2"/>
        <v/>
      </c>
      <c r="L657" s="13"/>
      <c r="M657" s="13"/>
    </row>
    <row r="658" ht="15.75" customHeight="1">
      <c r="A658" s="14" t="str">
        <f t="shared" si="1"/>
        <v/>
      </c>
      <c r="B658" s="17" t="str">
        <f t="shared" si="3"/>
        <v/>
      </c>
      <c r="C658" s="18" t="str">
        <f t="shared" si="4"/>
        <v/>
      </c>
      <c r="D658" s="7"/>
      <c r="F658" s="7"/>
      <c r="G658" s="19" t="str">
        <f>IFERROR(__xludf.DUMMYFUNCTION("IF(OR(E658="""",F658&lt;&gt;""Barang Datang""), """",
  IFERROR(
    INDEX(
      SORT(
        FILTER(Jadwal!F:F, Jadwal!C:C=E658),
        FILTER(Jadwal!E:E, Jadwal!C:C=E658),
        FALSE
      ),
      1
    ),
    ""TIDAK ADA JADWAL""
  )
)"),"")</f>
        <v/>
      </c>
      <c r="H658" s="7" t="str">
        <f t="shared" si="2"/>
        <v/>
      </c>
      <c r="L658" s="13"/>
      <c r="M658" s="13"/>
    </row>
    <row r="659" ht="15.75" customHeight="1">
      <c r="A659" s="14" t="str">
        <f t="shared" si="1"/>
        <v/>
      </c>
      <c r="B659" s="17" t="str">
        <f t="shared" si="3"/>
        <v/>
      </c>
      <c r="C659" s="18" t="str">
        <f t="shared" si="4"/>
        <v/>
      </c>
      <c r="D659" s="7"/>
      <c r="F659" s="7"/>
      <c r="G659" s="19" t="str">
        <f>IFERROR(__xludf.DUMMYFUNCTION("IF(OR(E659="""",F659&lt;&gt;""Barang Datang""), """",
  IFERROR(
    INDEX(
      SORT(
        FILTER(Jadwal!F:F, Jadwal!C:C=E659),
        FILTER(Jadwal!E:E, Jadwal!C:C=E659),
        FALSE
      ),
      1
    ),
    ""TIDAK ADA JADWAL""
  )
)"),"")</f>
        <v/>
      </c>
      <c r="H659" s="7" t="str">
        <f t="shared" si="2"/>
        <v/>
      </c>
      <c r="L659" s="13"/>
      <c r="M659" s="13"/>
    </row>
    <row r="660" ht="15.75" customHeight="1">
      <c r="A660" s="14" t="str">
        <f t="shared" si="1"/>
        <v/>
      </c>
      <c r="B660" s="17" t="str">
        <f t="shared" si="3"/>
        <v/>
      </c>
      <c r="C660" s="18" t="str">
        <f t="shared" si="4"/>
        <v/>
      </c>
      <c r="D660" s="7"/>
      <c r="F660" s="7"/>
      <c r="G660" s="19" t="str">
        <f>IFERROR(__xludf.DUMMYFUNCTION("IF(OR(E660="""",F660&lt;&gt;""Barang Datang""), """",
  IFERROR(
    INDEX(
      SORT(
        FILTER(Jadwal!F:F, Jadwal!C:C=E660),
        FILTER(Jadwal!E:E, Jadwal!C:C=E660),
        FALSE
      ),
      1
    ),
    ""TIDAK ADA JADWAL""
  )
)"),"")</f>
        <v/>
      </c>
      <c r="H660" s="7" t="str">
        <f t="shared" si="2"/>
        <v/>
      </c>
      <c r="L660" s="13"/>
      <c r="M660" s="13"/>
    </row>
    <row r="661" ht="15.75" customHeight="1">
      <c r="A661" s="14" t="str">
        <f t="shared" si="1"/>
        <v/>
      </c>
      <c r="B661" s="17" t="str">
        <f t="shared" si="3"/>
        <v/>
      </c>
      <c r="C661" s="18" t="str">
        <f t="shared" si="4"/>
        <v/>
      </c>
      <c r="D661" s="7"/>
      <c r="F661" s="7"/>
      <c r="G661" s="19" t="str">
        <f>IFERROR(__xludf.DUMMYFUNCTION("IF(OR(E661="""",F661&lt;&gt;""Barang Datang""), """",
  IFERROR(
    INDEX(
      SORT(
        FILTER(Jadwal!F:F, Jadwal!C:C=E661),
        FILTER(Jadwal!E:E, Jadwal!C:C=E661),
        FALSE
      ),
      1
    ),
    ""TIDAK ADA JADWAL""
  )
)"),"")</f>
        <v/>
      </c>
      <c r="H661" s="7" t="str">
        <f t="shared" si="2"/>
        <v/>
      </c>
      <c r="L661" s="13"/>
      <c r="M661" s="13"/>
    </row>
    <row r="662" ht="15.75" customHeight="1">
      <c r="A662" s="14" t="str">
        <f t="shared" si="1"/>
        <v/>
      </c>
      <c r="B662" s="17" t="str">
        <f t="shared" si="3"/>
        <v/>
      </c>
      <c r="C662" s="18" t="str">
        <f t="shared" si="4"/>
        <v/>
      </c>
      <c r="D662" s="7"/>
      <c r="F662" s="7"/>
      <c r="G662" s="19" t="str">
        <f>IFERROR(__xludf.DUMMYFUNCTION("IF(OR(E662="""",F662&lt;&gt;""Barang Datang""), """",
  IFERROR(
    INDEX(
      SORT(
        FILTER(Jadwal!F:F, Jadwal!C:C=E662),
        FILTER(Jadwal!E:E, Jadwal!C:C=E662),
        FALSE
      ),
      1
    ),
    ""TIDAK ADA JADWAL""
  )
)"),"")</f>
        <v/>
      </c>
      <c r="H662" s="7" t="str">
        <f t="shared" si="2"/>
        <v/>
      </c>
      <c r="L662" s="13"/>
      <c r="M662" s="13"/>
    </row>
    <row r="663" ht="15.75" customHeight="1">
      <c r="A663" s="14" t="str">
        <f t="shared" si="1"/>
        <v/>
      </c>
      <c r="B663" s="17" t="str">
        <f t="shared" si="3"/>
        <v/>
      </c>
      <c r="C663" s="18" t="str">
        <f t="shared" si="4"/>
        <v/>
      </c>
      <c r="D663" s="7"/>
      <c r="F663" s="7"/>
      <c r="G663" s="19" t="str">
        <f>IFERROR(__xludf.DUMMYFUNCTION("IF(OR(E663="""",F663&lt;&gt;""Barang Datang""), """",
  IFERROR(
    INDEX(
      SORT(
        FILTER(Jadwal!F:F, Jadwal!C:C=E663),
        FILTER(Jadwal!E:E, Jadwal!C:C=E663),
        FALSE
      ),
      1
    ),
    ""TIDAK ADA JADWAL""
  )
)"),"")</f>
        <v/>
      </c>
      <c r="H663" s="7" t="str">
        <f t="shared" si="2"/>
        <v/>
      </c>
      <c r="L663" s="13"/>
      <c r="M663" s="13"/>
    </row>
    <row r="664" ht="15.75" customHeight="1">
      <c r="A664" s="14" t="str">
        <f t="shared" si="1"/>
        <v/>
      </c>
      <c r="B664" s="17" t="str">
        <f t="shared" si="3"/>
        <v/>
      </c>
      <c r="C664" s="18" t="str">
        <f t="shared" si="4"/>
        <v/>
      </c>
      <c r="D664" s="7"/>
      <c r="F664" s="7"/>
      <c r="G664" s="19" t="str">
        <f>IFERROR(__xludf.DUMMYFUNCTION("IF(OR(E664="""",F664&lt;&gt;""Barang Datang""), """",
  IFERROR(
    INDEX(
      SORT(
        FILTER(Jadwal!F:F, Jadwal!C:C=E664),
        FILTER(Jadwal!E:E, Jadwal!C:C=E664),
        FALSE
      ),
      1
    ),
    ""TIDAK ADA JADWAL""
  )
)"),"")</f>
        <v/>
      </c>
      <c r="H664" s="7" t="str">
        <f t="shared" si="2"/>
        <v/>
      </c>
      <c r="L664" s="13"/>
      <c r="M664" s="13"/>
    </row>
    <row r="665" ht="15.75" customHeight="1">
      <c r="A665" s="14" t="str">
        <f t="shared" si="1"/>
        <v/>
      </c>
      <c r="B665" s="17" t="str">
        <f t="shared" si="3"/>
        <v/>
      </c>
      <c r="C665" s="18" t="str">
        <f t="shared" si="4"/>
        <v/>
      </c>
      <c r="D665" s="7"/>
      <c r="F665" s="7"/>
      <c r="G665" s="19" t="str">
        <f>IFERROR(__xludf.DUMMYFUNCTION("IF(OR(E665="""",F665&lt;&gt;""Barang Datang""), """",
  IFERROR(
    INDEX(
      SORT(
        FILTER(Jadwal!F:F, Jadwal!C:C=E665),
        FILTER(Jadwal!E:E, Jadwal!C:C=E665),
        FALSE
      ),
      1
    ),
    ""TIDAK ADA JADWAL""
  )
)"),"")</f>
        <v/>
      </c>
      <c r="H665" s="7" t="str">
        <f t="shared" si="2"/>
        <v/>
      </c>
      <c r="L665" s="13"/>
      <c r="M665" s="13"/>
    </row>
    <row r="666" ht="15.75" customHeight="1">
      <c r="A666" s="14" t="str">
        <f t="shared" si="1"/>
        <v/>
      </c>
      <c r="B666" s="17" t="str">
        <f t="shared" si="3"/>
        <v/>
      </c>
      <c r="C666" s="18" t="str">
        <f t="shared" si="4"/>
        <v/>
      </c>
      <c r="D666" s="7"/>
      <c r="F666" s="7"/>
      <c r="G666" s="19" t="str">
        <f>IFERROR(__xludf.DUMMYFUNCTION("IF(OR(E666="""",F666&lt;&gt;""Barang Datang""), """",
  IFERROR(
    INDEX(
      SORT(
        FILTER(Jadwal!F:F, Jadwal!C:C=E666),
        FILTER(Jadwal!E:E, Jadwal!C:C=E666),
        FALSE
      ),
      1
    ),
    ""TIDAK ADA JADWAL""
  )
)"),"")</f>
        <v/>
      </c>
      <c r="H666" s="7" t="str">
        <f t="shared" si="2"/>
        <v/>
      </c>
      <c r="L666" s="13"/>
      <c r="M666" s="13"/>
    </row>
    <row r="667" ht="15.75" customHeight="1">
      <c r="A667" s="14" t="str">
        <f t="shared" si="1"/>
        <v/>
      </c>
      <c r="B667" s="17" t="str">
        <f t="shared" si="3"/>
        <v/>
      </c>
      <c r="C667" s="18" t="str">
        <f t="shared" si="4"/>
        <v/>
      </c>
      <c r="D667" s="7"/>
      <c r="F667" s="7"/>
      <c r="G667" s="19" t="str">
        <f>IFERROR(__xludf.DUMMYFUNCTION("IF(OR(E667="""",F667&lt;&gt;""Barang Datang""), """",
  IFERROR(
    INDEX(
      SORT(
        FILTER(Jadwal!F:F, Jadwal!C:C=E667),
        FILTER(Jadwal!E:E, Jadwal!C:C=E667),
        FALSE
      ),
      1
    ),
    ""TIDAK ADA JADWAL""
  )
)"),"")</f>
        <v/>
      </c>
      <c r="H667" s="7" t="str">
        <f t="shared" si="2"/>
        <v/>
      </c>
      <c r="L667" s="13"/>
      <c r="M667" s="13"/>
    </row>
    <row r="668" ht="15.75" customHeight="1">
      <c r="A668" s="14" t="str">
        <f t="shared" si="1"/>
        <v/>
      </c>
      <c r="B668" s="17" t="str">
        <f t="shared" si="3"/>
        <v/>
      </c>
      <c r="C668" s="18" t="str">
        <f t="shared" si="4"/>
        <v/>
      </c>
      <c r="D668" s="7"/>
      <c r="F668" s="7"/>
      <c r="G668" s="19" t="str">
        <f>IFERROR(__xludf.DUMMYFUNCTION("IF(OR(E668="""",F668&lt;&gt;""Barang Datang""), """",
  IFERROR(
    INDEX(
      SORT(
        FILTER(Jadwal!F:F, Jadwal!C:C=E668),
        FILTER(Jadwal!E:E, Jadwal!C:C=E668),
        FALSE
      ),
      1
    ),
    ""TIDAK ADA JADWAL""
  )
)"),"")</f>
        <v/>
      </c>
      <c r="H668" s="7" t="str">
        <f t="shared" si="2"/>
        <v/>
      </c>
      <c r="L668" s="13"/>
      <c r="M668" s="13"/>
    </row>
    <row r="669" ht="15.75" customHeight="1">
      <c r="A669" s="14" t="str">
        <f t="shared" si="1"/>
        <v/>
      </c>
      <c r="B669" s="17" t="str">
        <f t="shared" si="3"/>
        <v/>
      </c>
      <c r="C669" s="18" t="str">
        <f t="shared" si="4"/>
        <v/>
      </c>
      <c r="D669" s="7"/>
      <c r="F669" s="7"/>
      <c r="G669" s="19" t="str">
        <f>IFERROR(__xludf.DUMMYFUNCTION("IF(OR(E669="""",F669&lt;&gt;""Barang Datang""), """",
  IFERROR(
    INDEX(
      SORT(
        FILTER(Jadwal!F:F, Jadwal!C:C=E669),
        FILTER(Jadwal!E:E, Jadwal!C:C=E669),
        FALSE
      ),
      1
    ),
    ""TIDAK ADA JADWAL""
  )
)"),"")</f>
        <v/>
      </c>
      <c r="H669" s="7" t="str">
        <f t="shared" si="2"/>
        <v/>
      </c>
      <c r="L669" s="13"/>
      <c r="M669" s="13"/>
    </row>
    <row r="670" ht="15.75" customHeight="1">
      <c r="A670" s="14" t="str">
        <f t="shared" si="1"/>
        <v/>
      </c>
      <c r="B670" s="17" t="str">
        <f t="shared" si="3"/>
        <v/>
      </c>
      <c r="C670" s="18" t="str">
        <f t="shared" si="4"/>
        <v/>
      </c>
      <c r="D670" s="7"/>
      <c r="F670" s="7"/>
      <c r="G670" s="19" t="str">
        <f>IFERROR(__xludf.DUMMYFUNCTION("IF(OR(E670="""",F670&lt;&gt;""Barang Datang""), """",
  IFERROR(
    INDEX(
      SORT(
        FILTER(Jadwal!F:F, Jadwal!C:C=E670),
        FILTER(Jadwal!E:E, Jadwal!C:C=E670),
        FALSE
      ),
      1
    ),
    ""TIDAK ADA JADWAL""
  )
)"),"")</f>
        <v/>
      </c>
      <c r="H670" s="7" t="str">
        <f t="shared" si="2"/>
        <v/>
      </c>
      <c r="L670" s="13"/>
      <c r="M670" s="13"/>
    </row>
    <row r="671" ht="15.75" customHeight="1">
      <c r="A671" s="14" t="str">
        <f t="shared" si="1"/>
        <v/>
      </c>
      <c r="B671" s="17" t="str">
        <f t="shared" si="3"/>
        <v/>
      </c>
      <c r="C671" s="18" t="str">
        <f t="shared" si="4"/>
        <v/>
      </c>
      <c r="D671" s="7"/>
      <c r="F671" s="7"/>
      <c r="G671" s="19" t="str">
        <f>IFERROR(__xludf.DUMMYFUNCTION("IF(OR(E671="""",F671&lt;&gt;""Barang Datang""), """",
  IFERROR(
    INDEX(
      SORT(
        FILTER(Jadwal!F:F, Jadwal!C:C=E671),
        FILTER(Jadwal!E:E, Jadwal!C:C=E671),
        FALSE
      ),
      1
    ),
    ""TIDAK ADA JADWAL""
  )
)"),"")</f>
        <v/>
      </c>
      <c r="H671" s="7" t="str">
        <f t="shared" si="2"/>
        <v/>
      </c>
      <c r="L671" s="13"/>
      <c r="M671" s="13"/>
    </row>
    <row r="672" ht="15.75" customHeight="1">
      <c r="A672" s="14" t="str">
        <f t="shared" si="1"/>
        <v/>
      </c>
      <c r="B672" s="17" t="str">
        <f t="shared" si="3"/>
        <v/>
      </c>
      <c r="C672" s="18" t="str">
        <f t="shared" si="4"/>
        <v/>
      </c>
      <c r="D672" s="7"/>
      <c r="F672" s="7"/>
      <c r="G672" s="19" t="str">
        <f>IFERROR(__xludf.DUMMYFUNCTION("IF(OR(E672="""",F672&lt;&gt;""Barang Datang""), """",
  IFERROR(
    INDEX(
      SORT(
        FILTER(Jadwal!F:F, Jadwal!C:C=E672),
        FILTER(Jadwal!E:E, Jadwal!C:C=E672),
        FALSE
      ),
      1
    ),
    ""TIDAK ADA JADWAL""
  )
)"),"")</f>
        <v/>
      </c>
      <c r="H672" s="7" t="str">
        <f t="shared" si="2"/>
        <v/>
      </c>
      <c r="L672" s="13"/>
      <c r="M672" s="13"/>
    </row>
    <row r="673" ht="15.75" customHeight="1">
      <c r="A673" s="14" t="str">
        <f t="shared" si="1"/>
        <v/>
      </c>
      <c r="B673" s="17" t="str">
        <f t="shared" si="3"/>
        <v/>
      </c>
      <c r="C673" s="18" t="str">
        <f t="shared" si="4"/>
        <v/>
      </c>
      <c r="D673" s="7"/>
      <c r="F673" s="7"/>
      <c r="G673" s="19" t="str">
        <f>IFERROR(__xludf.DUMMYFUNCTION("IF(OR(E673="""",F673&lt;&gt;""Barang Datang""), """",
  IFERROR(
    INDEX(
      SORT(
        FILTER(Jadwal!F:F, Jadwal!C:C=E673),
        FILTER(Jadwal!E:E, Jadwal!C:C=E673),
        FALSE
      ),
      1
    ),
    ""TIDAK ADA JADWAL""
  )
)"),"")</f>
        <v/>
      </c>
      <c r="H673" s="7" t="str">
        <f t="shared" si="2"/>
        <v/>
      </c>
      <c r="L673" s="13"/>
      <c r="M673" s="13"/>
    </row>
    <row r="674" ht="15.75" customHeight="1">
      <c r="A674" s="14" t="str">
        <f t="shared" si="1"/>
        <v/>
      </c>
      <c r="B674" s="17" t="str">
        <f t="shared" si="3"/>
        <v/>
      </c>
      <c r="C674" s="18" t="str">
        <f t="shared" si="4"/>
        <v/>
      </c>
      <c r="D674" s="7"/>
      <c r="F674" s="7"/>
      <c r="G674" s="19" t="str">
        <f>IFERROR(__xludf.DUMMYFUNCTION("IF(OR(E674="""",F674&lt;&gt;""Barang Datang""), """",
  IFERROR(
    INDEX(
      SORT(
        FILTER(Jadwal!F:F, Jadwal!C:C=E674),
        FILTER(Jadwal!E:E, Jadwal!C:C=E674),
        FALSE
      ),
      1
    ),
    ""TIDAK ADA JADWAL""
  )
)"),"")</f>
        <v/>
      </c>
      <c r="H674" s="7" t="str">
        <f t="shared" si="2"/>
        <v/>
      </c>
      <c r="L674" s="13"/>
      <c r="M674" s="13"/>
    </row>
    <row r="675" ht="15.75" customHeight="1">
      <c r="A675" s="14" t="str">
        <f t="shared" si="1"/>
        <v/>
      </c>
      <c r="B675" s="17" t="str">
        <f t="shared" si="3"/>
        <v/>
      </c>
      <c r="C675" s="18" t="str">
        <f t="shared" si="4"/>
        <v/>
      </c>
      <c r="D675" s="7"/>
      <c r="F675" s="7"/>
      <c r="G675" s="19" t="str">
        <f>IFERROR(__xludf.DUMMYFUNCTION("IF(OR(E675="""",F675&lt;&gt;""Barang Datang""), """",
  IFERROR(
    INDEX(
      SORT(
        FILTER(Jadwal!F:F, Jadwal!C:C=E675),
        FILTER(Jadwal!E:E, Jadwal!C:C=E675),
        FALSE
      ),
      1
    ),
    ""TIDAK ADA JADWAL""
  )
)"),"")</f>
        <v/>
      </c>
      <c r="H675" s="7" t="str">
        <f t="shared" si="2"/>
        <v/>
      </c>
      <c r="L675" s="13"/>
      <c r="M675" s="13"/>
    </row>
    <row r="676" ht="15.75" customHeight="1">
      <c r="A676" s="14" t="str">
        <f t="shared" si="1"/>
        <v/>
      </c>
      <c r="B676" s="17" t="str">
        <f t="shared" si="3"/>
        <v/>
      </c>
      <c r="C676" s="18" t="str">
        <f t="shared" si="4"/>
        <v/>
      </c>
      <c r="D676" s="7"/>
      <c r="F676" s="7"/>
      <c r="G676" s="19" t="str">
        <f>IFERROR(__xludf.DUMMYFUNCTION("IF(OR(E676="""",F676&lt;&gt;""Barang Datang""), """",
  IFERROR(
    INDEX(
      SORT(
        FILTER(Jadwal!F:F, Jadwal!C:C=E676),
        FILTER(Jadwal!E:E, Jadwal!C:C=E676),
        FALSE
      ),
      1
    ),
    ""TIDAK ADA JADWAL""
  )
)"),"")</f>
        <v/>
      </c>
      <c r="H676" s="7" t="str">
        <f t="shared" si="2"/>
        <v/>
      </c>
      <c r="L676" s="13"/>
      <c r="M676" s="13"/>
    </row>
    <row r="677" ht="15.75" customHeight="1">
      <c r="A677" s="14" t="str">
        <f t="shared" si="1"/>
        <v/>
      </c>
      <c r="B677" s="17" t="str">
        <f t="shared" si="3"/>
        <v/>
      </c>
      <c r="C677" s="18" t="str">
        <f t="shared" si="4"/>
        <v/>
      </c>
      <c r="D677" s="7"/>
      <c r="F677" s="7"/>
      <c r="G677" s="19" t="str">
        <f>IFERROR(__xludf.DUMMYFUNCTION("IF(OR(E677="""",F677&lt;&gt;""Barang Datang""), """",
  IFERROR(
    INDEX(
      SORT(
        FILTER(Jadwal!F:F, Jadwal!C:C=E677),
        FILTER(Jadwal!E:E, Jadwal!C:C=E677),
        FALSE
      ),
      1
    ),
    ""TIDAK ADA JADWAL""
  )
)"),"")</f>
        <v/>
      </c>
      <c r="H677" s="7" t="str">
        <f t="shared" si="2"/>
        <v/>
      </c>
      <c r="L677" s="13"/>
      <c r="M677" s="13"/>
    </row>
    <row r="678" ht="15.75" customHeight="1">
      <c r="A678" s="14" t="str">
        <f t="shared" si="1"/>
        <v/>
      </c>
      <c r="B678" s="17" t="str">
        <f t="shared" si="3"/>
        <v/>
      </c>
      <c r="C678" s="18" t="str">
        <f t="shared" si="4"/>
        <v/>
      </c>
      <c r="D678" s="7"/>
      <c r="F678" s="7"/>
      <c r="G678" s="19" t="str">
        <f>IFERROR(__xludf.DUMMYFUNCTION("IF(OR(E678="""",F678&lt;&gt;""Barang Datang""), """",
  IFERROR(
    INDEX(
      SORT(
        FILTER(Jadwal!F:F, Jadwal!C:C=E678),
        FILTER(Jadwal!E:E, Jadwal!C:C=E678),
        FALSE
      ),
      1
    ),
    ""TIDAK ADA JADWAL""
  )
)"),"")</f>
        <v/>
      </c>
      <c r="H678" s="7" t="str">
        <f t="shared" si="2"/>
        <v/>
      </c>
      <c r="L678" s="13"/>
      <c r="M678" s="13"/>
    </row>
    <row r="679" ht="15.75" customHeight="1">
      <c r="A679" s="14" t="str">
        <f t="shared" si="1"/>
        <v/>
      </c>
      <c r="B679" s="17" t="str">
        <f t="shared" si="3"/>
        <v/>
      </c>
      <c r="C679" s="18" t="str">
        <f t="shared" si="4"/>
        <v/>
      </c>
      <c r="D679" s="7"/>
      <c r="F679" s="7"/>
      <c r="G679" s="19" t="str">
        <f>IFERROR(__xludf.DUMMYFUNCTION("IF(OR(E679="""",F679&lt;&gt;""Barang Datang""), """",
  IFERROR(
    INDEX(
      SORT(
        FILTER(Jadwal!F:F, Jadwal!C:C=E679),
        FILTER(Jadwal!E:E, Jadwal!C:C=E679),
        FALSE
      ),
      1
    ),
    ""TIDAK ADA JADWAL""
  )
)"),"")</f>
        <v/>
      </c>
      <c r="H679" s="7" t="str">
        <f t="shared" si="2"/>
        <v/>
      </c>
      <c r="L679" s="13"/>
      <c r="M679" s="13"/>
    </row>
    <row r="680" ht="15.75" customHeight="1">
      <c r="A680" s="14" t="str">
        <f t="shared" si="1"/>
        <v/>
      </c>
      <c r="B680" s="17" t="str">
        <f t="shared" si="3"/>
        <v/>
      </c>
      <c r="C680" s="18" t="str">
        <f t="shared" si="4"/>
        <v/>
      </c>
      <c r="D680" s="7"/>
      <c r="F680" s="7"/>
      <c r="G680" s="19" t="str">
        <f>IFERROR(__xludf.DUMMYFUNCTION("IF(OR(E680="""",F680&lt;&gt;""Barang Datang""), """",
  IFERROR(
    INDEX(
      SORT(
        FILTER(Jadwal!F:F, Jadwal!C:C=E680),
        FILTER(Jadwal!E:E, Jadwal!C:C=E680),
        FALSE
      ),
      1
    ),
    ""TIDAK ADA JADWAL""
  )
)"),"")</f>
        <v/>
      </c>
      <c r="H680" s="7" t="str">
        <f t="shared" si="2"/>
        <v/>
      </c>
      <c r="L680" s="13"/>
      <c r="M680" s="13"/>
    </row>
    <row r="681" ht="15.75" customHeight="1">
      <c r="A681" s="14" t="str">
        <f t="shared" si="1"/>
        <v/>
      </c>
      <c r="B681" s="17" t="str">
        <f t="shared" si="3"/>
        <v/>
      </c>
      <c r="C681" s="18" t="str">
        <f t="shared" si="4"/>
        <v/>
      </c>
      <c r="D681" s="7"/>
      <c r="F681" s="7"/>
      <c r="G681" s="19" t="str">
        <f>IFERROR(__xludf.DUMMYFUNCTION("IF(OR(E681="""",F681&lt;&gt;""Barang Datang""), """",
  IFERROR(
    INDEX(
      SORT(
        FILTER(Jadwal!F:F, Jadwal!C:C=E681),
        FILTER(Jadwal!E:E, Jadwal!C:C=E681),
        FALSE
      ),
      1
    ),
    ""TIDAK ADA JADWAL""
  )
)"),"")</f>
        <v/>
      </c>
      <c r="H681" s="7" t="str">
        <f t="shared" si="2"/>
        <v/>
      </c>
      <c r="L681" s="13"/>
      <c r="M681" s="13"/>
    </row>
    <row r="682" ht="15.75" customHeight="1">
      <c r="A682" s="14" t="str">
        <f t="shared" si="1"/>
        <v/>
      </c>
      <c r="B682" s="17" t="str">
        <f t="shared" si="3"/>
        <v/>
      </c>
      <c r="C682" s="18" t="str">
        <f t="shared" si="4"/>
        <v/>
      </c>
      <c r="D682" s="7"/>
      <c r="F682" s="7"/>
      <c r="G682" s="19" t="str">
        <f>IFERROR(__xludf.DUMMYFUNCTION("IF(OR(E682="""",F682&lt;&gt;""Barang Datang""), """",
  IFERROR(
    INDEX(
      SORT(
        FILTER(Jadwal!F:F, Jadwal!C:C=E682),
        FILTER(Jadwal!E:E, Jadwal!C:C=E682),
        FALSE
      ),
      1
    ),
    ""TIDAK ADA JADWAL""
  )
)"),"")</f>
        <v/>
      </c>
      <c r="H682" s="7" t="str">
        <f t="shared" si="2"/>
        <v/>
      </c>
      <c r="L682" s="13"/>
      <c r="M682" s="13"/>
    </row>
    <row r="683" ht="15.75" customHeight="1">
      <c r="A683" s="14" t="str">
        <f t="shared" si="1"/>
        <v/>
      </c>
      <c r="B683" s="17" t="str">
        <f t="shared" si="3"/>
        <v/>
      </c>
      <c r="C683" s="18" t="str">
        <f t="shared" si="4"/>
        <v/>
      </c>
      <c r="D683" s="7"/>
      <c r="F683" s="7"/>
      <c r="G683" s="19" t="str">
        <f>IFERROR(__xludf.DUMMYFUNCTION("IF(OR(E683="""",F683&lt;&gt;""Barang Datang""), """",
  IFERROR(
    INDEX(
      SORT(
        FILTER(Jadwal!F:F, Jadwal!C:C=E683),
        FILTER(Jadwal!E:E, Jadwal!C:C=E683),
        FALSE
      ),
      1
    ),
    ""TIDAK ADA JADWAL""
  )
)"),"")</f>
        <v/>
      </c>
      <c r="H683" s="7" t="str">
        <f t="shared" si="2"/>
        <v/>
      </c>
      <c r="L683" s="13"/>
      <c r="M683" s="13"/>
    </row>
    <row r="684" ht="15.75" customHeight="1">
      <c r="A684" s="14" t="str">
        <f t="shared" si="1"/>
        <v/>
      </c>
      <c r="B684" s="17" t="str">
        <f t="shared" si="3"/>
        <v/>
      </c>
      <c r="C684" s="18" t="str">
        <f t="shared" si="4"/>
        <v/>
      </c>
      <c r="D684" s="7"/>
      <c r="F684" s="7"/>
      <c r="G684" s="19" t="str">
        <f>IFERROR(__xludf.DUMMYFUNCTION("IF(OR(E684="""",F684&lt;&gt;""Barang Datang""), """",
  IFERROR(
    INDEX(
      SORT(
        FILTER(Jadwal!F:F, Jadwal!C:C=E684),
        FILTER(Jadwal!E:E, Jadwal!C:C=E684),
        FALSE
      ),
      1
    ),
    ""TIDAK ADA JADWAL""
  )
)"),"")</f>
        <v/>
      </c>
      <c r="H684" s="7" t="str">
        <f t="shared" si="2"/>
        <v/>
      </c>
      <c r="L684" s="13"/>
      <c r="M684" s="13"/>
    </row>
    <row r="685" ht="15.75" customHeight="1">
      <c r="A685" s="14" t="str">
        <f t="shared" si="1"/>
        <v/>
      </c>
      <c r="B685" s="17" t="str">
        <f t="shared" si="3"/>
        <v/>
      </c>
      <c r="C685" s="18" t="str">
        <f t="shared" si="4"/>
        <v/>
      </c>
      <c r="D685" s="7"/>
      <c r="F685" s="7"/>
      <c r="G685" s="19" t="str">
        <f>IFERROR(__xludf.DUMMYFUNCTION("IF(OR(E685="""",F685&lt;&gt;""Barang Datang""), """",
  IFERROR(
    INDEX(
      SORT(
        FILTER(Jadwal!F:F, Jadwal!C:C=E685),
        FILTER(Jadwal!E:E, Jadwal!C:C=E685),
        FALSE
      ),
      1
    ),
    ""TIDAK ADA JADWAL""
  )
)"),"")</f>
        <v/>
      </c>
      <c r="H685" s="7" t="str">
        <f t="shared" si="2"/>
        <v/>
      </c>
      <c r="L685" s="13"/>
      <c r="M685" s="13"/>
    </row>
    <row r="686" ht="15.75" customHeight="1">
      <c r="A686" s="14" t="str">
        <f t="shared" si="1"/>
        <v/>
      </c>
      <c r="B686" s="17" t="str">
        <f t="shared" si="3"/>
        <v/>
      </c>
      <c r="C686" s="18" t="str">
        <f t="shared" si="4"/>
        <v/>
      </c>
      <c r="D686" s="7"/>
      <c r="F686" s="7"/>
      <c r="G686" s="19" t="str">
        <f>IFERROR(__xludf.DUMMYFUNCTION("IF(OR(E686="""",F686&lt;&gt;""Barang Datang""), """",
  IFERROR(
    INDEX(
      SORT(
        FILTER(Jadwal!F:F, Jadwal!C:C=E686),
        FILTER(Jadwal!E:E, Jadwal!C:C=E686),
        FALSE
      ),
      1
    ),
    ""TIDAK ADA JADWAL""
  )
)"),"")</f>
        <v/>
      </c>
      <c r="H686" s="7" t="str">
        <f t="shared" si="2"/>
        <v/>
      </c>
      <c r="L686" s="13"/>
      <c r="M686" s="13"/>
    </row>
    <row r="687" ht="15.75" customHeight="1">
      <c r="A687" s="14" t="str">
        <f t="shared" si="1"/>
        <v/>
      </c>
      <c r="B687" s="17" t="str">
        <f t="shared" si="3"/>
        <v/>
      </c>
      <c r="C687" s="18" t="str">
        <f t="shared" si="4"/>
        <v/>
      </c>
      <c r="D687" s="7"/>
      <c r="F687" s="7"/>
      <c r="G687" s="19" t="str">
        <f>IFERROR(__xludf.DUMMYFUNCTION("IF(OR(E687="""",F687&lt;&gt;""Barang Datang""), """",
  IFERROR(
    INDEX(
      SORT(
        FILTER(Jadwal!F:F, Jadwal!C:C=E687),
        FILTER(Jadwal!E:E, Jadwal!C:C=E687),
        FALSE
      ),
      1
    ),
    ""TIDAK ADA JADWAL""
  )
)"),"")</f>
        <v/>
      </c>
      <c r="H687" s="7" t="str">
        <f t="shared" si="2"/>
        <v/>
      </c>
      <c r="L687" s="13"/>
      <c r="M687" s="13"/>
    </row>
    <row r="688" ht="15.75" customHeight="1">
      <c r="A688" s="14" t="str">
        <f t="shared" si="1"/>
        <v/>
      </c>
      <c r="B688" s="17" t="str">
        <f t="shared" si="3"/>
        <v/>
      </c>
      <c r="C688" s="18" t="str">
        <f t="shared" si="4"/>
        <v/>
      </c>
      <c r="D688" s="7"/>
      <c r="F688" s="7"/>
      <c r="G688" s="19" t="str">
        <f>IFERROR(__xludf.DUMMYFUNCTION("IF(OR(E688="""",F688&lt;&gt;""Barang Datang""), """",
  IFERROR(
    INDEX(
      SORT(
        FILTER(Jadwal!F:F, Jadwal!C:C=E688),
        FILTER(Jadwal!E:E, Jadwal!C:C=E688),
        FALSE
      ),
      1
    ),
    ""TIDAK ADA JADWAL""
  )
)"),"")</f>
        <v/>
      </c>
      <c r="H688" s="7" t="str">
        <f t="shared" si="2"/>
        <v/>
      </c>
      <c r="L688" s="13"/>
      <c r="M688" s="13"/>
    </row>
    <row r="689" ht="15.75" customHeight="1">
      <c r="A689" s="14" t="str">
        <f t="shared" si="1"/>
        <v/>
      </c>
      <c r="B689" s="17" t="str">
        <f t="shared" si="3"/>
        <v/>
      </c>
      <c r="C689" s="18" t="str">
        <f t="shared" si="4"/>
        <v/>
      </c>
      <c r="D689" s="7"/>
      <c r="F689" s="7"/>
      <c r="G689" s="19" t="str">
        <f>IFERROR(__xludf.DUMMYFUNCTION("IF(OR(E689="""",F689&lt;&gt;""Barang Datang""), """",
  IFERROR(
    INDEX(
      SORT(
        FILTER(Jadwal!F:F, Jadwal!C:C=E689),
        FILTER(Jadwal!E:E, Jadwal!C:C=E689),
        FALSE
      ),
      1
    ),
    ""TIDAK ADA JADWAL""
  )
)"),"")</f>
        <v/>
      </c>
      <c r="H689" s="7" t="str">
        <f t="shared" si="2"/>
        <v/>
      </c>
      <c r="L689" s="13"/>
      <c r="M689" s="13"/>
    </row>
    <row r="690" ht="15.75" customHeight="1">
      <c r="A690" s="14" t="str">
        <f t="shared" si="1"/>
        <v/>
      </c>
      <c r="B690" s="17" t="str">
        <f t="shared" si="3"/>
        <v/>
      </c>
      <c r="C690" s="18" t="str">
        <f t="shared" si="4"/>
        <v/>
      </c>
      <c r="D690" s="7"/>
      <c r="F690" s="7"/>
      <c r="G690" s="19" t="str">
        <f>IFERROR(__xludf.DUMMYFUNCTION("IF(OR(E690="""",F690&lt;&gt;""Barang Datang""), """",
  IFERROR(
    INDEX(
      SORT(
        FILTER(Jadwal!F:F, Jadwal!C:C=E690),
        FILTER(Jadwal!E:E, Jadwal!C:C=E690),
        FALSE
      ),
      1
    ),
    ""TIDAK ADA JADWAL""
  )
)"),"")</f>
        <v/>
      </c>
      <c r="H690" s="7" t="str">
        <f t="shared" si="2"/>
        <v/>
      </c>
      <c r="L690" s="13"/>
      <c r="M690" s="13"/>
    </row>
    <row r="691" ht="15.75" customHeight="1">
      <c r="A691" s="14" t="str">
        <f t="shared" si="1"/>
        <v/>
      </c>
      <c r="B691" s="17" t="str">
        <f t="shared" si="3"/>
        <v/>
      </c>
      <c r="C691" s="18" t="str">
        <f t="shared" si="4"/>
        <v/>
      </c>
      <c r="D691" s="7"/>
      <c r="F691" s="7"/>
      <c r="G691" s="19" t="str">
        <f>IFERROR(__xludf.DUMMYFUNCTION("IF(OR(E691="""",F691&lt;&gt;""Barang Datang""), """",
  IFERROR(
    INDEX(
      SORT(
        FILTER(Jadwal!F:F, Jadwal!C:C=E691),
        FILTER(Jadwal!E:E, Jadwal!C:C=E691),
        FALSE
      ),
      1
    ),
    ""TIDAK ADA JADWAL""
  )
)"),"")</f>
        <v/>
      </c>
      <c r="H691" s="7" t="str">
        <f t="shared" si="2"/>
        <v/>
      </c>
      <c r="L691" s="13"/>
      <c r="M691" s="13"/>
    </row>
    <row r="692" ht="15.75" customHeight="1">
      <c r="A692" s="14" t="str">
        <f t="shared" si="1"/>
        <v/>
      </c>
      <c r="B692" s="17" t="str">
        <f t="shared" si="3"/>
        <v/>
      </c>
      <c r="C692" s="18" t="str">
        <f t="shared" si="4"/>
        <v/>
      </c>
      <c r="D692" s="7"/>
      <c r="F692" s="7"/>
      <c r="G692" s="19" t="str">
        <f>IFERROR(__xludf.DUMMYFUNCTION("IF(OR(E692="""",F692&lt;&gt;""Barang Datang""), """",
  IFERROR(
    INDEX(
      SORT(
        FILTER(Jadwal!F:F, Jadwal!C:C=E692),
        FILTER(Jadwal!E:E, Jadwal!C:C=E692),
        FALSE
      ),
      1
    ),
    ""TIDAK ADA JADWAL""
  )
)"),"")</f>
        <v/>
      </c>
      <c r="H692" s="7" t="str">
        <f t="shared" si="2"/>
        <v/>
      </c>
      <c r="L692" s="13"/>
      <c r="M692" s="13"/>
    </row>
    <row r="693" ht="15.75" customHeight="1">
      <c r="A693" s="14" t="str">
        <f t="shared" si="1"/>
        <v/>
      </c>
      <c r="B693" s="17" t="str">
        <f t="shared" si="3"/>
        <v/>
      </c>
      <c r="C693" s="18" t="str">
        <f t="shared" si="4"/>
        <v/>
      </c>
      <c r="D693" s="7"/>
      <c r="F693" s="7"/>
      <c r="G693" s="19" t="str">
        <f>IFERROR(__xludf.DUMMYFUNCTION("IF(OR(E693="""",F693&lt;&gt;""Barang Datang""), """",
  IFERROR(
    INDEX(
      SORT(
        FILTER(Jadwal!F:F, Jadwal!C:C=E693),
        FILTER(Jadwal!E:E, Jadwal!C:C=E693),
        FALSE
      ),
      1
    ),
    ""TIDAK ADA JADWAL""
  )
)"),"")</f>
        <v/>
      </c>
      <c r="H693" s="7" t="str">
        <f t="shared" si="2"/>
        <v/>
      </c>
      <c r="L693" s="13"/>
      <c r="M693" s="13"/>
    </row>
    <row r="694" ht="15.75" customHeight="1">
      <c r="A694" s="14" t="str">
        <f t="shared" si="1"/>
        <v/>
      </c>
      <c r="B694" s="17" t="str">
        <f t="shared" si="3"/>
        <v/>
      </c>
      <c r="C694" s="18" t="str">
        <f t="shared" si="4"/>
        <v/>
      </c>
      <c r="D694" s="7"/>
      <c r="F694" s="7"/>
      <c r="G694" s="19" t="str">
        <f>IFERROR(__xludf.DUMMYFUNCTION("IF(OR(E694="""",F694&lt;&gt;""Barang Datang""), """",
  IFERROR(
    INDEX(
      SORT(
        FILTER(Jadwal!F:F, Jadwal!C:C=E694),
        FILTER(Jadwal!E:E, Jadwal!C:C=E694),
        FALSE
      ),
      1
    ),
    ""TIDAK ADA JADWAL""
  )
)"),"")</f>
        <v/>
      </c>
      <c r="H694" s="7" t="str">
        <f t="shared" si="2"/>
        <v/>
      </c>
      <c r="L694" s="13"/>
      <c r="M694" s="13"/>
    </row>
    <row r="695" ht="15.75" customHeight="1">
      <c r="A695" s="14" t="str">
        <f t="shared" si="1"/>
        <v/>
      </c>
      <c r="B695" s="17" t="str">
        <f t="shared" si="3"/>
        <v/>
      </c>
      <c r="C695" s="18" t="str">
        <f t="shared" si="4"/>
        <v/>
      </c>
      <c r="D695" s="7"/>
      <c r="F695" s="7"/>
      <c r="G695" s="19" t="str">
        <f>IFERROR(__xludf.DUMMYFUNCTION("IF(OR(E695="""",F695&lt;&gt;""Barang Datang""), """",
  IFERROR(
    INDEX(
      SORT(
        FILTER(Jadwal!F:F, Jadwal!C:C=E695),
        FILTER(Jadwal!E:E, Jadwal!C:C=E695),
        FALSE
      ),
      1
    ),
    ""TIDAK ADA JADWAL""
  )
)"),"")</f>
        <v/>
      </c>
      <c r="H695" s="7" t="str">
        <f t="shared" si="2"/>
        <v/>
      </c>
      <c r="L695" s="13"/>
      <c r="M695" s="13"/>
    </row>
    <row r="696" ht="15.75" customHeight="1">
      <c r="A696" s="14" t="str">
        <f t="shared" si="1"/>
        <v/>
      </c>
      <c r="B696" s="17" t="str">
        <f t="shared" si="3"/>
        <v/>
      </c>
      <c r="C696" s="18" t="str">
        <f t="shared" si="4"/>
        <v/>
      </c>
      <c r="D696" s="7"/>
      <c r="F696" s="7"/>
      <c r="G696" s="19" t="str">
        <f>IFERROR(__xludf.DUMMYFUNCTION("IF(OR(E696="""",F696&lt;&gt;""Barang Datang""), """",
  IFERROR(
    INDEX(
      SORT(
        FILTER(Jadwal!F:F, Jadwal!C:C=E696),
        FILTER(Jadwal!E:E, Jadwal!C:C=E696),
        FALSE
      ),
      1
    ),
    ""TIDAK ADA JADWAL""
  )
)"),"")</f>
        <v/>
      </c>
      <c r="H696" s="7" t="str">
        <f t="shared" si="2"/>
        <v/>
      </c>
      <c r="L696" s="13"/>
      <c r="M696" s="13"/>
    </row>
    <row r="697" ht="15.75" customHeight="1">
      <c r="A697" s="14" t="str">
        <f t="shared" si="1"/>
        <v/>
      </c>
      <c r="B697" s="17" t="str">
        <f t="shared" si="3"/>
        <v/>
      </c>
      <c r="C697" s="18" t="str">
        <f t="shared" si="4"/>
        <v/>
      </c>
      <c r="D697" s="7"/>
      <c r="F697" s="7"/>
      <c r="G697" s="19" t="str">
        <f>IFERROR(__xludf.DUMMYFUNCTION("IF(OR(E697="""",F697&lt;&gt;""Barang Datang""), """",
  IFERROR(
    INDEX(
      SORT(
        FILTER(Jadwal!F:F, Jadwal!C:C=E697),
        FILTER(Jadwal!E:E, Jadwal!C:C=E697),
        FALSE
      ),
      1
    ),
    ""TIDAK ADA JADWAL""
  )
)"),"")</f>
        <v/>
      </c>
      <c r="H697" s="7" t="str">
        <f t="shared" si="2"/>
        <v/>
      </c>
      <c r="L697" s="13"/>
      <c r="M697" s="13"/>
    </row>
    <row r="698" ht="15.75" customHeight="1">
      <c r="A698" s="14" t="str">
        <f t="shared" si="1"/>
        <v/>
      </c>
      <c r="B698" s="17" t="str">
        <f t="shared" si="3"/>
        <v/>
      </c>
      <c r="C698" s="18" t="str">
        <f t="shared" si="4"/>
        <v/>
      </c>
      <c r="D698" s="7"/>
      <c r="F698" s="7"/>
      <c r="G698" s="19" t="str">
        <f>IFERROR(__xludf.DUMMYFUNCTION("IF(OR(E698="""",F698&lt;&gt;""Barang Datang""), """",
  IFERROR(
    INDEX(
      SORT(
        FILTER(Jadwal!F:F, Jadwal!C:C=E698),
        FILTER(Jadwal!E:E, Jadwal!C:C=E698),
        FALSE
      ),
      1
    ),
    ""TIDAK ADA JADWAL""
  )
)"),"")</f>
        <v/>
      </c>
      <c r="H698" s="7" t="str">
        <f t="shared" si="2"/>
        <v/>
      </c>
      <c r="L698" s="13"/>
      <c r="M698" s="13"/>
    </row>
    <row r="699" ht="15.75" customHeight="1">
      <c r="A699" s="14" t="str">
        <f t="shared" si="1"/>
        <v/>
      </c>
      <c r="B699" s="17" t="str">
        <f t="shared" si="3"/>
        <v/>
      </c>
      <c r="C699" s="18" t="str">
        <f t="shared" si="4"/>
        <v/>
      </c>
      <c r="D699" s="7"/>
      <c r="F699" s="7"/>
      <c r="G699" s="19" t="str">
        <f>IFERROR(__xludf.DUMMYFUNCTION("IF(OR(E699="""",F699&lt;&gt;""Barang Datang""), """",
  IFERROR(
    INDEX(
      SORT(
        FILTER(Jadwal!F:F, Jadwal!C:C=E699),
        FILTER(Jadwal!E:E, Jadwal!C:C=E699),
        FALSE
      ),
      1
    ),
    ""TIDAK ADA JADWAL""
  )
)"),"")</f>
        <v/>
      </c>
      <c r="H699" s="7" t="str">
        <f t="shared" si="2"/>
        <v/>
      </c>
      <c r="L699" s="13"/>
      <c r="M699" s="13"/>
    </row>
    <row r="700" ht="15.75" customHeight="1">
      <c r="A700" s="14" t="str">
        <f t="shared" si="1"/>
        <v/>
      </c>
      <c r="B700" s="17" t="str">
        <f t="shared" si="3"/>
        <v/>
      </c>
      <c r="C700" s="18" t="str">
        <f t="shared" si="4"/>
        <v/>
      </c>
      <c r="D700" s="7"/>
      <c r="F700" s="7"/>
      <c r="G700" s="19" t="str">
        <f>IFERROR(__xludf.DUMMYFUNCTION("IF(OR(E700="""",F700&lt;&gt;""Barang Datang""), """",
  IFERROR(
    INDEX(
      SORT(
        FILTER(Jadwal!F:F, Jadwal!C:C=E700),
        FILTER(Jadwal!E:E, Jadwal!C:C=E700),
        FALSE
      ),
      1
    ),
    ""TIDAK ADA JADWAL""
  )
)"),"")</f>
        <v/>
      </c>
      <c r="H700" s="7" t="str">
        <f t="shared" si="2"/>
        <v/>
      </c>
      <c r="L700" s="13"/>
      <c r="M700" s="13"/>
    </row>
    <row r="701" ht="15.75" customHeight="1">
      <c r="A701" s="14" t="str">
        <f t="shared" si="1"/>
        <v/>
      </c>
      <c r="B701" s="17" t="str">
        <f t="shared" si="3"/>
        <v/>
      </c>
      <c r="C701" s="18" t="str">
        <f t="shared" si="4"/>
        <v/>
      </c>
      <c r="D701" s="7"/>
      <c r="F701" s="7"/>
      <c r="G701" s="19" t="str">
        <f>IFERROR(__xludf.DUMMYFUNCTION("IF(OR(E701="""",F701&lt;&gt;""Barang Datang""), """",
  IFERROR(
    INDEX(
      SORT(
        FILTER(Jadwal!F:F, Jadwal!C:C=E701),
        FILTER(Jadwal!E:E, Jadwal!C:C=E701),
        FALSE
      ),
      1
    ),
    ""TIDAK ADA JADWAL""
  )
)"),"")</f>
        <v/>
      </c>
      <c r="H701" s="7" t="str">
        <f t="shared" si="2"/>
        <v/>
      </c>
      <c r="L701" s="13"/>
      <c r="M701" s="13"/>
    </row>
    <row r="702" ht="15.75" customHeight="1">
      <c r="A702" s="14" t="str">
        <f t="shared" si="1"/>
        <v/>
      </c>
      <c r="B702" s="17" t="str">
        <f t="shared" si="3"/>
        <v/>
      </c>
      <c r="C702" s="18" t="str">
        <f t="shared" si="4"/>
        <v/>
      </c>
      <c r="D702" s="7"/>
      <c r="F702" s="7"/>
      <c r="G702" s="19" t="str">
        <f>IFERROR(__xludf.DUMMYFUNCTION("IF(OR(E702="""",F702&lt;&gt;""Barang Datang""), """",
  IFERROR(
    INDEX(
      SORT(
        FILTER(Jadwal!F:F, Jadwal!C:C=E702),
        FILTER(Jadwal!E:E, Jadwal!C:C=E702),
        FALSE
      ),
      1
    ),
    ""TIDAK ADA JADWAL""
  )
)"),"")</f>
        <v/>
      </c>
      <c r="H702" s="7" t="str">
        <f t="shared" si="2"/>
        <v/>
      </c>
      <c r="L702" s="13"/>
      <c r="M702" s="13"/>
    </row>
    <row r="703" ht="15.75" customHeight="1">
      <c r="A703" s="14" t="str">
        <f t="shared" si="1"/>
        <v/>
      </c>
      <c r="B703" s="17" t="str">
        <f t="shared" si="3"/>
        <v/>
      </c>
      <c r="C703" s="18" t="str">
        <f t="shared" si="4"/>
        <v/>
      </c>
      <c r="D703" s="7"/>
      <c r="F703" s="7"/>
      <c r="G703" s="19" t="str">
        <f>IFERROR(__xludf.DUMMYFUNCTION("IF(OR(E703="""",F703&lt;&gt;""Barang Datang""), """",
  IFERROR(
    INDEX(
      SORT(
        FILTER(Jadwal!F:F, Jadwal!C:C=E703),
        FILTER(Jadwal!E:E, Jadwal!C:C=E703),
        FALSE
      ),
      1
    ),
    ""TIDAK ADA JADWAL""
  )
)"),"")</f>
        <v/>
      </c>
      <c r="H703" s="7" t="str">
        <f t="shared" si="2"/>
        <v/>
      </c>
      <c r="L703" s="13"/>
      <c r="M703" s="13"/>
    </row>
    <row r="704" ht="15.75" customHeight="1">
      <c r="A704" s="14" t="str">
        <f t="shared" si="1"/>
        <v/>
      </c>
      <c r="B704" s="17" t="str">
        <f t="shared" si="3"/>
        <v/>
      </c>
      <c r="C704" s="18" t="str">
        <f t="shared" si="4"/>
        <v/>
      </c>
      <c r="D704" s="7"/>
      <c r="F704" s="7"/>
      <c r="G704" s="19" t="str">
        <f>IFERROR(__xludf.DUMMYFUNCTION("IF(OR(E704="""",F704&lt;&gt;""Barang Datang""), """",
  IFERROR(
    INDEX(
      SORT(
        FILTER(Jadwal!F:F, Jadwal!C:C=E704),
        FILTER(Jadwal!E:E, Jadwal!C:C=E704),
        FALSE
      ),
      1
    ),
    ""TIDAK ADA JADWAL""
  )
)"),"")</f>
        <v/>
      </c>
      <c r="H704" s="7" t="str">
        <f t="shared" si="2"/>
        <v/>
      </c>
      <c r="L704" s="13"/>
      <c r="M704" s="13"/>
    </row>
    <row r="705" ht="15.75" customHeight="1">
      <c r="A705" s="14" t="str">
        <f t="shared" si="1"/>
        <v/>
      </c>
      <c r="B705" s="17" t="str">
        <f t="shared" si="3"/>
        <v/>
      </c>
      <c r="C705" s="18" t="str">
        <f t="shared" si="4"/>
        <v/>
      </c>
      <c r="D705" s="7"/>
      <c r="F705" s="7"/>
      <c r="G705" s="19" t="str">
        <f>IFERROR(__xludf.DUMMYFUNCTION("IF(OR(E705="""",F705&lt;&gt;""Barang Datang""), """",
  IFERROR(
    INDEX(
      SORT(
        FILTER(Jadwal!F:F, Jadwal!C:C=E705),
        FILTER(Jadwal!E:E, Jadwal!C:C=E705),
        FALSE
      ),
      1
    ),
    ""TIDAK ADA JADWAL""
  )
)"),"")</f>
        <v/>
      </c>
      <c r="H705" s="7" t="str">
        <f t="shared" si="2"/>
        <v/>
      </c>
      <c r="L705" s="13"/>
      <c r="M705" s="13"/>
    </row>
    <row r="706" ht="15.75" customHeight="1">
      <c r="A706" s="14" t="str">
        <f t="shared" si="1"/>
        <v/>
      </c>
      <c r="B706" s="17" t="str">
        <f t="shared" si="3"/>
        <v/>
      </c>
      <c r="C706" s="18" t="str">
        <f t="shared" si="4"/>
        <v/>
      </c>
      <c r="D706" s="7"/>
      <c r="F706" s="7"/>
      <c r="G706" s="19" t="str">
        <f>IFERROR(__xludf.DUMMYFUNCTION("IF(OR(E706="""",F706&lt;&gt;""Barang Datang""), """",
  IFERROR(
    INDEX(
      SORT(
        FILTER(Jadwal!F:F, Jadwal!C:C=E706),
        FILTER(Jadwal!E:E, Jadwal!C:C=E706),
        FALSE
      ),
      1
    ),
    ""TIDAK ADA JADWAL""
  )
)"),"")</f>
        <v/>
      </c>
      <c r="H706" s="7" t="str">
        <f t="shared" si="2"/>
        <v/>
      </c>
      <c r="L706" s="13"/>
      <c r="M706" s="13"/>
    </row>
    <row r="707" ht="15.75" customHeight="1">
      <c r="A707" s="14" t="str">
        <f t="shared" si="1"/>
        <v/>
      </c>
      <c r="B707" s="17" t="str">
        <f t="shared" si="3"/>
        <v/>
      </c>
      <c r="C707" s="18" t="str">
        <f t="shared" si="4"/>
        <v/>
      </c>
      <c r="D707" s="7"/>
      <c r="F707" s="7"/>
      <c r="G707" s="19" t="str">
        <f>IFERROR(__xludf.DUMMYFUNCTION("IF(OR(E707="""",F707&lt;&gt;""Barang Datang""), """",
  IFERROR(
    INDEX(
      SORT(
        FILTER(Jadwal!F:F, Jadwal!C:C=E707),
        FILTER(Jadwal!E:E, Jadwal!C:C=E707),
        FALSE
      ),
      1
    ),
    ""TIDAK ADA JADWAL""
  )
)"),"")</f>
        <v/>
      </c>
      <c r="H707" s="7" t="str">
        <f t="shared" si="2"/>
        <v/>
      </c>
      <c r="L707" s="13"/>
      <c r="M707" s="13"/>
    </row>
    <row r="708" ht="15.75" customHeight="1">
      <c r="A708" s="14" t="str">
        <f t="shared" si="1"/>
        <v/>
      </c>
      <c r="B708" s="17" t="str">
        <f t="shared" si="3"/>
        <v/>
      </c>
      <c r="C708" s="18" t="str">
        <f t="shared" si="4"/>
        <v/>
      </c>
      <c r="D708" s="7"/>
      <c r="F708" s="7"/>
      <c r="G708" s="19" t="str">
        <f>IFERROR(__xludf.DUMMYFUNCTION("IF(OR(E708="""",F708&lt;&gt;""Barang Datang""), """",
  IFERROR(
    INDEX(
      SORT(
        FILTER(Jadwal!F:F, Jadwal!C:C=E708),
        FILTER(Jadwal!E:E, Jadwal!C:C=E708),
        FALSE
      ),
      1
    ),
    ""TIDAK ADA JADWAL""
  )
)"),"")</f>
        <v/>
      </c>
      <c r="H708" s="7" t="str">
        <f t="shared" si="2"/>
        <v/>
      </c>
      <c r="L708" s="13"/>
      <c r="M708" s="13"/>
    </row>
    <row r="709" ht="15.75" customHeight="1">
      <c r="A709" s="14" t="str">
        <f t="shared" si="1"/>
        <v/>
      </c>
      <c r="B709" s="17" t="str">
        <f t="shared" si="3"/>
        <v/>
      </c>
      <c r="C709" s="18" t="str">
        <f t="shared" si="4"/>
        <v/>
      </c>
      <c r="D709" s="7"/>
      <c r="F709" s="7"/>
      <c r="G709" s="19" t="str">
        <f>IFERROR(__xludf.DUMMYFUNCTION("IF(OR(E709="""",F709&lt;&gt;""Barang Datang""), """",
  IFERROR(
    INDEX(
      SORT(
        FILTER(Jadwal!F:F, Jadwal!C:C=E709),
        FILTER(Jadwal!E:E, Jadwal!C:C=E709),
        FALSE
      ),
      1
    ),
    ""TIDAK ADA JADWAL""
  )
)"),"")</f>
        <v/>
      </c>
      <c r="H709" s="7" t="str">
        <f t="shared" si="2"/>
        <v/>
      </c>
      <c r="L709" s="13"/>
      <c r="M709" s="13"/>
    </row>
    <row r="710" ht="15.75" customHeight="1">
      <c r="A710" s="14" t="str">
        <f t="shared" si="1"/>
        <v/>
      </c>
      <c r="B710" s="17" t="str">
        <f t="shared" si="3"/>
        <v/>
      </c>
      <c r="C710" s="18" t="str">
        <f t="shared" si="4"/>
        <v/>
      </c>
      <c r="D710" s="7"/>
      <c r="F710" s="7"/>
      <c r="G710" s="19" t="str">
        <f>IFERROR(__xludf.DUMMYFUNCTION("IF(OR(E710="""",F710&lt;&gt;""Barang Datang""), """",
  IFERROR(
    INDEX(
      SORT(
        FILTER(Jadwal!F:F, Jadwal!C:C=E710),
        FILTER(Jadwal!E:E, Jadwal!C:C=E710),
        FALSE
      ),
      1
    ),
    ""TIDAK ADA JADWAL""
  )
)"),"")</f>
        <v/>
      </c>
      <c r="H710" s="7" t="str">
        <f t="shared" si="2"/>
        <v/>
      </c>
      <c r="L710" s="13"/>
      <c r="M710" s="13"/>
    </row>
    <row r="711" ht="15.75" customHeight="1">
      <c r="A711" s="14" t="str">
        <f t="shared" si="1"/>
        <v/>
      </c>
      <c r="B711" s="17" t="str">
        <f t="shared" si="3"/>
        <v/>
      </c>
      <c r="C711" s="18" t="str">
        <f t="shared" si="4"/>
        <v/>
      </c>
      <c r="D711" s="7"/>
      <c r="F711" s="7"/>
      <c r="G711" s="19" t="str">
        <f>IFERROR(__xludf.DUMMYFUNCTION("IF(OR(E711="""",F711&lt;&gt;""Barang Datang""), """",
  IFERROR(
    INDEX(
      SORT(
        FILTER(Jadwal!F:F, Jadwal!C:C=E711),
        FILTER(Jadwal!E:E, Jadwal!C:C=E711),
        FALSE
      ),
      1
    ),
    ""TIDAK ADA JADWAL""
  )
)"),"")</f>
        <v/>
      </c>
      <c r="H711" s="7" t="str">
        <f t="shared" si="2"/>
        <v/>
      </c>
      <c r="L711" s="13"/>
      <c r="M711" s="13"/>
    </row>
    <row r="712" ht="15.75" customHeight="1">
      <c r="A712" s="14" t="str">
        <f t="shared" si="1"/>
        <v/>
      </c>
      <c r="B712" s="17" t="str">
        <f t="shared" si="3"/>
        <v/>
      </c>
      <c r="C712" s="18" t="str">
        <f t="shared" si="4"/>
        <v/>
      </c>
      <c r="D712" s="7"/>
      <c r="F712" s="7"/>
      <c r="G712" s="19" t="str">
        <f>IFERROR(__xludf.DUMMYFUNCTION("IF(OR(E712="""",F712&lt;&gt;""Barang Datang""), """",
  IFERROR(
    INDEX(
      SORT(
        FILTER(Jadwal!F:F, Jadwal!C:C=E712),
        FILTER(Jadwal!E:E, Jadwal!C:C=E712),
        FALSE
      ),
      1
    ),
    ""TIDAK ADA JADWAL""
  )
)"),"")</f>
        <v/>
      </c>
      <c r="H712" s="7" t="str">
        <f t="shared" si="2"/>
        <v/>
      </c>
      <c r="L712" s="13"/>
      <c r="M712" s="13"/>
    </row>
    <row r="713" ht="15.75" customHeight="1">
      <c r="A713" s="14" t="str">
        <f t="shared" si="1"/>
        <v/>
      </c>
      <c r="B713" s="17" t="str">
        <f t="shared" si="3"/>
        <v/>
      </c>
      <c r="C713" s="18" t="str">
        <f t="shared" si="4"/>
        <v/>
      </c>
      <c r="D713" s="7"/>
      <c r="F713" s="7"/>
      <c r="G713" s="19" t="str">
        <f>IFERROR(__xludf.DUMMYFUNCTION("IF(OR(E713="""",F713&lt;&gt;""Barang Datang""), """",
  IFERROR(
    INDEX(
      SORT(
        FILTER(Jadwal!F:F, Jadwal!C:C=E713),
        FILTER(Jadwal!E:E, Jadwal!C:C=E713),
        FALSE
      ),
      1
    ),
    ""TIDAK ADA JADWAL""
  )
)"),"")</f>
        <v/>
      </c>
      <c r="H713" s="7" t="str">
        <f t="shared" si="2"/>
        <v/>
      </c>
      <c r="L713" s="13"/>
      <c r="M713" s="13"/>
    </row>
    <row r="714" ht="15.75" customHeight="1">
      <c r="A714" s="14" t="str">
        <f t="shared" si="1"/>
        <v/>
      </c>
      <c r="B714" s="17" t="str">
        <f t="shared" si="3"/>
        <v/>
      </c>
      <c r="C714" s="18" t="str">
        <f t="shared" si="4"/>
        <v/>
      </c>
      <c r="D714" s="7"/>
      <c r="F714" s="7"/>
      <c r="G714" s="19" t="str">
        <f>IFERROR(__xludf.DUMMYFUNCTION("IF(OR(E714="""",F714&lt;&gt;""Barang Datang""), """",
  IFERROR(
    INDEX(
      SORT(
        FILTER(Jadwal!F:F, Jadwal!C:C=E714),
        FILTER(Jadwal!E:E, Jadwal!C:C=E714),
        FALSE
      ),
      1
    ),
    ""TIDAK ADA JADWAL""
  )
)"),"")</f>
        <v/>
      </c>
      <c r="H714" s="7" t="str">
        <f t="shared" si="2"/>
        <v/>
      </c>
      <c r="L714" s="13"/>
      <c r="M714" s="13"/>
    </row>
    <row r="715" ht="15.75" customHeight="1">
      <c r="A715" s="14" t="str">
        <f t="shared" si="1"/>
        <v/>
      </c>
      <c r="B715" s="17" t="str">
        <f t="shared" si="3"/>
        <v/>
      </c>
      <c r="C715" s="18" t="str">
        <f t="shared" si="4"/>
        <v/>
      </c>
      <c r="D715" s="7"/>
      <c r="F715" s="7"/>
      <c r="G715" s="19" t="str">
        <f>IFERROR(__xludf.DUMMYFUNCTION("IF(OR(E715="""",F715&lt;&gt;""Barang Datang""), """",
  IFERROR(
    INDEX(
      SORT(
        FILTER(Jadwal!F:F, Jadwal!C:C=E715),
        FILTER(Jadwal!E:E, Jadwal!C:C=E715),
        FALSE
      ),
      1
    ),
    ""TIDAK ADA JADWAL""
  )
)"),"")</f>
        <v/>
      </c>
      <c r="H715" s="7" t="str">
        <f t="shared" si="2"/>
        <v/>
      </c>
      <c r="L715" s="13"/>
      <c r="M715" s="13"/>
    </row>
    <row r="716" ht="15.75" customHeight="1">
      <c r="A716" s="14" t="str">
        <f t="shared" si="1"/>
        <v/>
      </c>
      <c r="B716" s="17" t="str">
        <f t="shared" si="3"/>
        <v/>
      </c>
      <c r="C716" s="18" t="str">
        <f t="shared" si="4"/>
        <v/>
      </c>
      <c r="D716" s="7"/>
      <c r="F716" s="7"/>
      <c r="G716" s="19" t="str">
        <f>IFERROR(__xludf.DUMMYFUNCTION("IF(OR(E716="""",F716&lt;&gt;""Barang Datang""), """",
  IFERROR(
    INDEX(
      SORT(
        FILTER(Jadwal!F:F, Jadwal!C:C=E716),
        FILTER(Jadwal!E:E, Jadwal!C:C=E716),
        FALSE
      ),
      1
    ),
    ""TIDAK ADA JADWAL""
  )
)"),"")</f>
        <v/>
      </c>
      <c r="H716" s="7" t="str">
        <f t="shared" si="2"/>
        <v/>
      </c>
      <c r="L716" s="13"/>
      <c r="M716" s="13"/>
    </row>
    <row r="717" ht="15.75" customHeight="1">
      <c r="A717" s="14" t="str">
        <f t="shared" si="1"/>
        <v/>
      </c>
      <c r="B717" s="17" t="str">
        <f t="shared" si="3"/>
        <v/>
      </c>
      <c r="C717" s="18" t="str">
        <f t="shared" si="4"/>
        <v/>
      </c>
      <c r="D717" s="7"/>
      <c r="F717" s="7"/>
      <c r="G717" s="19" t="str">
        <f>IFERROR(__xludf.DUMMYFUNCTION("IF(OR(E717="""",F717&lt;&gt;""Barang Datang""), """",
  IFERROR(
    INDEX(
      SORT(
        FILTER(Jadwal!F:F, Jadwal!C:C=E717),
        FILTER(Jadwal!E:E, Jadwal!C:C=E717),
        FALSE
      ),
      1
    ),
    ""TIDAK ADA JADWAL""
  )
)"),"")</f>
        <v/>
      </c>
      <c r="H717" s="7" t="str">
        <f t="shared" si="2"/>
        <v/>
      </c>
      <c r="L717" s="13"/>
      <c r="M717" s="13"/>
    </row>
    <row r="718" ht="15.75" customHeight="1">
      <c r="A718" s="14" t="str">
        <f t="shared" si="1"/>
        <v/>
      </c>
      <c r="B718" s="17" t="str">
        <f t="shared" si="3"/>
        <v/>
      </c>
      <c r="C718" s="18" t="str">
        <f t="shared" si="4"/>
        <v/>
      </c>
      <c r="D718" s="7"/>
      <c r="F718" s="7"/>
      <c r="G718" s="19" t="str">
        <f>IFERROR(__xludf.DUMMYFUNCTION("IF(OR(E718="""",F718&lt;&gt;""Barang Datang""), """",
  IFERROR(
    INDEX(
      SORT(
        FILTER(Jadwal!F:F, Jadwal!C:C=E718),
        FILTER(Jadwal!E:E, Jadwal!C:C=E718),
        FALSE
      ),
      1
    ),
    ""TIDAK ADA JADWAL""
  )
)"),"")</f>
        <v/>
      </c>
      <c r="H718" s="7" t="str">
        <f t="shared" si="2"/>
        <v/>
      </c>
      <c r="L718" s="13"/>
      <c r="M718" s="13"/>
    </row>
    <row r="719" ht="15.75" customHeight="1">
      <c r="A719" s="14" t="str">
        <f t="shared" si="1"/>
        <v/>
      </c>
      <c r="B719" s="17" t="str">
        <f t="shared" si="3"/>
        <v/>
      </c>
      <c r="C719" s="18" t="str">
        <f t="shared" si="4"/>
        <v/>
      </c>
      <c r="D719" s="7"/>
      <c r="F719" s="7"/>
      <c r="G719" s="19" t="str">
        <f>IFERROR(__xludf.DUMMYFUNCTION("IF(OR(E719="""",F719&lt;&gt;""Barang Datang""), """",
  IFERROR(
    INDEX(
      SORT(
        FILTER(Jadwal!F:F, Jadwal!C:C=E719),
        FILTER(Jadwal!E:E, Jadwal!C:C=E719),
        FALSE
      ),
      1
    ),
    ""TIDAK ADA JADWAL""
  )
)"),"")</f>
        <v/>
      </c>
      <c r="H719" s="7" t="str">
        <f t="shared" si="2"/>
        <v/>
      </c>
      <c r="L719" s="13"/>
      <c r="M719" s="13"/>
    </row>
    <row r="720" ht="15.75" customHeight="1">
      <c r="A720" s="14" t="str">
        <f t="shared" si="1"/>
        <v/>
      </c>
      <c r="B720" s="17" t="str">
        <f t="shared" si="3"/>
        <v/>
      </c>
      <c r="C720" s="18" t="str">
        <f t="shared" si="4"/>
        <v/>
      </c>
      <c r="D720" s="7"/>
      <c r="F720" s="7"/>
      <c r="G720" s="19" t="str">
        <f>IFERROR(__xludf.DUMMYFUNCTION("IF(OR(E720="""",F720&lt;&gt;""Barang Datang""), """",
  IFERROR(
    INDEX(
      SORT(
        FILTER(Jadwal!F:F, Jadwal!C:C=E720),
        FILTER(Jadwal!E:E, Jadwal!C:C=E720),
        FALSE
      ),
      1
    ),
    ""TIDAK ADA JADWAL""
  )
)"),"")</f>
        <v/>
      </c>
      <c r="H720" s="7" t="str">
        <f t="shared" si="2"/>
        <v/>
      </c>
      <c r="L720" s="13"/>
      <c r="M720" s="13"/>
    </row>
    <row r="721" ht="15.75" customHeight="1">
      <c r="A721" s="14" t="str">
        <f t="shared" si="1"/>
        <v/>
      </c>
      <c r="B721" s="17" t="str">
        <f t="shared" si="3"/>
        <v/>
      </c>
      <c r="C721" s="18" t="str">
        <f t="shared" si="4"/>
        <v/>
      </c>
      <c r="D721" s="7"/>
      <c r="F721" s="7"/>
      <c r="G721" s="19" t="str">
        <f>IFERROR(__xludf.DUMMYFUNCTION("IF(OR(E721="""",F721&lt;&gt;""Barang Datang""), """",
  IFERROR(
    INDEX(
      SORT(
        FILTER(Jadwal!F:F, Jadwal!C:C=E721),
        FILTER(Jadwal!E:E, Jadwal!C:C=E721),
        FALSE
      ),
      1
    ),
    ""TIDAK ADA JADWAL""
  )
)"),"")</f>
        <v/>
      </c>
      <c r="H721" s="7" t="str">
        <f t="shared" si="2"/>
        <v/>
      </c>
      <c r="L721" s="13"/>
      <c r="M721" s="13"/>
    </row>
    <row r="722" ht="15.75" customHeight="1">
      <c r="A722" s="14" t="str">
        <f t="shared" si="1"/>
        <v/>
      </c>
      <c r="B722" s="17" t="str">
        <f t="shared" si="3"/>
        <v/>
      </c>
      <c r="C722" s="18" t="str">
        <f t="shared" si="4"/>
        <v/>
      </c>
      <c r="D722" s="7"/>
      <c r="F722" s="7"/>
      <c r="G722" s="19" t="str">
        <f>IFERROR(__xludf.DUMMYFUNCTION("IF(OR(E722="""",F722&lt;&gt;""Barang Datang""), """",
  IFERROR(
    INDEX(
      SORT(
        FILTER(Jadwal!F:F, Jadwal!C:C=E722),
        FILTER(Jadwal!E:E, Jadwal!C:C=E722),
        FALSE
      ),
      1
    ),
    ""TIDAK ADA JADWAL""
  )
)"),"")</f>
        <v/>
      </c>
      <c r="H722" s="7" t="str">
        <f t="shared" si="2"/>
        <v/>
      </c>
      <c r="L722" s="13"/>
      <c r="M722" s="13"/>
    </row>
    <row r="723" ht="15.75" customHeight="1">
      <c r="A723" s="14" t="str">
        <f t="shared" si="1"/>
        <v/>
      </c>
      <c r="B723" s="17" t="str">
        <f t="shared" si="3"/>
        <v/>
      </c>
      <c r="C723" s="18" t="str">
        <f t="shared" si="4"/>
        <v/>
      </c>
      <c r="D723" s="7"/>
      <c r="F723" s="7"/>
      <c r="G723" s="19" t="str">
        <f>IFERROR(__xludf.DUMMYFUNCTION("IF(OR(E723="""",F723&lt;&gt;""Barang Datang""), """",
  IFERROR(
    INDEX(
      SORT(
        FILTER(Jadwal!F:F, Jadwal!C:C=E723),
        FILTER(Jadwal!E:E, Jadwal!C:C=E723),
        FALSE
      ),
      1
    ),
    ""TIDAK ADA JADWAL""
  )
)"),"")</f>
        <v/>
      </c>
      <c r="H723" s="7" t="str">
        <f t="shared" si="2"/>
        <v/>
      </c>
      <c r="L723" s="13"/>
      <c r="M723" s="13"/>
    </row>
    <row r="724" ht="15.75" customHeight="1">
      <c r="A724" s="14" t="str">
        <f t="shared" si="1"/>
        <v/>
      </c>
      <c r="B724" s="17" t="str">
        <f t="shared" si="3"/>
        <v/>
      </c>
      <c r="C724" s="18" t="str">
        <f t="shared" si="4"/>
        <v/>
      </c>
      <c r="D724" s="7"/>
      <c r="F724" s="7"/>
      <c r="G724" s="19" t="str">
        <f>IFERROR(__xludf.DUMMYFUNCTION("IF(OR(E724="""",F724&lt;&gt;""Barang Datang""), """",
  IFERROR(
    INDEX(
      SORT(
        FILTER(Jadwal!F:F, Jadwal!C:C=E724),
        FILTER(Jadwal!E:E, Jadwal!C:C=E724),
        FALSE
      ),
      1
    ),
    ""TIDAK ADA JADWAL""
  )
)"),"")</f>
        <v/>
      </c>
      <c r="H724" s="7" t="str">
        <f t="shared" si="2"/>
        <v/>
      </c>
      <c r="L724" s="13"/>
      <c r="M724" s="13"/>
    </row>
    <row r="725" ht="15.75" customHeight="1">
      <c r="A725" s="14" t="str">
        <f t="shared" si="1"/>
        <v/>
      </c>
      <c r="B725" s="17" t="str">
        <f t="shared" si="3"/>
        <v/>
      </c>
      <c r="C725" s="18" t="str">
        <f t="shared" si="4"/>
        <v/>
      </c>
      <c r="D725" s="7"/>
      <c r="F725" s="7"/>
      <c r="G725" s="19" t="str">
        <f>IFERROR(__xludf.DUMMYFUNCTION("IF(OR(E725="""",F725&lt;&gt;""Barang Datang""), """",
  IFERROR(
    INDEX(
      SORT(
        FILTER(Jadwal!F:F, Jadwal!C:C=E725),
        FILTER(Jadwal!E:E, Jadwal!C:C=E725),
        FALSE
      ),
      1
    ),
    ""TIDAK ADA JADWAL""
  )
)"),"")</f>
        <v/>
      </c>
      <c r="H725" s="7" t="str">
        <f t="shared" si="2"/>
        <v/>
      </c>
      <c r="L725" s="13"/>
      <c r="M725" s="13"/>
    </row>
    <row r="726" ht="15.75" customHeight="1">
      <c r="A726" s="14" t="str">
        <f t="shared" si="1"/>
        <v/>
      </c>
      <c r="B726" s="17" t="str">
        <f t="shared" si="3"/>
        <v/>
      </c>
      <c r="C726" s="18" t="str">
        <f t="shared" si="4"/>
        <v/>
      </c>
      <c r="D726" s="7"/>
      <c r="F726" s="7"/>
      <c r="G726" s="19" t="str">
        <f>IFERROR(__xludf.DUMMYFUNCTION("IF(OR(E726="""",F726&lt;&gt;""Barang Datang""), """",
  IFERROR(
    INDEX(
      SORT(
        FILTER(Jadwal!F:F, Jadwal!C:C=E726),
        FILTER(Jadwal!E:E, Jadwal!C:C=E726),
        FALSE
      ),
      1
    ),
    ""TIDAK ADA JADWAL""
  )
)"),"")</f>
        <v/>
      </c>
      <c r="H726" s="7" t="str">
        <f t="shared" si="2"/>
        <v/>
      </c>
      <c r="L726" s="13"/>
      <c r="M726" s="13"/>
    </row>
    <row r="727" ht="15.75" customHeight="1">
      <c r="A727" s="14" t="str">
        <f t="shared" si="1"/>
        <v/>
      </c>
      <c r="B727" s="17" t="str">
        <f t="shared" si="3"/>
        <v/>
      </c>
      <c r="C727" s="18" t="str">
        <f t="shared" si="4"/>
        <v/>
      </c>
      <c r="D727" s="7"/>
      <c r="F727" s="7"/>
      <c r="G727" s="19" t="str">
        <f>IFERROR(__xludf.DUMMYFUNCTION("IF(OR(E727="""",F727&lt;&gt;""Barang Datang""), """",
  IFERROR(
    INDEX(
      SORT(
        FILTER(Jadwal!F:F, Jadwal!C:C=E727),
        FILTER(Jadwal!E:E, Jadwal!C:C=E727),
        FALSE
      ),
      1
    ),
    ""TIDAK ADA JADWAL""
  )
)"),"")</f>
        <v/>
      </c>
      <c r="H727" s="7" t="str">
        <f t="shared" si="2"/>
        <v/>
      </c>
      <c r="L727" s="13"/>
      <c r="M727" s="13"/>
    </row>
    <row r="728" ht="15.75" customHeight="1">
      <c r="A728" s="14" t="str">
        <f t="shared" si="1"/>
        <v/>
      </c>
      <c r="B728" s="17" t="str">
        <f t="shared" si="3"/>
        <v/>
      </c>
      <c r="C728" s="18" t="str">
        <f t="shared" si="4"/>
        <v/>
      </c>
      <c r="D728" s="7"/>
      <c r="F728" s="7"/>
      <c r="G728" s="19" t="str">
        <f>IFERROR(__xludf.DUMMYFUNCTION("IF(OR(E728="""",F728&lt;&gt;""Barang Datang""), """",
  IFERROR(
    INDEX(
      SORT(
        FILTER(Jadwal!F:F, Jadwal!C:C=E728),
        FILTER(Jadwal!E:E, Jadwal!C:C=E728),
        FALSE
      ),
      1
    ),
    ""TIDAK ADA JADWAL""
  )
)"),"")</f>
        <v/>
      </c>
      <c r="H728" s="7" t="str">
        <f t="shared" si="2"/>
        <v/>
      </c>
      <c r="L728" s="13"/>
      <c r="M728" s="13"/>
    </row>
    <row r="729" ht="15.75" customHeight="1">
      <c r="A729" s="14" t="str">
        <f t="shared" si="1"/>
        <v/>
      </c>
      <c r="B729" s="17" t="str">
        <f t="shared" si="3"/>
        <v/>
      </c>
      <c r="C729" s="18" t="str">
        <f t="shared" si="4"/>
        <v/>
      </c>
      <c r="D729" s="7"/>
      <c r="F729" s="7"/>
      <c r="G729" s="19" t="str">
        <f>IFERROR(__xludf.DUMMYFUNCTION("IF(OR(E729="""",F729&lt;&gt;""Barang Datang""), """",
  IFERROR(
    INDEX(
      SORT(
        FILTER(Jadwal!F:F, Jadwal!C:C=E729),
        FILTER(Jadwal!E:E, Jadwal!C:C=E729),
        FALSE
      ),
      1
    ),
    ""TIDAK ADA JADWAL""
  )
)"),"")</f>
        <v/>
      </c>
      <c r="H729" s="7" t="str">
        <f t="shared" si="2"/>
        <v/>
      </c>
      <c r="L729" s="13"/>
      <c r="M729" s="13"/>
    </row>
    <row r="730" ht="15.75" customHeight="1">
      <c r="A730" s="14" t="str">
        <f t="shared" si="1"/>
        <v/>
      </c>
      <c r="B730" s="17" t="str">
        <f t="shared" si="3"/>
        <v/>
      </c>
      <c r="C730" s="18" t="str">
        <f t="shared" si="4"/>
        <v/>
      </c>
      <c r="D730" s="7"/>
      <c r="F730" s="7"/>
      <c r="G730" s="19" t="str">
        <f>IFERROR(__xludf.DUMMYFUNCTION("IF(OR(E730="""",F730&lt;&gt;""Barang Datang""), """",
  IFERROR(
    INDEX(
      SORT(
        FILTER(Jadwal!F:F, Jadwal!C:C=E730),
        FILTER(Jadwal!E:E, Jadwal!C:C=E730),
        FALSE
      ),
      1
    ),
    ""TIDAK ADA JADWAL""
  )
)"),"")</f>
        <v/>
      </c>
      <c r="H730" s="7" t="str">
        <f t="shared" si="2"/>
        <v/>
      </c>
      <c r="L730" s="13"/>
      <c r="M730" s="13"/>
    </row>
    <row r="731" ht="15.75" customHeight="1">
      <c r="A731" s="14" t="str">
        <f t="shared" si="1"/>
        <v/>
      </c>
      <c r="B731" s="17" t="str">
        <f t="shared" si="3"/>
        <v/>
      </c>
      <c r="C731" s="18" t="str">
        <f t="shared" si="4"/>
        <v/>
      </c>
      <c r="D731" s="7"/>
      <c r="F731" s="7"/>
      <c r="G731" s="19" t="str">
        <f>IFERROR(__xludf.DUMMYFUNCTION("IF(OR(E731="""",F731&lt;&gt;""Barang Datang""), """",
  IFERROR(
    INDEX(
      SORT(
        FILTER(Jadwal!F:F, Jadwal!C:C=E731),
        FILTER(Jadwal!E:E, Jadwal!C:C=E731),
        FALSE
      ),
      1
    ),
    ""TIDAK ADA JADWAL""
  )
)"),"")</f>
        <v/>
      </c>
      <c r="H731" s="7" t="str">
        <f t="shared" si="2"/>
        <v/>
      </c>
      <c r="L731" s="13"/>
      <c r="M731" s="13"/>
    </row>
    <row r="732" ht="15.75" customHeight="1">
      <c r="A732" s="14" t="str">
        <f t="shared" si="1"/>
        <v/>
      </c>
      <c r="B732" s="17" t="str">
        <f t="shared" si="3"/>
        <v/>
      </c>
      <c r="C732" s="18" t="str">
        <f t="shared" si="4"/>
        <v/>
      </c>
      <c r="D732" s="7"/>
      <c r="F732" s="7"/>
      <c r="G732" s="19" t="str">
        <f>IFERROR(__xludf.DUMMYFUNCTION("IF(OR(E732="""",F732&lt;&gt;""Barang Datang""), """",
  IFERROR(
    INDEX(
      SORT(
        FILTER(Jadwal!F:F, Jadwal!C:C=E732),
        FILTER(Jadwal!E:E, Jadwal!C:C=E732),
        FALSE
      ),
      1
    ),
    ""TIDAK ADA JADWAL""
  )
)"),"")</f>
        <v/>
      </c>
      <c r="H732" s="7" t="str">
        <f t="shared" si="2"/>
        <v/>
      </c>
      <c r="L732" s="13"/>
      <c r="M732" s="13"/>
    </row>
    <row r="733" ht="15.75" customHeight="1">
      <c r="A733" s="14" t="str">
        <f t="shared" si="1"/>
        <v/>
      </c>
      <c r="B733" s="17" t="str">
        <f t="shared" si="3"/>
        <v/>
      </c>
      <c r="C733" s="18" t="str">
        <f t="shared" si="4"/>
        <v/>
      </c>
      <c r="D733" s="7"/>
      <c r="F733" s="7"/>
      <c r="G733" s="19" t="str">
        <f>IFERROR(__xludf.DUMMYFUNCTION("IF(OR(E733="""",F733&lt;&gt;""Barang Datang""), """",
  IFERROR(
    INDEX(
      SORT(
        FILTER(Jadwal!F:F, Jadwal!C:C=E733),
        FILTER(Jadwal!E:E, Jadwal!C:C=E733),
        FALSE
      ),
      1
    ),
    ""TIDAK ADA JADWAL""
  )
)"),"")</f>
        <v/>
      </c>
      <c r="H733" s="7" t="str">
        <f t="shared" si="2"/>
        <v/>
      </c>
      <c r="L733" s="13"/>
      <c r="M733" s="13"/>
    </row>
    <row r="734" ht="15.75" customHeight="1">
      <c r="A734" s="14" t="str">
        <f t="shared" si="1"/>
        <v/>
      </c>
      <c r="B734" s="17" t="str">
        <f t="shared" si="3"/>
        <v/>
      </c>
      <c r="C734" s="18" t="str">
        <f t="shared" si="4"/>
        <v/>
      </c>
      <c r="D734" s="7"/>
      <c r="F734" s="7"/>
      <c r="G734" s="19" t="str">
        <f>IFERROR(__xludf.DUMMYFUNCTION("IF(OR(E734="""",F734&lt;&gt;""Barang Datang""), """",
  IFERROR(
    INDEX(
      SORT(
        FILTER(Jadwal!F:F, Jadwal!C:C=E734),
        FILTER(Jadwal!E:E, Jadwal!C:C=E734),
        FALSE
      ),
      1
    ),
    ""TIDAK ADA JADWAL""
  )
)"),"")</f>
        <v/>
      </c>
      <c r="H734" s="7" t="str">
        <f t="shared" si="2"/>
        <v/>
      </c>
      <c r="L734" s="13"/>
      <c r="M734" s="13"/>
    </row>
    <row r="735" ht="15.75" customHeight="1">
      <c r="A735" s="14" t="str">
        <f t="shared" si="1"/>
        <v/>
      </c>
      <c r="B735" s="17" t="str">
        <f t="shared" si="3"/>
        <v/>
      </c>
      <c r="C735" s="18" t="str">
        <f t="shared" si="4"/>
        <v/>
      </c>
      <c r="D735" s="7"/>
      <c r="F735" s="7"/>
      <c r="G735" s="19" t="str">
        <f>IFERROR(__xludf.DUMMYFUNCTION("IF(OR(E735="""",F735&lt;&gt;""Barang Datang""), """",
  IFERROR(
    INDEX(
      SORT(
        FILTER(Jadwal!F:F, Jadwal!C:C=E735),
        FILTER(Jadwal!E:E, Jadwal!C:C=E735),
        FALSE
      ),
      1
    ),
    ""TIDAK ADA JADWAL""
  )
)"),"")</f>
        <v/>
      </c>
      <c r="H735" s="7" t="str">
        <f t="shared" si="2"/>
        <v/>
      </c>
      <c r="L735" s="13"/>
      <c r="M735" s="13"/>
    </row>
    <row r="736" ht="15.75" customHeight="1">
      <c r="A736" s="14" t="str">
        <f t="shared" si="1"/>
        <v/>
      </c>
      <c r="B736" s="17" t="str">
        <f t="shared" si="3"/>
        <v/>
      </c>
      <c r="C736" s="18" t="str">
        <f t="shared" si="4"/>
        <v/>
      </c>
      <c r="D736" s="7"/>
      <c r="F736" s="7"/>
      <c r="G736" s="19" t="str">
        <f>IFERROR(__xludf.DUMMYFUNCTION("IF(OR(E736="""",F736&lt;&gt;""Barang Datang""), """",
  IFERROR(
    INDEX(
      SORT(
        FILTER(Jadwal!F:F, Jadwal!C:C=E736),
        FILTER(Jadwal!E:E, Jadwal!C:C=E736),
        FALSE
      ),
      1
    ),
    ""TIDAK ADA JADWAL""
  )
)"),"")</f>
        <v/>
      </c>
      <c r="H736" s="7" t="str">
        <f t="shared" si="2"/>
        <v/>
      </c>
      <c r="L736" s="13"/>
      <c r="M736" s="13"/>
    </row>
    <row r="737" ht="15.75" customHeight="1">
      <c r="A737" s="14" t="str">
        <f t="shared" si="1"/>
        <v/>
      </c>
      <c r="B737" s="17" t="str">
        <f t="shared" si="3"/>
        <v/>
      </c>
      <c r="C737" s="18" t="str">
        <f t="shared" si="4"/>
        <v/>
      </c>
      <c r="D737" s="7"/>
      <c r="F737" s="7"/>
      <c r="G737" s="19" t="str">
        <f>IFERROR(__xludf.DUMMYFUNCTION("IF(OR(E737="""",F737&lt;&gt;""Barang Datang""), """",
  IFERROR(
    INDEX(
      SORT(
        FILTER(Jadwal!F:F, Jadwal!C:C=E737),
        FILTER(Jadwal!E:E, Jadwal!C:C=E737),
        FALSE
      ),
      1
    ),
    ""TIDAK ADA JADWAL""
  )
)"),"")</f>
        <v/>
      </c>
      <c r="H737" s="7" t="str">
        <f t="shared" si="2"/>
        <v/>
      </c>
      <c r="L737" s="13"/>
      <c r="M737" s="13"/>
    </row>
    <row r="738" ht="15.75" customHeight="1">
      <c r="A738" s="14" t="str">
        <f t="shared" si="1"/>
        <v/>
      </c>
      <c r="B738" s="17" t="str">
        <f t="shared" si="3"/>
        <v/>
      </c>
      <c r="C738" s="18" t="str">
        <f t="shared" si="4"/>
        <v/>
      </c>
      <c r="D738" s="7"/>
      <c r="F738" s="7"/>
      <c r="G738" s="19" t="str">
        <f>IFERROR(__xludf.DUMMYFUNCTION("IF(OR(E738="""",F738&lt;&gt;""Barang Datang""), """",
  IFERROR(
    INDEX(
      SORT(
        FILTER(Jadwal!F:F, Jadwal!C:C=E738),
        FILTER(Jadwal!E:E, Jadwal!C:C=E738),
        FALSE
      ),
      1
    ),
    ""TIDAK ADA JADWAL""
  )
)"),"")</f>
        <v/>
      </c>
      <c r="H738" s="7" t="str">
        <f t="shared" si="2"/>
        <v/>
      </c>
      <c r="L738" s="13"/>
      <c r="M738" s="13"/>
    </row>
    <row r="739" ht="15.75" customHeight="1">
      <c r="A739" s="14" t="str">
        <f t="shared" si="1"/>
        <v/>
      </c>
      <c r="B739" s="17" t="str">
        <f t="shared" si="3"/>
        <v/>
      </c>
      <c r="C739" s="18" t="str">
        <f t="shared" si="4"/>
        <v/>
      </c>
      <c r="D739" s="7"/>
      <c r="F739" s="7"/>
      <c r="G739" s="19" t="str">
        <f>IFERROR(__xludf.DUMMYFUNCTION("IF(OR(E739="""",F739&lt;&gt;""Barang Datang""), """",
  IFERROR(
    INDEX(
      SORT(
        FILTER(Jadwal!F:F, Jadwal!C:C=E739),
        FILTER(Jadwal!E:E, Jadwal!C:C=E739),
        FALSE
      ),
      1
    ),
    ""TIDAK ADA JADWAL""
  )
)"),"")</f>
        <v/>
      </c>
      <c r="H739" s="7" t="str">
        <f t="shared" si="2"/>
        <v/>
      </c>
      <c r="L739" s="13"/>
      <c r="M739" s="13"/>
    </row>
    <row r="740" ht="15.75" customHeight="1">
      <c r="A740" s="14" t="str">
        <f t="shared" si="1"/>
        <v/>
      </c>
      <c r="B740" s="17" t="str">
        <f t="shared" si="3"/>
        <v/>
      </c>
      <c r="C740" s="18" t="str">
        <f t="shared" si="4"/>
        <v/>
      </c>
      <c r="D740" s="7"/>
      <c r="F740" s="7"/>
      <c r="G740" s="19" t="str">
        <f>IFERROR(__xludf.DUMMYFUNCTION("IF(OR(E740="""",F740&lt;&gt;""Barang Datang""), """",
  IFERROR(
    INDEX(
      SORT(
        FILTER(Jadwal!F:F, Jadwal!C:C=E740),
        FILTER(Jadwal!E:E, Jadwal!C:C=E740),
        FALSE
      ),
      1
    ),
    ""TIDAK ADA JADWAL""
  )
)"),"")</f>
        <v/>
      </c>
      <c r="H740" s="7" t="str">
        <f t="shared" si="2"/>
        <v/>
      </c>
      <c r="L740" s="13"/>
      <c r="M740" s="13"/>
    </row>
    <row r="741" ht="15.75" customHeight="1">
      <c r="A741" s="14" t="str">
        <f t="shared" si="1"/>
        <v/>
      </c>
      <c r="B741" s="17" t="str">
        <f t="shared" si="3"/>
        <v/>
      </c>
      <c r="C741" s="18" t="str">
        <f t="shared" si="4"/>
        <v/>
      </c>
      <c r="D741" s="7"/>
      <c r="F741" s="7"/>
      <c r="G741" s="19" t="str">
        <f>IFERROR(__xludf.DUMMYFUNCTION("IF(OR(E741="""",F741&lt;&gt;""Barang Datang""), """",
  IFERROR(
    INDEX(
      SORT(
        FILTER(Jadwal!F:F, Jadwal!C:C=E741),
        FILTER(Jadwal!E:E, Jadwal!C:C=E741),
        FALSE
      ),
      1
    ),
    ""TIDAK ADA JADWAL""
  )
)"),"")</f>
        <v/>
      </c>
      <c r="H741" s="7" t="str">
        <f t="shared" si="2"/>
        <v/>
      </c>
      <c r="L741" s="13"/>
      <c r="M741" s="13"/>
    </row>
    <row r="742" ht="15.75" customHeight="1">
      <c r="A742" s="14" t="str">
        <f t="shared" si="1"/>
        <v/>
      </c>
      <c r="B742" s="17" t="str">
        <f t="shared" si="3"/>
        <v/>
      </c>
      <c r="C742" s="18" t="str">
        <f t="shared" si="4"/>
        <v/>
      </c>
      <c r="D742" s="7"/>
      <c r="F742" s="7"/>
      <c r="G742" s="19" t="str">
        <f>IFERROR(__xludf.DUMMYFUNCTION("IF(OR(E742="""",F742&lt;&gt;""Barang Datang""), """",
  IFERROR(
    INDEX(
      SORT(
        FILTER(Jadwal!F:F, Jadwal!C:C=E742),
        FILTER(Jadwal!E:E, Jadwal!C:C=E742),
        FALSE
      ),
      1
    ),
    ""TIDAK ADA JADWAL""
  )
)"),"")</f>
        <v/>
      </c>
      <c r="H742" s="7" t="str">
        <f t="shared" si="2"/>
        <v/>
      </c>
      <c r="L742" s="13"/>
      <c r="M742" s="13"/>
    </row>
    <row r="743" ht="15.75" customHeight="1">
      <c r="A743" s="14" t="str">
        <f t="shared" si="1"/>
        <v/>
      </c>
      <c r="B743" s="17" t="str">
        <f t="shared" si="3"/>
        <v/>
      </c>
      <c r="C743" s="18" t="str">
        <f t="shared" si="4"/>
        <v/>
      </c>
      <c r="D743" s="7"/>
      <c r="F743" s="7"/>
      <c r="G743" s="19" t="str">
        <f>IFERROR(__xludf.DUMMYFUNCTION("IF(OR(E743="""",F743&lt;&gt;""Barang Datang""), """",
  IFERROR(
    INDEX(
      SORT(
        FILTER(Jadwal!F:F, Jadwal!C:C=E743),
        FILTER(Jadwal!E:E, Jadwal!C:C=E743),
        FALSE
      ),
      1
    ),
    ""TIDAK ADA JADWAL""
  )
)"),"")</f>
        <v/>
      </c>
      <c r="H743" s="7" t="str">
        <f t="shared" si="2"/>
        <v/>
      </c>
      <c r="L743" s="13"/>
      <c r="M743" s="13"/>
    </row>
    <row r="744" ht="15.75" customHeight="1">
      <c r="A744" s="14" t="str">
        <f t="shared" si="1"/>
        <v/>
      </c>
      <c r="B744" s="17" t="str">
        <f t="shared" si="3"/>
        <v/>
      </c>
      <c r="C744" s="18" t="str">
        <f t="shared" si="4"/>
        <v/>
      </c>
      <c r="D744" s="7"/>
      <c r="F744" s="7"/>
      <c r="G744" s="19" t="str">
        <f>IFERROR(__xludf.DUMMYFUNCTION("IF(OR(E744="""",F744&lt;&gt;""Barang Datang""), """",
  IFERROR(
    INDEX(
      SORT(
        FILTER(Jadwal!F:F, Jadwal!C:C=E744),
        FILTER(Jadwal!E:E, Jadwal!C:C=E744),
        FALSE
      ),
      1
    ),
    ""TIDAK ADA JADWAL""
  )
)"),"")</f>
        <v/>
      </c>
      <c r="H744" s="7" t="str">
        <f t="shared" si="2"/>
        <v/>
      </c>
      <c r="L744" s="13"/>
      <c r="M744" s="13"/>
    </row>
    <row r="745" ht="15.75" customHeight="1">
      <c r="A745" s="14" t="str">
        <f t="shared" si="1"/>
        <v/>
      </c>
      <c r="B745" s="17" t="str">
        <f t="shared" si="3"/>
        <v/>
      </c>
      <c r="C745" s="18" t="str">
        <f t="shared" si="4"/>
        <v/>
      </c>
      <c r="D745" s="7"/>
      <c r="F745" s="7"/>
      <c r="G745" s="19" t="str">
        <f>IFERROR(__xludf.DUMMYFUNCTION("IF(OR(E745="""",F745&lt;&gt;""Barang Datang""), """",
  IFERROR(
    INDEX(
      SORT(
        FILTER(Jadwal!F:F, Jadwal!C:C=E745),
        FILTER(Jadwal!E:E, Jadwal!C:C=E745),
        FALSE
      ),
      1
    ),
    ""TIDAK ADA JADWAL""
  )
)"),"")</f>
        <v/>
      </c>
      <c r="H745" s="7" t="str">
        <f t="shared" si="2"/>
        <v/>
      </c>
      <c r="L745" s="13"/>
      <c r="M745" s="13"/>
    </row>
    <row r="746" ht="15.75" customHeight="1">
      <c r="A746" s="14" t="str">
        <f t="shared" si="1"/>
        <v/>
      </c>
      <c r="B746" s="17" t="str">
        <f t="shared" si="3"/>
        <v/>
      </c>
      <c r="C746" s="18" t="str">
        <f t="shared" si="4"/>
        <v/>
      </c>
      <c r="D746" s="7"/>
      <c r="F746" s="7"/>
      <c r="G746" s="19" t="str">
        <f>IFERROR(__xludf.DUMMYFUNCTION("IF(OR(E746="""",F746&lt;&gt;""Barang Datang""), """",
  IFERROR(
    INDEX(
      SORT(
        FILTER(Jadwal!F:F, Jadwal!C:C=E746),
        FILTER(Jadwal!E:E, Jadwal!C:C=E746),
        FALSE
      ),
      1
    ),
    ""TIDAK ADA JADWAL""
  )
)"),"")</f>
        <v/>
      </c>
      <c r="H746" s="7" t="str">
        <f t="shared" si="2"/>
        <v/>
      </c>
      <c r="L746" s="13"/>
      <c r="M746" s="13"/>
    </row>
    <row r="747" ht="15.75" customHeight="1">
      <c r="A747" s="14" t="str">
        <f t="shared" si="1"/>
        <v/>
      </c>
      <c r="B747" s="17" t="str">
        <f t="shared" si="3"/>
        <v/>
      </c>
      <c r="C747" s="18" t="str">
        <f t="shared" si="4"/>
        <v/>
      </c>
      <c r="D747" s="7"/>
      <c r="F747" s="7"/>
      <c r="G747" s="19" t="str">
        <f>IFERROR(__xludf.DUMMYFUNCTION("IF(OR(E747="""",F747&lt;&gt;""Barang Datang""), """",
  IFERROR(
    INDEX(
      SORT(
        FILTER(Jadwal!F:F, Jadwal!C:C=E747),
        FILTER(Jadwal!E:E, Jadwal!C:C=E747),
        FALSE
      ),
      1
    ),
    ""TIDAK ADA JADWAL""
  )
)"),"")</f>
        <v/>
      </c>
      <c r="H747" s="7" t="str">
        <f t="shared" si="2"/>
        <v/>
      </c>
      <c r="L747" s="13"/>
      <c r="M747" s="13"/>
    </row>
    <row r="748" ht="15.75" customHeight="1">
      <c r="A748" s="14" t="str">
        <f t="shared" si="1"/>
        <v/>
      </c>
      <c r="B748" s="17" t="str">
        <f t="shared" si="3"/>
        <v/>
      </c>
      <c r="C748" s="18" t="str">
        <f t="shared" si="4"/>
        <v/>
      </c>
      <c r="D748" s="7"/>
      <c r="F748" s="7"/>
      <c r="G748" s="19" t="str">
        <f>IFERROR(__xludf.DUMMYFUNCTION("IF(OR(E748="""",F748&lt;&gt;""Barang Datang""), """",
  IFERROR(
    INDEX(
      SORT(
        FILTER(Jadwal!F:F, Jadwal!C:C=E748),
        FILTER(Jadwal!E:E, Jadwal!C:C=E748),
        FALSE
      ),
      1
    ),
    ""TIDAK ADA JADWAL""
  )
)"),"")</f>
        <v/>
      </c>
      <c r="H748" s="7" t="str">
        <f t="shared" si="2"/>
        <v/>
      </c>
      <c r="L748" s="13"/>
      <c r="M748" s="13"/>
    </row>
    <row r="749" ht="15.75" customHeight="1">
      <c r="A749" s="14" t="str">
        <f t="shared" si="1"/>
        <v/>
      </c>
      <c r="B749" s="17" t="str">
        <f t="shared" si="3"/>
        <v/>
      </c>
      <c r="C749" s="18" t="str">
        <f t="shared" si="4"/>
        <v/>
      </c>
      <c r="D749" s="7"/>
      <c r="F749" s="7"/>
      <c r="G749" s="19" t="str">
        <f>IFERROR(__xludf.DUMMYFUNCTION("IF(OR(E749="""",F749&lt;&gt;""Barang Datang""), """",
  IFERROR(
    INDEX(
      SORT(
        FILTER(Jadwal!F:F, Jadwal!C:C=E749),
        FILTER(Jadwal!E:E, Jadwal!C:C=E749),
        FALSE
      ),
      1
    ),
    ""TIDAK ADA JADWAL""
  )
)"),"")</f>
        <v/>
      </c>
      <c r="H749" s="7" t="str">
        <f t="shared" si="2"/>
        <v/>
      </c>
      <c r="L749" s="13"/>
      <c r="M749" s="13"/>
    </row>
    <row r="750" ht="15.75" customHeight="1">
      <c r="A750" s="14" t="str">
        <f t="shared" si="1"/>
        <v/>
      </c>
      <c r="B750" s="17" t="str">
        <f t="shared" si="3"/>
        <v/>
      </c>
      <c r="C750" s="18" t="str">
        <f t="shared" si="4"/>
        <v/>
      </c>
      <c r="D750" s="7"/>
      <c r="F750" s="7"/>
      <c r="G750" s="19" t="str">
        <f>IFERROR(__xludf.DUMMYFUNCTION("IF(OR(E750="""",F750&lt;&gt;""Barang Datang""), """",
  IFERROR(
    INDEX(
      SORT(
        FILTER(Jadwal!F:F, Jadwal!C:C=E750),
        FILTER(Jadwal!E:E, Jadwal!C:C=E750),
        FALSE
      ),
      1
    ),
    ""TIDAK ADA JADWAL""
  )
)"),"")</f>
        <v/>
      </c>
      <c r="H750" s="7" t="str">
        <f t="shared" si="2"/>
        <v/>
      </c>
      <c r="L750" s="13"/>
      <c r="M750" s="13"/>
    </row>
    <row r="751" ht="15.75" customHeight="1">
      <c r="A751" s="14" t="str">
        <f t="shared" si="1"/>
        <v/>
      </c>
      <c r="B751" s="17" t="str">
        <f t="shared" si="3"/>
        <v/>
      </c>
      <c r="C751" s="18" t="str">
        <f t="shared" si="4"/>
        <v/>
      </c>
      <c r="D751" s="7"/>
      <c r="F751" s="7"/>
      <c r="G751" s="19" t="str">
        <f>IFERROR(__xludf.DUMMYFUNCTION("IF(OR(E751="""",F751&lt;&gt;""Barang Datang""), """",
  IFERROR(
    INDEX(
      SORT(
        FILTER(Jadwal!F:F, Jadwal!C:C=E751),
        FILTER(Jadwal!E:E, Jadwal!C:C=E751),
        FALSE
      ),
      1
    ),
    ""TIDAK ADA JADWAL""
  )
)"),"")</f>
        <v/>
      </c>
      <c r="H751" s="7" t="str">
        <f t="shared" si="2"/>
        <v/>
      </c>
      <c r="L751" s="13"/>
      <c r="M751" s="13"/>
    </row>
    <row r="752" ht="15.75" customHeight="1">
      <c r="A752" s="14" t="str">
        <f t="shared" si="1"/>
        <v/>
      </c>
      <c r="B752" s="17" t="str">
        <f t="shared" si="3"/>
        <v/>
      </c>
      <c r="C752" s="18" t="str">
        <f t="shared" si="4"/>
        <v/>
      </c>
      <c r="D752" s="7"/>
      <c r="F752" s="7"/>
      <c r="G752" s="19" t="str">
        <f>IFERROR(__xludf.DUMMYFUNCTION("IF(OR(E752="""",F752&lt;&gt;""Barang Datang""), """",
  IFERROR(
    INDEX(
      SORT(
        FILTER(Jadwal!F:F, Jadwal!C:C=E752),
        FILTER(Jadwal!E:E, Jadwal!C:C=E752),
        FALSE
      ),
      1
    ),
    ""TIDAK ADA JADWAL""
  )
)"),"")</f>
        <v/>
      </c>
      <c r="H752" s="7" t="str">
        <f t="shared" si="2"/>
        <v/>
      </c>
      <c r="L752" s="13"/>
      <c r="M752" s="13"/>
    </row>
    <row r="753" ht="15.75" customHeight="1">
      <c r="A753" s="14" t="str">
        <f t="shared" si="1"/>
        <v/>
      </c>
      <c r="B753" s="17" t="str">
        <f t="shared" si="3"/>
        <v/>
      </c>
      <c r="C753" s="18" t="str">
        <f t="shared" si="4"/>
        <v/>
      </c>
      <c r="D753" s="7"/>
      <c r="F753" s="7"/>
      <c r="G753" s="19" t="str">
        <f>IFERROR(__xludf.DUMMYFUNCTION("IF(OR(E753="""",F753&lt;&gt;""Barang Datang""), """",
  IFERROR(
    INDEX(
      SORT(
        FILTER(Jadwal!F:F, Jadwal!C:C=E753),
        FILTER(Jadwal!E:E, Jadwal!C:C=E753),
        FALSE
      ),
      1
    ),
    ""TIDAK ADA JADWAL""
  )
)"),"")</f>
        <v/>
      </c>
      <c r="H753" s="7" t="str">
        <f t="shared" si="2"/>
        <v/>
      </c>
      <c r="L753" s="13"/>
      <c r="M753" s="13"/>
    </row>
    <row r="754" ht="15.75" customHeight="1">
      <c r="A754" s="14" t="str">
        <f t="shared" si="1"/>
        <v/>
      </c>
      <c r="B754" s="17" t="str">
        <f t="shared" si="3"/>
        <v/>
      </c>
      <c r="C754" s="18" t="str">
        <f t="shared" si="4"/>
        <v/>
      </c>
      <c r="D754" s="7"/>
      <c r="F754" s="7"/>
      <c r="G754" s="19" t="str">
        <f>IFERROR(__xludf.DUMMYFUNCTION("IF(OR(E754="""",F754&lt;&gt;""Barang Datang""), """",
  IFERROR(
    INDEX(
      SORT(
        FILTER(Jadwal!F:F, Jadwal!C:C=E754),
        FILTER(Jadwal!E:E, Jadwal!C:C=E754),
        FALSE
      ),
      1
    ),
    ""TIDAK ADA JADWAL""
  )
)"),"")</f>
        <v/>
      </c>
      <c r="H754" s="7" t="str">
        <f t="shared" si="2"/>
        <v/>
      </c>
      <c r="L754" s="13"/>
      <c r="M754" s="13"/>
    </row>
    <row r="755" ht="15.75" customHeight="1">
      <c r="A755" s="14" t="str">
        <f t="shared" si="1"/>
        <v/>
      </c>
      <c r="B755" s="17" t="str">
        <f t="shared" si="3"/>
        <v/>
      </c>
      <c r="C755" s="18" t="str">
        <f t="shared" si="4"/>
        <v/>
      </c>
      <c r="D755" s="7"/>
      <c r="F755" s="7"/>
      <c r="G755" s="19" t="str">
        <f>IFERROR(__xludf.DUMMYFUNCTION("IF(OR(E755="""",F755&lt;&gt;""Barang Datang""), """",
  IFERROR(
    INDEX(
      SORT(
        FILTER(Jadwal!F:F, Jadwal!C:C=E755),
        FILTER(Jadwal!E:E, Jadwal!C:C=E755),
        FALSE
      ),
      1
    ),
    ""TIDAK ADA JADWAL""
  )
)"),"")</f>
        <v/>
      </c>
      <c r="H755" s="7" t="str">
        <f t="shared" si="2"/>
        <v/>
      </c>
      <c r="L755" s="13"/>
      <c r="M755" s="13"/>
    </row>
    <row r="756" ht="15.75" customHeight="1">
      <c r="A756" s="14" t="str">
        <f t="shared" si="1"/>
        <v/>
      </c>
      <c r="B756" s="17" t="str">
        <f t="shared" si="3"/>
        <v/>
      </c>
      <c r="C756" s="18" t="str">
        <f t="shared" si="4"/>
        <v/>
      </c>
      <c r="D756" s="7"/>
      <c r="F756" s="7"/>
      <c r="G756" s="19" t="str">
        <f>IFERROR(__xludf.DUMMYFUNCTION("IF(OR(E756="""",F756&lt;&gt;""Barang Datang""), """",
  IFERROR(
    INDEX(
      SORT(
        FILTER(Jadwal!F:F, Jadwal!C:C=E756),
        FILTER(Jadwal!E:E, Jadwal!C:C=E756),
        FALSE
      ),
      1
    ),
    ""TIDAK ADA JADWAL""
  )
)"),"")</f>
        <v/>
      </c>
      <c r="H756" s="7" t="str">
        <f t="shared" si="2"/>
        <v/>
      </c>
      <c r="L756" s="13"/>
      <c r="M756" s="13"/>
    </row>
    <row r="757" ht="15.75" customHeight="1">
      <c r="A757" s="14" t="str">
        <f t="shared" si="1"/>
        <v/>
      </c>
      <c r="B757" s="17" t="str">
        <f t="shared" si="3"/>
        <v/>
      </c>
      <c r="C757" s="18" t="str">
        <f t="shared" si="4"/>
        <v/>
      </c>
      <c r="D757" s="7"/>
      <c r="F757" s="7"/>
      <c r="G757" s="19" t="str">
        <f>IFERROR(__xludf.DUMMYFUNCTION("IF(OR(E757="""",F757&lt;&gt;""Barang Datang""), """",
  IFERROR(
    INDEX(
      SORT(
        FILTER(Jadwal!F:F, Jadwal!C:C=E757),
        FILTER(Jadwal!E:E, Jadwal!C:C=E757),
        FALSE
      ),
      1
    ),
    ""TIDAK ADA JADWAL""
  )
)"),"")</f>
        <v/>
      </c>
      <c r="H757" s="7" t="str">
        <f t="shared" si="2"/>
        <v/>
      </c>
      <c r="L757" s="13"/>
      <c r="M757" s="13"/>
    </row>
    <row r="758" ht="15.75" customHeight="1">
      <c r="A758" s="14" t="str">
        <f t="shared" si="1"/>
        <v/>
      </c>
      <c r="B758" s="17" t="str">
        <f t="shared" si="3"/>
        <v/>
      </c>
      <c r="C758" s="18" t="str">
        <f t="shared" si="4"/>
        <v/>
      </c>
      <c r="D758" s="7"/>
      <c r="F758" s="7"/>
      <c r="G758" s="19" t="str">
        <f>IFERROR(__xludf.DUMMYFUNCTION("IF(OR(E758="""",F758&lt;&gt;""Barang Datang""), """",
  IFERROR(
    INDEX(
      SORT(
        FILTER(Jadwal!F:F, Jadwal!C:C=E758),
        FILTER(Jadwal!E:E, Jadwal!C:C=E758),
        FALSE
      ),
      1
    ),
    ""TIDAK ADA JADWAL""
  )
)"),"")</f>
        <v/>
      </c>
      <c r="H758" s="7" t="str">
        <f t="shared" si="2"/>
        <v/>
      </c>
      <c r="L758" s="13"/>
      <c r="M758" s="13"/>
    </row>
    <row r="759" ht="15.75" customHeight="1">
      <c r="A759" s="14" t="str">
        <f t="shared" si="1"/>
        <v/>
      </c>
      <c r="B759" s="17" t="str">
        <f t="shared" si="3"/>
        <v/>
      </c>
      <c r="C759" s="18" t="str">
        <f t="shared" si="4"/>
        <v/>
      </c>
      <c r="D759" s="7"/>
      <c r="F759" s="7"/>
      <c r="G759" s="19" t="str">
        <f>IFERROR(__xludf.DUMMYFUNCTION("IF(OR(E759="""",F759&lt;&gt;""Barang Datang""), """",
  IFERROR(
    INDEX(
      SORT(
        FILTER(Jadwal!F:F, Jadwal!C:C=E759),
        FILTER(Jadwal!E:E, Jadwal!C:C=E759),
        FALSE
      ),
      1
    ),
    ""TIDAK ADA JADWAL""
  )
)"),"")</f>
        <v/>
      </c>
      <c r="H759" s="7" t="str">
        <f t="shared" si="2"/>
        <v/>
      </c>
      <c r="L759" s="13"/>
      <c r="M759" s="13"/>
    </row>
    <row r="760" ht="15.75" customHeight="1">
      <c r="A760" s="14" t="str">
        <f t="shared" si="1"/>
        <v/>
      </c>
      <c r="B760" s="17" t="str">
        <f t="shared" si="3"/>
        <v/>
      </c>
      <c r="C760" s="18" t="str">
        <f t="shared" si="4"/>
        <v/>
      </c>
      <c r="D760" s="7"/>
      <c r="F760" s="7"/>
      <c r="G760" s="19" t="str">
        <f>IFERROR(__xludf.DUMMYFUNCTION("IF(OR(E760="""",F760&lt;&gt;""Barang Datang""), """",
  IFERROR(
    INDEX(
      SORT(
        FILTER(Jadwal!F:F, Jadwal!C:C=E760),
        FILTER(Jadwal!E:E, Jadwal!C:C=E760),
        FALSE
      ),
      1
    ),
    ""TIDAK ADA JADWAL""
  )
)"),"")</f>
        <v/>
      </c>
      <c r="H760" s="7" t="str">
        <f t="shared" si="2"/>
        <v/>
      </c>
      <c r="L760" s="13"/>
      <c r="M760" s="13"/>
    </row>
    <row r="761" ht="15.75" customHeight="1">
      <c r="A761" s="14" t="str">
        <f t="shared" si="1"/>
        <v/>
      </c>
      <c r="B761" s="17" t="str">
        <f t="shared" si="3"/>
        <v/>
      </c>
      <c r="C761" s="18" t="str">
        <f t="shared" si="4"/>
        <v/>
      </c>
      <c r="D761" s="7"/>
      <c r="F761" s="7"/>
      <c r="G761" s="19" t="str">
        <f>IFERROR(__xludf.DUMMYFUNCTION("IF(OR(E761="""",F761&lt;&gt;""Barang Datang""), """",
  IFERROR(
    INDEX(
      SORT(
        FILTER(Jadwal!F:F, Jadwal!C:C=E761),
        FILTER(Jadwal!E:E, Jadwal!C:C=E761),
        FALSE
      ),
      1
    ),
    ""TIDAK ADA JADWAL""
  )
)"),"")</f>
        <v/>
      </c>
      <c r="H761" s="7" t="str">
        <f t="shared" si="2"/>
        <v/>
      </c>
      <c r="L761" s="13"/>
      <c r="M761" s="13"/>
    </row>
    <row r="762" ht="15.75" customHeight="1">
      <c r="A762" s="14" t="str">
        <f t="shared" si="1"/>
        <v/>
      </c>
      <c r="B762" s="17" t="str">
        <f t="shared" si="3"/>
        <v/>
      </c>
      <c r="C762" s="18" t="str">
        <f t="shared" si="4"/>
        <v/>
      </c>
      <c r="D762" s="7"/>
      <c r="F762" s="7"/>
      <c r="G762" s="19" t="str">
        <f>IFERROR(__xludf.DUMMYFUNCTION("IF(OR(E762="""",F762&lt;&gt;""Barang Datang""), """",
  IFERROR(
    INDEX(
      SORT(
        FILTER(Jadwal!F:F, Jadwal!C:C=E762),
        FILTER(Jadwal!E:E, Jadwal!C:C=E762),
        FALSE
      ),
      1
    ),
    ""TIDAK ADA JADWAL""
  )
)"),"")</f>
        <v/>
      </c>
      <c r="H762" s="7" t="str">
        <f t="shared" si="2"/>
        <v/>
      </c>
      <c r="L762" s="13"/>
      <c r="M762" s="13"/>
    </row>
    <row r="763" ht="15.75" customHeight="1">
      <c r="A763" s="14" t="str">
        <f t="shared" si="1"/>
        <v/>
      </c>
      <c r="B763" s="17" t="str">
        <f t="shared" si="3"/>
        <v/>
      </c>
      <c r="C763" s="18" t="str">
        <f t="shared" si="4"/>
        <v/>
      </c>
      <c r="D763" s="7"/>
      <c r="F763" s="7"/>
      <c r="G763" s="19" t="str">
        <f>IFERROR(__xludf.DUMMYFUNCTION("IF(OR(E763="""",F763&lt;&gt;""Barang Datang""), """",
  IFERROR(
    INDEX(
      SORT(
        FILTER(Jadwal!F:F, Jadwal!C:C=E763),
        FILTER(Jadwal!E:E, Jadwal!C:C=E763),
        FALSE
      ),
      1
    ),
    ""TIDAK ADA JADWAL""
  )
)"),"")</f>
        <v/>
      </c>
      <c r="H763" s="7" t="str">
        <f t="shared" si="2"/>
        <v/>
      </c>
      <c r="L763" s="13"/>
      <c r="M763" s="13"/>
    </row>
    <row r="764" ht="15.75" customHeight="1">
      <c r="A764" s="14" t="str">
        <f t="shared" si="1"/>
        <v/>
      </c>
      <c r="B764" s="17" t="str">
        <f t="shared" si="3"/>
        <v/>
      </c>
      <c r="C764" s="18" t="str">
        <f t="shared" si="4"/>
        <v/>
      </c>
      <c r="D764" s="7"/>
      <c r="F764" s="7"/>
      <c r="G764" s="19" t="str">
        <f>IFERROR(__xludf.DUMMYFUNCTION("IF(OR(E764="""",F764&lt;&gt;""Barang Datang""), """",
  IFERROR(
    INDEX(
      SORT(
        FILTER(Jadwal!F:F, Jadwal!C:C=E764),
        FILTER(Jadwal!E:E, Jadwal!C:C=E764),
        FALSE
      ),
      1
    ),
    ""TIDAK ADA JADWAL""
  )
)"),"")</f>
        <v/>
      </c>
      <c r="H764" s="7" t="str">
        <f t="shared" si="2"/>
        <v/>
      </c>
      <c r="L764" s="13"/>
      <c r="M764" s="13"/>
    </row>
    <row r="765" ht="15.75" customHeight="1">
      <c r="A765" s="14" t="str">
        <f t="shared" si="1"/>
        <v/>
      </c>
      <c r="B765" s="17" t="str">
        <f t="shared" si="3"/>
        <v/>
      </c>
      <c r="C765" s="18" t="str">
        <f t="shared" si="4"/>
        <v/>
      </c>
      <c r="D765" s="7"/>
      <c r="F765" s="7"/>
      <c r="G765" s="19" t="str">
        <f>IFERROR(__xludf.DUMMYFUNCTION("IF(OR(E765="""",F765&lt;&gt;""Barang Datang""), """",
  IFERROR(
    INDEX(
      SORT(
        FILTER(Jadwal!F:F, Jadwal!C:C=E765),
        FILTER(Jadwal!E:E, Jadwal!C:C=E765),
        FALSE
      ),
      1
    ),
    ""TIDAK ADA JADWAL""
  )
)"),"")</f>
        <v/>
      </c>
      <c r="H765" s="7" t="str">
        <f t="shared" si="2"/>
        <v/>
      </c>
      <c r="L765" s="13"/>
      <c r="M765" s="13"/>
    </row>
    <row r="766" ht="15.75" customHeight="1">
      <c r="A766" s="14" t="str">
        <f t="shared" si="1"/>
        <v/>
      </c>
      <c r="B766" s="17" t="str">
        <f t="shared" si="3"/>
        <v/>
      </c>
      <c r="C766" s="18" t="str">
        <f t="shared" si="4"/>
        <v/>
      </c>
      <c r="D766" s="7"/>
      <c r="F766" s="7"/>
      <c r="G766" s="19" t="str">
        <f>IFERROR(__xludf.DUMMYFUNCTION("IF(OR(E766="""",F766&lt;&gt;""Barang Datang""), """",
  IFERROR(
    INDEX(
      SORT(
        FILTER(Jadwal!F:F, Jadwal!C:C=E766),
        FILTER(Jadwal!E:E, Jadwal!C:C=E766),
        FALSE
      ),
      1
    ),
    ""TIDAK ADA JADWAL""
  )
)"),"")</f>
        <v/>
      </c>
      <c r="H766" s="7" t="str">
        <f t="shared" si="2"/>
        <v/>
      </c>
      <c r="L766" s="13"/>
      <c r="M766" s="13"/>
    </row>
    <row r="767" ht="15.75" customHeight="1">
      <c r="A767" s="14" t="str">
        <f t="shared" si="1"/>
        <v/>
      </c>
      <c r="B767" s="17" t="str">
        <f t="shared" si="3"/>
        <v/>
      </c>
      <c r="C767" s="18" t="str">
        <f t="shared" si="4"/>
        <v/>
      </c>
      <c r="D767" s="7"/>
      <c r="F767" s="7"/>
      <c r="G767" s="19" t="str">
        <f>IFERROR(__xludf.DUMMYFUNCTION("IF(OR(E767="""",F767&lt;&gt;""Barang Datang""), """",
  IFERROR(
    INDEX(
      SORT(
        FILTER(Jadwal!F:F, Jadwal!C:C=E767),
        FILTER(Jadwal!E:E, Jadwal!C:C=E767),
        FALSE
      ),
      1
    ),
    ""TIDAK ADA JADWAL""
  )
)"),"")</f>
        <v/>
      </c>
      <c r="H767" s="7" t="str">
        <f t="shared" si="2"/>
        <v/>
      </c>
      <c r="L767" s="13"/>
      <c r="M767" s="13"/>
    </row>
    <row r="768" ht="15.75" customHeight="1">
      <c r="A768" s="14" t="str">
        <f t="shared" si="1"/>
        <v/>
      </c>
      <c r="B768" s="17" t="str">
        <f t="shared" si="3"/>
        <v/>
      </c>
      <c r="C768" s="18" t="str">
        <f t="shared" si="4"/>
        <v/>
      </c>
      <c r="D768" s="7"/>
      <c r="F768" s="7"/>
      <c r="G768" s="19" t="str">
        <f>IFERROR(__xludf.DUMMYFUNCTION("IF(OR(E768="""",F768&lt;&gt;""Barang Datang""), """",
  IFERROR(
    INDEX(
      SORT(
        FILTER(Jadwal!F:F, Jadwal!C:C=E768),
        FILTER(Jadwal!E:E, Jadwal!C:C=E768),
        FALSE
      ),
      1
    ),
    ""TIDAK ADA JADWAL""
  )
)"),"")</f>
        <v/>
      </c>
      <c r="H768" s="7" t="str">
        <f t="shared" si="2"/>
        <v/>
      </c>
      <c r="L768" s="13"/>
      <c r="M768" s="13"/>
    </row>
    <row r="769" ht="15.75" customHeight="1">
      <c r="A769" s="14" t="str">
        <f t="shared" si="1"/>
        <v/>
      </c>
      <c r="B769" s="17" t="str">
        <f t="shared" si="3"/>
        <v/>
      </c>
      <c r="C769" s="18" t="str">
        <f t="shared" si="4"/>
        <v/>
      </c>
      <c r="D769" s="7"/>
      <c r="F769" s="7"/>
      <c r="G769" s="19" t="str">
        <f>IFERROR(__xludf.DUMMYFUNCTION("IF(OR(E769="""",F769&lt;&gt;""Barang Datang""), """",
  IFERROR(
    INDEX(
      SORT(
        FILTER(Jadwal!F:F, Jadwal!C:C=E769),
        FILTER(Jadwal!E:E, Jadwal!C:C=E769),
        FALSE
      ),
      1
    ),
    ""TIDAK ADA JADWAL""
  )
)"),"")</f>
        <v/>
      </c>
      <c r="H769" s="7" t="str">
        <f t="shared" si="2"/>
        <v/>
      </c>
      <c r="L769" s="13"/>
      <c r="M769" s="13"/>
    </row>
    <row r="770" ht="15.75" customHeight="1">
      <c r="A770" s="14" t="str">
        <f t="shared" si="1"/>
        <v/>
      </c>
      <c r="B770" s="17" t="str">
        <f t="shared" si="3"/>
        <v/>
      </c>
      <c r="C770" s="18" t="str">
        <f t="shared" si="4"/>
        <v/>
      </c>
      <c r="D770" s="7"/>
      <c r="F770" s="7"/>
      <c r="G770" s="19" t="str">
        <f>IFERROR(__xludf.DUMMYFUNCTION("IF(OR(E770="""",F770&lt;&gt;""Barang Datang""), """",
  IFERROR(
    INDEX(
      SORT(
        FILTER(Jadwal!F:F, Jadwal!C:C=E770),
        FILTER(Jadwal!E:E, Jadwal!C:C=E770),
        FALSE
      ),
      1
    ),
    ""TIDAK ADA JADWAL""
  )
)"),"")</f>
        <v/>
      </c>
      <c r="H770" s="7" t="str">
        <f t="shared" si="2"/>
        <v/>
      </c>
      <c r="L770" s="13"/>
      <c r="M770" s="13"/>
    </row>
    <row r="771" ht="15.75" customHeight="1">
      <c r="A771" s="14" t="str">
        <f t="shared" si="1"/>
        <v/>
      </c>
      <c r="B771" s="17" t="str">
        <f t="shared" si="3"/>
        <v/>
      </c>
      <c r="C771" s="18" t="str">
        <f t="shared" si="4"/>
        <v/>
      </c>
      <c r="D771" s="7"/>
      <c r="F771" s="7"/>
      <c r="G771" s="19" t="str">
        <f>IFERROR(__xludf.DUMMYFUNCTION("IF(OR(E771="""",F771&lt;&gt;""Barang Datang""), """",
  IFERROR(
    INDEX(
      SORT(
        FILTER(Jadwal!F:F, Jadwal!C:C=E771),
        FILTER(Jadwal!E:E, Jadwal!C:C=E771),
        FALSE
      ),
      1
    ),
    ""TIDAK ADA JADWAL""
  )
)"),"")</f>
        <v/>
      </c>
      <c r="H771" s="7" t="str">
        <f t="shared" si="2"/>
        <v/>
      </c>
      <c r="L771" s="13"/>
      <c r="M771" s="13"/>
    </row>
    <row r="772" ht="15.75" customHeight="1">
      <c r="A772" s="14" t="str">
        <f t="shared" si="1"/>
        <v/>
      </c>
      <c r="B772" s="17" t="str">
        <f t="shared" si="3"/>
        <v/>
      </c>
      <c r="C772" s="18" t="str">
        <f t="shared" si="4"/>
        <v/>
      </c>
      <c r="D772" s="7"/>
      <c r="F772" s="7"/>
      <c r="G772" s="19" t="str">
        <f>IFERROR(__xludf.DUMMYFUNCTION("IF(OR(E772="""",F772&lt;&gt;""Barang Datang""), """",
  IFERROR(
    INDEX(
      SORT(
        FILTER(Jadwal!F:F, Jadwal!C:C=E772),
        FILTER(Jadwal!E:E, Jadwal!C:C=E772),
        FALSE
      ),
      1
    ),
    ""TIDAK ADA JADWAL""
  )
)"),"")</f>
        <v/>
      </c>
      <c r="H772" s="7" t="str">
        <f t="shared" si="2"/>
        <v/>
      </c>
      <c r="L772" s="13"/>
      <c r="M772" s="13"/>
    </row>
    <row r="773" ht="15.75" customHeight="1">
      <c r="A773" s="14" t="str">
        <f t="shared" si="1"/>
        <v/>
      </c>
      <c r="B773" s="17" t="str">
        <f t="shared" si="3"/>
        <v/>
      </c>
      <c r="C773" s="18" t="str">
        <f t="shared" si="4"/>
        <v/>
      </c>
      <c r="D773" s="7"/>
      <c r="F773" s="7"/>
      <c r="G773" s="19" t="str">
        <f>IFERROR(__xludf.DUMMYFUNCTION("IF(OR(E773="""",F773&lt;&gt;""Barang Datang""), """",
  IFERROR(
    INDEX(
      SORT(
        FILTER(Jadwal!F:F, Jadwal!C:C=E773),
        FILTER(Jadwal!E:E, Jadwal!C:C=E773),
        FALSE
      ),
      1
    ),
    ""TIDAK ADA JADWAL""
  )
)"),"")</f>
        <v/>
      </c>
      <c r="H773" s="7" t="str">
        <f t="shared" si="2"/>
        <v/>
      </c>
      <c r="L773" s="13"/>
      <c r="M773" s="13"/>
    </row>
    <row r="774" ht="15.75" customHeight="1">
      <c r="A774" s="14" t="str">
        <f t="shared" si="1"/>
        <v/>
      </c>
      <c r="B774" s="17" t="str">
        <f t="shared" si="3"/>
        <v/>
      </c>
      <c r="C774" s="18" t="str">
        <f t="shared" si="4"/>
        <v/>
      </c>
      <c r="D774" s="7"/>
      <c r="F774" s="7"/>
      <c r="G774" s="19" t="str">
        <f>IFERROR(__xludf.DUMMYFUNCTION("IF(OR(E774="""",F774&lt;&gt;""Barang Datang""), """",
  IFERROR(
    INDEX(
      SORT(
        FILTER(Jadwal!F:F, Jadwal!C:C=E774),
        FILTER(Jadwal!E:E, Jadwal!C:C=E774),
        FALSE
      ),
      1
    ),
    ""TIDAK ADA JADWAL""
  )
)"),"")</f>
        <v/>
      </c>
      <c r="H774" s="7" t="str">
        <f t="shared" si="2"/>
        <v/>
      </c>
      <c r="L774" s="13"/>
      <c r="M774" s="13"/>
    </row>
    <row r="775" ht="15.75" customHeight="1">
      <c r="A775" s="14" t="str">
        <f t="shared" si="1"/>
        <v/>
      </c>
      <c r="B775" s="17" t="str">
        <f t="shared" si="3"/>
        <v/>
      </c>
      <c r="C775" s="18" t="str">
        <f t="shared" si="4"/>
        <v/>
      </c>
      <c r="D775" s="7"/>
      <c r="F775" s="7"/>
      <c r="G775" s="19" t="str">
        <f>IFERROR(__xludf.DUMMYFUNCTION("IF(OR(E775="""",F775&lt;&gt;""Barang Datang""), """",
  IFERROR(
    INDEX(
      SORT(
        FILTER(Jadwal!F:F, Jadwal!C:C=E775),
        FILTER(Jadwal!E:E, Jadwal!C:C=E775),
        FALSE
      ),
      1
    ),
    ""TIDAK ADA JADWAL""
  )
)"),"")</f>
        <v/>
      </c>
      <c r="H775" s="7" t="str">
        <f t="shared" si="2"/>
        <v/>
      </c>
      <c r="L775" s="13"/>
      <c r="M775" s="13"/>
    </row>
    <row r="776" ht="15.75" customHeight="1">
      <c r="A776" s="14" t="str">
        <f t="shared" si="1"/>
        <v/>
      </c>
      <c r="B776" s="17" t="str">
        <f t="shared" si="3"/>
        <v/>
      </c>
      <c r="C776" s="18" t="str">
        <f t="shared" si="4"/>
        <v/>
      </c>
      <c r="D776" s="7"/>
      <c r="F776" s="7"/>
      <c r="G776" s="19" t="str">
        <f>IFERROR(__xludf.DUMMYFUNCTION("IF(OR(E776="""",F776&lt;&gt;""Barang Datang""), """",
  IFERROR(
    INDEX(
      SORT(
        FILTER(Jadwal!F:F, Jadwal!C:C=E776),
        FILTER(Jadwal!E:E, Jadwal!C:C=E776),
        FALSE
      ),
      1
    ),
    ""TIDAK ADA JADWAL""
  )
)"),"")</f>
        <v/>
      </c>
      <c r="H776" s="7" t="str">
        <f t="shared" si="2"/>
        <v/>
      </c>
      <c r="L776" s="13"/>
      <c r="M776" s="13"/>
    </row>
    <row r="777" ht="15.75" customHeight="1">
      <c r="A777" s="14" t="str">
        <f t="shared" si="1"/>
        <v/>
      </c>
      <c r="B777" s="17" t="str">
        <f t="shared" si="3"/>
        <v/>
      </c>
      <c r="C777" s="18" t="str">
        <f t="shared" si="4"/>
        <v/>
      </c>
      <c r="D777" s="7"/>
      <c r="F777" s="7"/>
      <c r="G777" s="19" t="str">
        <f>IFERROR(__xludf.DUMMYFUNCTION("IF(OR(E777="""",F777&lt;&gt;""Barang Datang""), """",
  IFERROR(
    INDEX(
      SORT(
        FILTER(Jadwal!F:F, Jadwal!C:C=E777),
        FILTER(Jadwal!E:E, Jadwal!C:C=E777),
        FALSE
      ),
      1
    ),
    ""TIDAK ADA JADWAL""
  )
)"),"")</f>
        <v/>
      </c>
      <c r="H777" s="7" t="str">
        <f t="shared" si="2"/>
        <v/>
      </c>
      <c r="L777" s="13"/>
      <c r="M777" s="13"/>
    </row>
    <row r="778" ht="15.75" customHeight="1">
      <c r="A778" s="14" t="str">
        <f t="shared" si="1"/>
        <v/>
      </c>
      <c r="B778" s="17" t="str">
        <f t="shared" si="3"/>
        <v/>
      </c>
      <c r="C778" s="18" t="str">
        <f t="shared" si="4"/>
        <v/>
      </c>
      <c r="D778" s="7"/>
      <c r="F778" s="7"/>
      <c r="G778" s="19" t="str">
        <f>IFERROR(__xludf.DUMMYFUNCTION("IF(OR(E778="""",F778&lt;&gt;""Barang Datang""), """",
  IFERROR(
    INDEX(
      SORT(
        FILTER(Jadwal!F:F, Jadwal!C:C=E778),
        FILTER(Jadwal!E:E, Jadwal!C:C=E778),
        FALSE
      ),
      1
    ),
    ""TIDAK ADA JADWAL""
  )
)"),"")</f>
        <v/>
      </c>
      <c r="H778" s="7" t="str">
        <f t="shared" si="2"/>
        <v/>
      </c>
      <c r="L778" s="13"/>
      <c r="M778" s="13"/>
    </row>
    <row r="779" ht="15.75" customHeight="1">
      <c r="A779" s="14" t="str">
        <f t="shared" si="1"/>
        <v/>
      </c>
      <c r="B779" s="17" t="str">
        <f t="shared" si="3"/>
        <v/>
      </c>
      <c r="C779" s="18" t="str">
        <f t="shared" si="4"/>
        <v/>
      </c>
      <c r="D779" s="7"/>
      <c r="F779" s="7"/>
      <c r="G779" s="19" t="str">
        <f>IFERROR(__xludf.DUMMYFUNCTION("IF(OR(E779="""",F779&lt;&gt;""Barang Datang""), """",
  IFERROR(
    INDEX(
      SORT(
        FILTER(Jadwal!F:F, Jadwal!C:C=E779),
        FILTER(Jadwal!E:E, Jadwal!C:C=E779),
        FALSE
      ),
      1
    ),
    ""TIDAK ADA JADWAL""
  )
)"),"")</f>
        <v/>
      </c>
      <c r="H779" s="7" t="str">
        <f t="shared" si="2"/>
        <v/>
      </c>
      <c r="L779" s="13"/>
      <c r="M779" s="13"/>
    </row>
    <row r="780" ht="15.75" customHeight="1">
      <c r="A780" s="14" t="str">
        <f t="shared" si="1"/>
        <v/>
      </c>
      <c r="B780" s="17" t="str">
        <f t="shared" si="3"/>
        <v/>
      </c>
      <c r="C780" s="18" t="str">
        <f t="shared" si="4"/>
        <v/>
      </c>
      <c r="D780" s="7"/>
      <c r="F780" s="7"/>
      <c r="G780" s="19" t="str">
        <f>IFERROR(__xludf.DUMMYFUNCTION("IF(OR(E780="""",F780&lt;&gt;""Barang Datang""), """",
  IFERROR(
    INDEX(
      SORT(
        FILTER(Jadwal!F:F, Jadwal!C:C=E780),
        FILTER(Jadwal!E:E, Jadwal!C:C=E780),
        FALSE
      ),
      1
    ),
    ""TIDAK ADA JADWAL""
  )
)"),"")</f>
        <v/>
      </c>
      <c r="H780" s="7" t="str">
        <f t="shared" si="2"/>
        <v/>
      </c>
      <c r="L780" s="13"/>
      <c r="M780" s="13"/>
    </row>
    <row r="781" ht="15.75" customHeight="1">
      <c r="A781" s="14" t="str">
        <f t="shared" si="1"/>
        <v/>
      </c>
      <c r="B781" s="17" t="str">
        <f t="shared" si="3"/>
        <v/>
      </c>
      <c r="C781" s="18" t="str">
        <f t="shared" si="4"/>
        <v/>
      </c>
      <c r="D781" s="7"/>
      <c r="F781" s="7"/>
      <c r="G781" s="19" t="str">
        <f>IFERROR(__xludf.DUMMYFUNCTION("IF(OR(E781="""",F781&lt;&gt;""Barang Datang""), """",
  IFERROR(
    INDEX(
      SORT(
        FILTER(Jadwal!F:F, Jadwal!C:C=E781),
        FILTER(Jadwal!E:E, Jadwal!C:C=E781),
        FALSE
      ),
      1
    ),
    ""TIDAK ADA JADWAL""
  )
)"),"")</f>
        <v/>
      </c>
      <c r="H781" s="7" t="str">
        <f t="shared" si="2"/>
        <v/>
      </c>
      <c r="L781" s="13"/>
      <c r="M781" s="13"/>
    </row>
    <row r="782" ht="15.75" customHeight="1">
      <c r="A782" s="14" t="str">
        <f t="shared" si="1"/>
        <v/>
      </c>
      <c r="B782" s="17" t="str">
        <f t="shared" si="3"/>
        <v/>
      </c>
      <c r="C782" s="18" t="str">
        <f t="shared" si="4"/>
        <v/>
      </c>
      <c r="D782" s="7"/>
      <c r="F782" s="7"/>
      <c r="G782" s="19" t="str">
        <f>IFERROR(__xludf.DUMMYFUNCTION("IF(OR(E782="""",F782&lt;&gt;""Barang Datang""), """",
  IFERROR(
    INDEX(
      SORT(
        FILTER(Jadwal!F:F, Jadwal!C:C=E782),
        FILTER(Jadwal!E:E, Jadwal!C:C=E782),
        FALSE
      ),
      1
    ),
    ""TIDAK ADA JADWAL""
  )
)"),"")</f>
        <v/>
      </c>
      <c r="H782" s="7" t="str">
        <f t="shared" si="2"/>
        <v/>
      </c>
      <c r="L782" s="13"/>
      <c r="M782" s="13"/>
    </row>
    <row r="783" ht="15.75" customHeight="1">
      <c r="A783" s="14" t="str">
        <f t="shared" si="1"/>
        <v/>
      </c>
      <c r="B783" s="17" t="str">
        <f t="shared" si="3"/>
        <v/>
      </c>
      <c r="C783" s="18" t="str">
        <f t="shared" si="4"/>
        <v/>
      </c>
      <c r="D783" s="7"/>
      <c r="F783" s="7"/>
      <c r="G783" s="19" t="str">
        <f>IFERROR(__xludf.DUMMYFUNCTION("IF(OR(E783="""",F783&lt;&gt;""Barang Datang""), """",
  IFERROR(
    INDEX(
      SORT(
        FILTER(Jadwal!F:F, Jadwal!C:C=E783),
        FILTER(Jadwal!E:E, Jadwal!C:C=E783),
        FALSE
      ),
      1
    ),
    ""TIDAK ADA JADWAL""
  )
)"),"")</f>
        <v/>
      </c>
      <c r="H783" s="7" t="str">
        <f t="shared" si="2"/>
        <v/>
      </c>
      <c r="L783" s="13"/>
      <c r="M783" s="13"/>
    </row>
    <row r="784" ht="15.75" customHeight="1">
      <c r="A784" s="14" t="str">
        <f t="shared" si="1"/>
        <v/>
      </c>
      <c r="B784" s="17" t="str">
        <f t="shared" si="3"/>
        <v/>
      </c>
      <c r="C784" s="18" t="str">
        <f t="shared" si="4"/>
        <v/>
      </c>
      <c r="D784" s="7"/>
      <c r="F784" s="7"/>
      <c r="G784" s="19" t="str">
        <f>IFERROR(__xludf.DUMMYFUNCTION("IF(OR(E784="""",F784&lt;&gt;""Barang Datang""), """",
  IFERROR(
    INDEX(
      SORT(
        FILTER(Jadwal!F:F, Jadwal!C:C=E784),
        FILTER(Jadwal!E:E, Jadwal!C:C=E784),
        FALSE
      ),
      1
    ),
    ""TIDAK ADA JADWAL""
  )
)"),"")</f>
        <v/>
      </c>
      <c r="H784" s="7" t="str">
        <f t="shared" si="2"/>
        <v/>
      </c>
      <c r="L784" s="13"/>
      <c r="M784" s="13"/>
    </row>
    <row r="785" ht="15.75" customHeight="1">
      <c r="A785" s="14" t="str">
        <f t="shared" si="1"/>
        <v/>
      </c>
      <c r="B785" s="17" t="str">
        <f t="shared" si="3"/>
        <v/>
      </c>
      <c r="C785" s="18" t="str">
        <f t="shared" si="4"/>
        <v/>
      </c>
      <c r="D785" s="7"/>
      <c r="F785" s="7"/>
      <c r="G785" s="19" t="str">
        <f>IFERROR(__xludf.DUMMYFUNCTION("IF(OR(E785="""",F785&lt;&gt;""Barang Datang""), """",
  IFERROR(
    INDEX(
      SORT(
        FILTER(Jadwal!F:F, Jadwal!C:C=E785),
        FILTER(Jadwal!E:E, Jadwal!C:C=E785),
        FALSE
      ),
      1
    ),
    ""TIDAK ADA JADWAL""
  )
)"),"")</f>
        <v/>
      </c>
      <c r="H785" s="7" t="str">
        <f t="shared" si="2"/>
        <v/>
      </c>
      <c r="L785" s="13"/>
      <c r="M785" s="13"/>
    </row>
    <row r="786" ht="15.75" customHeight="1">
      <c r="A786" s="14" t="str">
        <f t="shared" si="1"/>
        <v/>
      </c>
      <c r="B786" s="17" t="str">
        <f t="shared" si="3"/>
        <v/>
      </c>
      <c r="C786" s="18" t="str">
        <f t="shared" si="4"/>
        <v/>
      </c>
      <c r="D786" s="7"/>
      <c r="F786" s="7"/>
      <c r="G786" s="19" t="str">
        <f>IFERROR(__xludf.DUMMYFUNCTION("IF(OR(E786="""",F786&lt;&gt;""Barang Datang""), """",
  IFERROR(
    INDEX(
      SORT(
        FILTER(Jadwal!F:F, Jadwal!C:C=E786),
        FILTER(Jadwal!E:E, Jadwal!C:C=E786),
        FALSE
      ),
      1
    ),
    ""TIDAK ADA JADWAL""
  )
)"),"")</f>
        <v/>
      </c>
      <c r="H786" s="7" t="str">
        <f t="shared" si="2"/>
        <v/>
      </c>
      <c r="L786" s="13"/>
      <c r="M786" s="13"/>
    </row>
    <row r="787" ht="15.75" customHeight="1">
      <c r="A787" s="14" t="str">
        <f t="shared" si="1"/>
        <v/>
      </c>
      <c r="B787" s="17" t="str">
        <f t="shared" si="3"/>
        <v/>
      </c>
      <c r="C787" s="18" t="str">
        <f t="shared" si="4"/>
        <v/>
      </c>
      <c r="D787" s="7"/>
      <c r="F787" s="7"/>
      <c r="G787" s="19" t="str">
        <f>IFERROR(__xludf.DUMMYFUNCTION("IF(OR(E787="""",F787&lt;&gt;""Barang Datang""), """",
  IFERROR(
    INDEX(
      SORT(
        FILTER(Jadwal!F:F, Jadwal!C:C=E787),
        FILTER(Jadwal!E:E, Jadwal!C:C=E787),
        FALSE
      ),
      1
    ),
    ""TIDAK ADA JADWAL""
  )
)"),"")</f>
        <v/>
      </c>
      <c r="H787" s="7" t="str">
        <f t="shared" si="2"/>
        <v/>
      </c>
      <c r="L787" s="13"/>
      <c r="M787" s="13"/>
    </row>
    <row r="788" ht="15.75" customHeight="1">
      <c r="A788" s="14" t="str">
        <f t="shared" si="1"/>
        <v/>
      </c>
      <c r="B788" s="17" t="str">
        <f t="shared" si="3"/>
        <v/>
      </c>
      <c r="C788" s="18" t="str">
        <f t="shared" si="4"/>
        <v/>
      </c>
      <c r="D788" s="7"/>
      <c r="F788" s="7"/>
      <c r="G788" s="19" t="str">
        <f>IFERROR(__xludf.DUMMYFUNCTION("IF(OR(E788="""",F788&lt;&gt;""Barang Datang""), """",
  IFERROR(
    INDEX(
      SORT(
        FILTER(Jadwal!F:F, Jadwal!C:C=E788),
        FILTER(Jadwal!E:E, Jadwal!C:C=E788),
        FALSE
      ),
      1
    ),
    ""TIDAK ADA JADWAL""
  )
)"),"")</f>
        <v/>
      </c>
      <c r="H788" s="7" t="str">
        <f t="shared" si="2"/>
        <v/>
      </c>
      <c r="L788" s="13"/>
      <c r="M788" s="13"/>
    </row>
    <row r="789" ht="15.75" customHeight="1">
      <c r="A789" s="14" t="str">
        <f t="shared" si="1"/>
        <v/>
      </c>
      <c r="B789" s="17" t="str">
        <f t="shared" si="3"/>
        <v/>
      </c>
      <c r="C789" s="18" t="str">
        <f t="shared" si="4"/>
        <v/>
      </c>
      <c r="D789" s="7"/>
      <c r="F789" s="7"/>
      <c r="G789" s="19" t="str">
        <f>IFERROR(__xludf.DUMMYFUNCTION("IF(OR(E789="""",F789&lt;&gt;""Barang Datang""), """",
  IFERROR(
    INDEX(
      SORT(
        FILTER(Jadwal!F:F, Jadwal!C:C=E789),
        FILTER(Jadwal!E:E, Jadwal!C:C=E789),
        FALSE
      ),
      1
    ),
    ""TIDAK ADA JADWAL""
  )
)"),"")</f>
        <v/>
      </c>
      <c r="H789" s="7" t="str">
        <f t="shared" si="2"/>
        <v/>
      </c>
      <c r="L789" s="13"/>
      <c r="M789" s="13"/>
    </row>
    <row r="790" ht="15.75" customHeight="1">
      <c r="A790" s="14" t="str">
        <f t="shared" si="1"/>
        <v/>
      </c>
      <c r="B790" s="17" t="str">
        <f t="shared" si="3"/>
        <v/>
      </c>
      <c r="C790" s="18" t="str">
        <f t="shared" si="4"/>
        <v/>
      </c>
      <c r="D790" s="7"/>
      <c r="F790" s="7"/>
      <c r="G790" s="19" t="str">
        <f>IFERROR(__xludf.DUMMYFUNCTION("IF(OR(E790="""",F790&lt;&gt;""Barang Datang""), """",
  IFERROR(
    INDEX(
      SORT(
        FILTER(Jadwal!F:F, Jadwal!C:C=E790),
        FILTER(Jadwal!E:E, Jadwal!C:C=E790),
        FALSE
      ),
      1
    ),
    ""TIDAK ADA JADWAL""
  )
)"),"")</f>
        <v/>
      </c>
      <c r="H790" s="7" t="str">
        <f t="shared" si="2"/>
        <v/>
      </c>
      <c r="L790" s="13"/>
      <c r="M790" s="13"/>
    </row>
    <row r="791" ht="15.75" customHeight="1">
      <c r="A791" s="14" t="str">
        <f t="shared" si="1"/>
        <v/>
      </c>
      <c r="B791" s="17" t="str">
        <f t="shared" si="3"/>
        <v/>
      </c>
      <c r="C791" s="18" t="str">
        <f t="shared" si="4"/>
        <v/>
      </c>
      <c r="D791" s="7"/>
      <c r="F791" s="7"/>
      <c r="G791" s="19" t="str">
        <f>IFERROR(__xludf.DUMMYFUNCTION("IF(OR(E791="""",F791&lt;&gt;""Barang Datang""), """",
  IFERROR(
    INDEX(
      SORT(
        FILTER(Jadwal!F:F, Jadwal!C:C=E791),
        FILTER(Jadwal!E:E, Jadwal!C:C=E791),
        FALSE
      ),
      1
    ),
    ""TIDAK ADA JADWAL""
  )
)"),"")</f>
        <v/>
      </c>
      <c r="H791" s="7" t="str">
        <f t="shared" si="2"/>
        <v/>
      </c>
      <c r="L791" s="13"/>
      <c r="M791" s="13"/>
    </row>
    <row r="792" ht="15.75" customHeight="1">
      <c r="A792" s="14" t="str">
        <f t="shared" si="1"/>
        <v/>
      </c>
      <c r="B792" s="17" t="str">
        <f t="shared" si="3"/>
        <v/>
      </c>
      <c r="C792" s="18" t="str">
        <f t="shared" si="4"/>
        <v/>
      </c>
      <c r="D792" s="7"/>
      <c r="F792" s="7"/>
      <c r="G792" s="19" t="str">
        <f>IFERROR(__xludf.DUMMYFUNCTION("IF(OR(E792="""",F792&lt;&gt;""Barang Datang""), """",
  IFERROR(
    INDEX(
      SORT(
        FILTER(Jadwal!F:F, Jadwal!C:C=E792),
        FILTER(Jadwal!E:E, Jadwal!C:C=E792),
        FALSE
      ),
      1
    ),
    ""TIDAK ADA JADWAL""
  )
)"),"")</f>
        <v/>
      </c>
      <c r="H792" s="7" t="str">
        <f t="shared" si="2"/>
        <v/>
      </c>
      <c r="L792" s="13"/>
      <c r="M792" s="13"/>
    </row>
    <row r="793" ht="15.75" customHeight="1">
      <c r="A793" s="14" t="str">
        <f t="shared" si="1"/>
        <v/>
      </c>
      <c r="B793" s="17" t="str">
        <f t="shared" si="3"/>
        <v/>
      </c>
      <c r="C793" s="18" t="str">
        <f t="shared" si="4"/>
        <v/>
      </c>
      <c r="D793" s="7"/>
      <c r="F793" s="7"/>
      <c r="G793" s="19" t="str">
        <f>IFERROR(__xludf.DUMMYFUNCTION("IF(OR(E793="""",F793&lt;&gt;""Barang Datang""), """",
  IFERROR(
    INDEX(
      SORT(
        FILTER(Jadwal!F:F, Jadwal!C:C=E793),
        FILTER(Jadwal!E:E, Jadwal!C:C=E793),
        FALSE
      ),
      1
    ),
    ""TIDAK ADA JADWAL""
  )
)"),"")</f>
        <v/>
      </c>
      <c r="H793" s="7" t="str">
        <f t="shared" si="2"/>
        <v/>
      </c>
      <c r="L793" s="13"/>
      <c r="M793" s="13"/>
    </row>
    <row r="794" ht="15.75" customHeight="1">
      <c r="A794" s="14" t="str">
        <f t="shared" si="1"/>
        <v/>
      </c>
      <c r="B794" s="17" t="str">
        <f t="shared" si="3"/>
        <v/>
      </c>
      <c r="C794" s="18" t="str">
        <f t="shared" si="4"/>
        <v/>
      </c>
      <c r="D794" s="7"/>
      <c r="F794" s="7"/>
      <c r="G794" s="19" t="str">
        <f>IFERROR(__xludf.DUMMYFUNCTION("IF(OR(E794="""",F794&lt;&gt;""Barang Datang""), """",
  IFERROR(
    INDEX(
      SORT(
        FILTER(Jadwal!F:F, Jadwal!C:C=E794),
        FILTER(Jadwal!E:E, Jadwal!C:C=E794),
        FALSE
      ),
      1
    ),
    ""TIDAK ADA JADWAL""
  )
)"),"")</f>
        <v/>
      </c>
      <c r="H794" s="7" t="str">
        <f t="shared" si="2"/>
        <v/>
      </c>
      <c r="L794" s="13"/>
      <c r="M794" s="13"/>
    </row>
    <row r="795" ht="15.75" customHeight="1">
      <c r="A795" s="14" t="str">
        <f t="shared" si="1"/>
        <v/>
      </c>
      <c r="B795" s="17" t="str">
        <f t="shared" si="3"/>
        <v/>
      </c>
      <c r="C795" s="18" t="str">
        <f t="shared" si="4"/>
        <v/>
      </c>
      <c r="D795" s="7"/>
      <c r="F795" s="7"/>
      <c r="G795" s="19" t="str">
        <f>IFERROR(__xludf.DUMMYFUNCTION("IF(OR(E795="""",F795&lt;&gt;""Barang Datang""), """",
  IFERROR(
    INDEX(
      SORT(
        FILTER(Jadwal!F:F, Jadwal!C:C=E795),
        FILTER(Jadwal!E:E, Jadwal!C:C=E795),
        FALSE
      ),
      1
    ),
    ""TIDAK ADA JADWAL""
  )
)"),"")</f>
        <v/>
      </c>
      <c r="H795" s="7" t="str">
        <f t="shared" si="2"/>
        <v/>
      </c>
      <c r="L795" s="13"/>
      <c r="M795" s="13"/>
    </row>
    <row r="796" ht="15.75" customHeight="1">
      <c r="A796" s="14" t="str">
        <f t="shared" si="1"/>
        <v/>
      </c>
      <c r="B796" s="17" t="str">
        <f t="shared" si="3"/>
        <v/>
      </c>
      <c r="C796" s="18" t="str">
        <f t="shared" si="4"/>
        <v/>
      </c>
      <c r="D796" s="7"/>
      <c r="F796" s="7"/>
      <c r="G796" s="19" t="str">
        <f>IFERROR(__xludf.DUMMYFUNCTION("IF(OR(E796="""",F796&lt;&gt;""Barang Datang""), """",
  IFERROR(
    INDEX(
      SORT(
        FILTER(Jadwal!F:F, Jadwal!C:C=E796),
        FILTER(Jadwal!E:E, Jadwal!C:C=E796),
        FALSE
      ),
      1
    ),
    ""TIDAK ADA JADWAL""
  )
)"),"")</f>
        <v/>
      </c>
      <c r="H796" s="7" t="str">
        <f t="shared" si="2"/>
        <v/>
      </c>
      <c r="L796" s="13"/>
      <c r="M796" s="13"/>
    </row>
    <row r="797" ht="15.75" customHeight="1">
      <c r="A797" s="14" t="str">
        <f t="shared" si="1"/>
        <v/>
      </c>
      <c r="B797" s="17" t="str">
        <f t="shared" si="3"/>
        <v/>
      </c>
      <c r="C797" s="18" t="str">
        <f t="shared" si="4"/>
        <v/>
      </c>
      <c r="D797" s="7"/>
      <c r="F797" s="7"/>
      <c r="G797" s="19" t="str">
        <f>IFERROR(__xludf.DUMMYFUNCTION("IF(OR(E797="""",F797&lt;&gt;""Barang Datang""), """",
  IFERROR(
    INDEX(
      SORT(
        FILTER(Jadwal!F:F, Jadwal!C:C=E797),
        FILTER(Jadwal!E:E, Jadwal!C:C=E797),
        FALSE
      ),
      1
    ),
    ""TIDAK ADA JADWAL""
  )
)"),"")</f>
        <v/>
      </c>
      <c r="H797" s="7" t="str">
        <f t="shared" si="2"/>
        <v/>
      </c>
      <c r="L797" s="13"/>
      <c r="M797" s="13"/>
    </row>
    <row r="798" ht="15.75" customHeight="1">
      <c r="A798" s="14" t="str">
        <f t="shared" si="1"/>
        <v/>
      </c>
      <c r="B798" s="17" t="str">
        <f t="shared" si="3"/>
        <v/>
      </c>
      <c r="C798" s="18" t="str">
        <f t="shared" si="4"/>
        <v/>
      </c>
      <c r="D798" s="7"/>
      <c r="F798" s="7"/>
      <c r="G798" s="19" t="str">
        <f>IFERROR(__xludf.DUMMYFUNCTION("IF(OR(E798="""",F798&lt;&gt;""Barang Datang""), """",
  IFERROR(
    INDEX(
      SORT(
        FILTER(Jadwal!F:F, Jadwal!C:C=E798),
        FILTER(Jadwal!E:E, Jadwal!C:C=E798),
        FALSE
      ),
      1
    ),
    ""TIDAK ADA JADWAL""
  )
)"),"")</f>
        <v/>
      </c>
      <c r="H798" s="7" t="str">
        <f t="shared" si="2"/>
        <v/>
      </c>
      <c r="L798" s="13"/>
      <c r="M798" s="13"/>
    </row>
    <row r="799" ht="15.75" customHeight="1">
      <c r="A799" s="14" t="str">
        <f t="shared" si="1"/>
        <v/>
      </c>
      <c r="B799" s="17" t="str">
        <f t="shared" si="3"/>
        <v/>
      </c>
      <c r="C799" s="18" t="str">
        <f t="shared" si="4"/>
        <v/>
      </c>
      <c r="D799" s="7"/>
      <c r="F799" s="7"/>
      <c r="G799" s="19" t="str">
        <f>IFERROR(__xludf.DUMMYFUNCTION("IF(OR(E799="""",F799&lt;&gt;""Barang Datang""), """",
  IFERROR(
    INDEX(
      SORT(
        FILTER(Jadwal!F:F, Jadwal!C:C=E799),
        FILTER(Jadwal!E:E, Jadwal!C:C=E799),
        FALSE
      ),
      1
    ),
    ""TIDAK ADA JADWAL""
  )
)"),"")</f>
        <v/>
      </c>
      <c r="H799" s="7" t="str">
        <f t="shared" si="2"/>
        <v/>
      </c>
      <c r="L799" s="13"/>
      <c r="M799" s="13"/>
    </row>
    <row r="800" ht="15.75" customHeight="1">
      <c r="A800" s="14" t="str">
        <f t="shared" si="1"/>
        <v/>
      </c>
      <c r="B800" s="17" t="str">
        <f t="shared" si="3"/>
        <v/>
      </c>
      <c r="C800" s="18" t="str">
        <f t="shared" si="4"/>
        <v/>
      </c>
      <c r="D800" s="7"/>
      <c r="F800" s="7"/>
      <c r="G800" s="19" t="str">
        <f>IFERROR(__xludf.DUMMYFUNCTION("IF(OR(E800="""",F800&lt;&gt;""Barang Datang""), """",
  IFERROR(
    INDEX(
      SORT(
        FILTER(Jadwal!F:F, Jadwal!C:C=E800),
        FILTER(Jadwal!E:E, Jadwal!C:C=E800),
        FALSE
      ),
      1
    ),
    ""TIDAK ADA JADWAL""
  )
)"),"")</f>
        <v/>
      </c>
      <c r="H800" s="7" t="str">
        <f t="shared" si="2"/>
        <v/>
      </c>
      <c r="L800" s="13"/>
      <c r="M800" s="13"/>
    </row>
    <row r="801" ht="15.75" customHeight="1">
      <c r="A801" s="14" t="str">
        <f t="shared" si="1"/>
        <v/>
      </c>
      <c r="B801" s="17" t="str">
        <f t="shared" si="3"/>
        <v/>
      </c>
      <c r="C801" s="18" t="str">
        <f t="shared" si="4"/>
        <v/>
      </c>
      <c r="D801" s="7"/>
      <c r="F801" s="7"/>
      <c r="G801" s="19" t="str">
        <f>IFERROR(__xludf.DUMMYFUNCTION("IF(OR(E801="""",F801&lt;&gt;""Barang Datang""), """",
  IFERROR(
    INDEX(
      SORT(
        FILTER(Jadwal!F:F, Jadwal!C:C=E801),
        FILTER(Jadwal!E:E, Jadwal!C:C=E801),
        FALSE
      ),
      1
    ),
    ""TIDAK ADA JADWAL""
  )
)"),"")</f>
        <v/>
      </c>
      <c r="H801" s="7" t="str">
        <f t="shared" si="2"/>
        <v/>
      </c>
      <c r="L801" s="13"/>
      <c r="M801" s="13"/>
    </row>
    <row r="802" ht="15.75" customHeight="1">
      <c r="A802" s="14" t="str">
        <f t="shared" si="1"/>
        <v/>
      </c>
      <c r="B802" s="17" t="str">
        <f t="shared" si="3"/>
        <v/>
      </c>
      <c r="C802" s="18" t="str">
        <f t="shared" si="4"/>
        <v/>
      </c>
      <c r="D802" s="7"/>
      <c r="F802" s="7"/>
      <c r="G802" s="19" t="str">
        <f>IFERROR(__xludf.DUMMYFUNCTION("IF(OR(E802="""",F802&lt;&gt;""Barang Datang""), """",
  IFERROR(
    INDEX(
      SORT(
        FILTER(Jadwal!F:F, Jadwal!C:C=E802),
        FILTER(Jadwal!E:E, Jadwal!C:C=E802),
        FALSE
      ),
      1
    ),
    ""TIDAK ADA JADWAL""
  )
)"),"")</f>
        <v/>
      </c>
      <c r="H802" s="7" t="str">
        <f t="shared" si="2"/>
        <v/>
      </c>
      <c r="L802" s="13"/>
      <c r="M802" s="13"/>
    </row>
    <row r="803" ht="15.75" customHeight="1">
      <c r="A803" s="14" t="str">
        <f t="shared" si="1"/>
        <v/>
      </c>
      <c r="B803" s="17" t="str">
        <f t="shared" si="3"/>
        <v/>
      </c>
      <c r="C803" s="18" t="str">
        <f t="shared" si="4"/>
        <v/>
      </c>
      <c r="D803" s="7"/>
      <c r="F803" s="7"/>
      <c r="G803" s="19" t="str">
        <f>IFERROR(__xludf.DUMMYFUNCTION("IF(OR(E803="""",F803&lt;&gt;""Barang Datang""), """",
  IFERROR(
    INDEX(
      SORT(
        FILTER(Jadwal!F:F, Jadwal!C:C=E803),
        FILTER(Jadwal!E:E, Jadwal!C:C=E803),
        FALSE
      ),
      1
    ),
    ""TIDAK ADA JADWAL""
  )
)"),"")</f>
        <v/>
      </c>
      <c r="H803" s="7" t="str">
        <f t="shared" si="2"/>
        <v/>
      </c>
      <c r="L803" s="13"/>
      <c r="M803" s="13"/>
    </row>
    <row r="804" ht="15.75" customHeight="1">
      <c r="A804" s="14" t="str">
        <f t="shared" si="1"/>
        <v/>
      </c>
      <c r="B804" s="17" t="str">
        <f t="shared" si="3"/>
        <v/>
      </c>
      <c r="C804" s="18" t="str">
        <f t="shared" si="4"/>
        <v/>
      </c>
      <c r="D804" s="7"/>
      <c r="F804" s="7"/>
      <c r="G804" s="19" t="str">
        <f>IFERROR(__xludf.DUMMYFUNCTION("IF(OR(E804="""",F804&lt;&gt;""Barang Datang""), """",
  IFERROR(
    INDEX(
      SORT(
        FILTER(Jadwal!F:F, Jadwal!C:C=E804),
        FILTER(Jadwal!E:E, Jadwal!C:C=E804),
        FALSE
      ),
      1
    ),
    ""TIDAK ADA JADWAL""
  )
)"),"")</f>
        <v/>
      </c>
      <c r="H804" s="7" t="str">
        <f t="shared" si="2"/>
        <v/>
      </c>
      <c r="L804" s="13"/>
      <c r="M804" s="13"/>
    </row>
    <row r="805" ht="15.75" customHeight="1">
      <c r="A805" s="14" t="str">
        <f t="shared" si="1"/>
        <v/>
      </c>
      <c r="B805" s="17" t="str">
        <f t="shared" si="3"/>
        <v/>
      </c>
      <c r="C805" s="18" t="str">
        <f t="shared" si="4"/>
        <v/>
      </c>
      <c r="D805" s="7"/>
      <c r="F805" s="7"/>
      <c r="G805" s="19" t="str">
        <f>IFERROR(__xludf.DUMMYFUNCTION("IF(OR(E805="""",F805&lt;&gt;""Barang Datang""), """",
  IFERROR(
    INDEX(
      SORT(
        FILTER(Jadwal!F:F, Jadwal!C:C=E805),
        FILTER(Jadwal!E:E, Jadwal!C:C=E805),
        FALSE
      ),
      1
    ),
    ""TIDAK ADA JADWAL""
  )
)"),"")</f>
        <v/>
      </c>
      <c r="H805" s="7" t="str">
        <f t="shared" si="2"/>
        <v/>
      </c>
      <c r="L805" s="13"/>
      <c r="M805" s="13"/>
    </row>
    <row r="806" ht="15.75" customHeight="1">
      <c r="A806" s="14" t="str">
        <f t="shared" si="1"/>
        <v/>
      </c>
      <c r="B806" s="17" t="str">
        <f t="shared" si="3"/>
        <v/>
      </c>
      <c r="C806" s="18" t="str">
        <f t="shared" si="4"/>
        <v/>
      </c>
      <c r="D806" s="7"/>
      <c r="F806" s="7"/>
      <c r="G806" s="19" t="str">
        <f>IFERROR(__xludf.DUMMYFUNCTION("IF(OR(E806="""",F806&lt;&gt;""Barang Datang""), """",
  IFERROR(
    INDEX(
      SORT(
        FILTER(Jadwal!F:F, Jadwal!C:C=E806),
        FILTER(Jadwal!E:E, Jadwal!C:C=E806),
        FALSE
      ),
      1
    ),
    ""TIDAK ADA JADWAL""
  )
)"),"")</f>
        <v/>
      </c>
      <c r="H806" s="7" t="str">
        <f t="shared" si="2"/>
        <v/>
      </c>
      <c r="L806" s="13"/>
      <c r="M806" s="13"/>
    </row>
    <row r="807" ht="15.75" customHeight="1">
      <c r="A807" s="14" t="str">
        <f t="shared" si="1"/>
        <v/>
      </c>
      <c r="B807" s="17" t="str">
        <f t="shared" si="3"/>
        <v/>
      </c>
      <c r="C807" s="18" t="str">
        <f t="shared" si="4"/>
        <v/>
      </c>
      <c r="D807" s="7"/>
      <c r="F807" s="7"/>
      <c r="G807" s="19" t="str">
        <f>IFERROR(__xludf.DUMMYFUNCTION("IF(OR(E807="""",F807&lt;&gt;""Barang Datang""), """",
  IFERROR(
    INDEX(
      SORT(
        FILTER(Jadwal!F:F, Jadwal!C:C=E807),
        FILTER(Jadwal!E:E, Jadwal!C:C=E807),
        FALSE
      ),
      1
    ),
    ""TIDAK ADA JADWAL""
  )
)"),"")</f>
        <v/>
      </c>
      <c r="H807" s="7" t="str">
        <f t="shared" si="2"/>
        <v/>
      </c>
      <c r="L807" s="13"/>
      <c r="M807" s="13"/>
    </row>
    <row r="808" ht="15.75" customHeight="1">
      <c r="A808" s="14" t="str">
        <f t="shared" si="1"/>
        <v/>
      </c>
      <c r="B808" s="17" t="str">
        <f t="shared" si="3"/>
        <v/>
      </c>
      <c r="C808" s="18" t="str">
        <f t="shared" si="4"/>
        <v/>
      </c>
      <c r="D808" s="7"/>
      <c r="F808" s="7"/>
      <c r="G808" s="19" t="str">
        <f>IFERROR(__xludf.DUMMYFUNCTION("IF(OR(E808="""",F808&lt;&gt;""Barang Datang""), """",
  IFERROR(
    INDEX(
      SORT(
        FILTER(Jadwal!F:F, Jadwal!C:C=E808),
        FILTER(Jadwal!E:E, Jadwal!C:C=E808),
        FALSE
      ),
      1
    ),
    ""TIDAK ADA JADWAL""
  )
)"),"")</f>
        <v/>
      </c>
      <c r="H808" s="7" t="str">
        <f t="shared" si="2"/>
        <v/>
      </c>
      <c r="L808" s="13"/>
      <c r="M808" s="13"/>
    </row>
    <row r="809" ht="15.75" customHeight="1">
      <c r="A809" s="14" t="str">
        <f t="shared" si="1"/>
        <v/>
      </c>
      <c r="B809" s="17" t="str">
        <f t="shared" si="3"/>
        <v/>
      </c>
      <c r="C809" s="18" t="str">
        <f t="shared" si="4"/>
        <v/>
      </c>
      <c r="D809" s="7"/>
      <c r="F809" s="7"/>
      <c r="G809" s="19" t="str">
        <f>IFERROR(__xludf.DUMMYFUNCTION("IF(OR(E809="""",F809&lt;&gt;""Barang Datang""), """",
  IFERROR(
    INDEX(
      SORT(
        FILTER(Jadwal!F:F, Jadwal!C:C=E809),
        FILTER(Jadwal!E:E, Jadwal!C:C=E809),
        FALSE
      ),
      1
    ),
    ""TIDAK ADA JADWAL""
  )
)"),"")</f>
        <v/>
      </c>
      <c r="H809" s="7" t="str">
        <f t="shared" si="2"/>
        <v/>
      </c>
      <c r="L809" s="13"/>
      <c r="M809" s="13"/>
    </row>
    <row r="810" ht="15.75" customHeight="1">
      <c r="A810" s="14" t="str">
        <f t="shared" si="1"/>
        <v/>
      </c>
      <c r="B810" s="17" t="str">
        <f t="shared" si="3"/>
        <v/>
      </c>
      <c r="C810" s="18" t="str">
        <f t="shared" si="4"/>
        <v/>
      </c>
      <c r="D810" s="7"/>
      <c r="F810" s="7"/>
      <c r="G810" s="19" t="str">
        <f>IFERROR(__xludf.DUMMYFUNCTION("IF(OR(E810="""",F810&lt;&gt;""Barang Datang""), """",
  IFERROR(
    INDEX(
      SORT(
        FILTER(Jadwal!F:F, Jadwal!C:C=E810),
        FILTER(Jadwal!E:E, Jadwal!C:C=E810),
        FALSE
      ),
      1
    ),
    ""TIDAK ADA JADWAL""
  )
)"),"")</f>
        <v/>
      </c>
      <c r="H810" s="7" t="str">
        <f t="shared" si="2"/>
        <v/>
      </c>
      <c r="L810" s="13"/>
      <c r="M810" s="13"/>
    </row>
    <row r="811" ht="15.75" customHeight="1">
      <c r="A811" s="14" t="str">
        <f t="shared" si="1"/>
        <v/>
      </c>
      <c r="B811" s="17" t="str">
        <f t="shared" si="3"/>
        <v/>
      </c>
      <c r="C811" s="18" t="str">
        <f t="shared" si="4"/>
        <v/>
      </c>
      <c r="D811" s="7"/>
      <c r="F811" s="7"/>
      <c r="G811" s="19" t="str">
        <f>IFERROR(__xludf.DUMMYFUNCTION("IF(OR(E811="""",F811&lt;&gt;""Barang Datang""), """",
  IFERROR(
    INDEX(
      SORT(
        FILTER(Jadwal!F:F, Jadwal!C:C=E811),
        FILTER(Jadwal!E:E, Jadwal!C:C=E811),
        FALSE
      ),
      1
    ),
    ""TIDAK ADA JADWAL""
  )
)"),"")</f>
        <v/>
      </c>
      <c r="H811" s="7" t="str">
        <f t="shared" si="2"/>
        <v/>
      </c>
      <c r="L811" s="13"/>
      <c r="M811" s="13"/>
    </row>
    <row r="812" ht="15.75" customHeight="1">
      <c r="A812" s="14" t="str">
        <f t="shared" si="1"/>
        <v/>
      </c>
      <c r="B812" s="17" t="str">
        <f t="shared" si="3"/>
        <v/>
      </c>
      <c r="C812" s="18" t="str">
        <f t="shared" si="4"/>
        <v/>
      </c>
      <c r="D812" s="7"/>
      <c r="F812" s="7"/>
      <c r="G812" s="19" t="str">
        <f>IFERROR(__xludf.DUMMYFUNCTION("IF(OR(E812="""",F812&lt;&gt;""Barang Datang""), """",
  IFERROR(
    INDEX(
      SORT(
        FILTER(Jadwal!F:F, Jadwal!C:C=E812),
        FILTER(Jadwal!E:E, Jadwal!C:C=E812),
        FALSE
      ),
      1
    ),
    ""TIDAK ADA JADWAL""
  )
)"),"")</f>
        <v/>
      </c>
      <c r="H812" s="7" t="str">
        <f t="shared" si="2"/>
        <v/>
      </c>
      <c r="L812" s="13"/>
      <c r="M812" s="13"/>
    </row>
    <row r="813" ht="15.75" customHeight="1">
      <c r="A813" s="14" t="str">
        <f t="shared" si="1"/>
        <v/>
      </c>
      <c r="B813" s="17" t="str">
        <f t="shared" si="3"/>
        <v/>
      </c>
      <c r="C813" s="18" t="str">
        <f t="shared" si="4"/>
        <v/>
      </c>
      <c r="D813" s="7"/>
      <c r="F813" s="7"/>
      <c r="G813" s="19" t="str">
        <f>IFERROR(__xludf.DUMMYFUNCTION("IF(OR(E813="""",F813&lt;&gt;""Barang Datang""), """",
  IFERROR(
    INDEX(
      SORT(
        FILTER(Jadwal!F:F, Jadwal!C:C=E813),
        FILTER(Jadwal!E:E, Jadwal!C:C=E813),
        FALSE
      ),
      1
    ),
    ""TIDAK ADA JADWAL""
  )
)"),"")</f>
        <v/>
      </c>
      <c r="H813" s="7" t="str">
        <f t="shared" si="2"/>
        <v/>
      </c>
      <c r="L813" s="13"/>
      <c r="M813" s="13"/>
    </row>
    <row r="814" ht="15.75" customHeight="1">
      <c r="A814" s="14" t="str">
        <f t="shared" si="1"/>
        <v/>
      </c>
      <c r="B814" s="17" t="str">
        <f t="shared" si="3"/>
        <v/>
      </c>
      <c r="C814" s="18" t="str">
        <f t="shared" si="4"/>
        <v/>
      </c>
      <c r="D814" s="7"/>
      <c r="F814" s="7"/>
      <c r="G814" s="19" t="str">
        <f>IFERROR(__xludf.DUMMYFUNCTION("IF(OR(E814="""",F814&lt;&gt;""Barang Datang""), """",
  IFERROR(
    INDEX(
      SORT(
        FILTER(Jadwal!F:F, Jadwal!C:C=E814),
        FILTER(Jadwal!E:E, Jadwal!C:C=E814),
        FALSE
      ),
      1
    ),
    ""TIDAK ADA JADWAL""
  )
)"),"")</f>
        <v/>
      </c>
      <c r="H814" s="7" t="str">
        <f t="shared" si="2"/>
        <v/>
      </c>
      <c r="L814" s="13"/>
      <c r="M814" s="13"/>
    </row>
    <row r="815" ht="15.75" customHeight="1">
      <c r="A815" s="14" t="str">
        <f t="shared" si="1"/>
        <v/>
      </c>
      <c r="B815" s="17" t="str">
        <f t="shared" si="3"/>
        <v/>
      </c>
      <c r="C815" s="18" t="str">
        <f t="shared" si="4"/>
        <v/>
      </c>
      <c r="D815" s="7"/>
      <c r="F815" s="7"/>
      <c r="G815" s="19" t="str">
        <f>IFERROR(__xludf.DUMMYFUNCTION("IF(OR(E815="""",F815&lt;&gt;""Barang Datang""), """",
  IFERROR(
    INDEX(
      SORT(
        FILTER(Jadwal!F:F, Jadwal!C:C=E815),
        FILTER(Jadwal!E:E, Jadwal!C:C=E815),
        FALSE
      ),
      1
    ),
    ""TIDAK ADA JADWAL""
  )
)"),"")</f>
        <v/>
      </c>
      <c r="H815" s="7" t="str">
        <f t="shared" si="2"/>
        <v/>
      </c>
      <c r="L815" s="13"/>
      <c r="M815" s="13"/>
    </row>
    <row r="816" ht="15.75" customHeight="1">
      <c r="A816" s="14" t="str">
        <f t="shared" si="1"/>
        <v/>
      </c>
      <c r="B816" s="17" t="str">
        <f t="shared" si="3"/>
        <v/>
      </c>
      <c r="C816" s="18" t="str">
        <f t="shared" si="4"/>
        <v/>
      </c>
      <c r="D816" s="7"/>
      <c r="F816" s="7"/>
      <c r="G816" s="19" t="str">
        <f>IFERROR(__xludf.DUMMYFUNCTION("IF(OR(E816="""",F816&lt;&gt;""Barang Datang""), """",
  IFERROR(
    INDEX(
      SORT(
        FILTER(Jadwal!F:F, Jadwal!C:C=E816),
        FILTER(Jadwal!E:E, Jadwal!C:C=E816),
        FALSE
      ),
      1
    ),
    ""TIDAK ADA JADWAL""
  )
)"),"")</f>
        <v/>
      </c>
      <c r="H816" s="7" t="str">
        <f t="shared" si="2"/>
        <v/>
      </c>
      <c r="L816" s="13"/>
      <c r="M816" s="13"/>
    </row>
    <row r="817" ht="15.75" customHeight="1">
      <c r="A817" s="14" t="str">
        <f t="shared" si="1"/>
        <v/>
      </c>
      <c r="B817" s="17" t="str">
        <f t="shared" si="3"/>
        <v/>
      </c>
      <c r="C817" s="18" t="str">
        <f t="shared" si="4"/>
        <v/>
      </c>
      <c r="D817" s="7"/>
      <c r="F817" s="7"/>
      <c r="G817" s="19" t="str">
        <f>IFERROR(__xludf.DUMMYFUNCTION("IF(OR(E817="""",F817&lt;&gt;""Barang Datang""), """",
  IFERROR(
    INDEX(
      SORT(
        FILTER(Jadwal!F:F, Jadwal!C:C=E817),
        FILTER(Jadwal!E:E, Jadwal!C:C=E817),
        FALSE
      ),
      1
    ),
    ""TIDAK ADA JADWAL""
  )
)"),"")</f>
        <v/>
      </c>
      <c r="H817" s="7" t="str">
        <f t="shared" si="2"/>
        <v/>
      </c>
      <c r="L817" s="13"/>
      <c r="M817" s="13"/>
    </row>
    <row r="818" ht="15.75" customHeight="1">
      <c r="A818" s="14" t="str">
        <f t="shared" si="1"/>
        <v/>
      </c>
      <c r="B818" s="17" t="str">
        <f t="shared" si="3"/>
        <v/>
      </c>
      <c r="C818" s="18" t="str">
        <f t="shared" si="4"/>
        <v/>
      </c>
      <c r="D818" s="7"/>
      <c r="F818" s="7"/>
      <c r="G818" s="19" t="str">
        <f>IFERROR(__xludf.DUMMYFUNCTION("IF(OR(E818="""",F818&lt;&gt;""Barang Datang""), """",
  IFERROR(
    INDEX(
      SORT(
        FILTER(Jadwal!F:F, Jadwal!C:C=E818),
        FILTER(Jadwal!E:E, Jadwal!C:C=E818),
        FALSE
      ),
      1
    ),
    ""TIDAK ADA JADWAL""
  )
)"),"")</f>
        <v/>
      </c>
      <c r="H818" s="7" t="str">
        <f t="shared" si="2"/>
        <v/>
      </c>
      <c r="L818" s="13"/>
      <c r="M818" s="13"/>
    </row>
    <row r="819" ht="15.75" customHeight="1">
      <c r="A819" s="14" t="str">
        <f t="shared" si="1"/>
        <v/>
      </c>
      <c r="B819" s="17" t="str">
        <f t="shared" si="3"/>
        <v/>
      </c>
      <c r="C819" s="18" t="str">
        <f t="shared" si="4"/>
        <v/>
      </c>
      <c r="D819" s="7"/>
      <c r="F819" s="7"/>
      <c r="G819" s="19" t="str">
        <f>IFERROR(__xludf.DUMMYFUNCTION("IF(OR(E819="""",F819&lt;&gt;""Barang Datang""), """",
  IFERROR(
    INDEX(
      SORT(
        FILTER(Jadwal!F:F, Jadwal!C:C=E819),
        FILTER(Jadwal!E:E, Jadwal!C:C=E819),
        FALSE
      ),
      1
    ),
    ""TIDAK ADA JADWAL""
  )
)"),"")</f>
        <v/>
      </c>
      <c r="H819" s="7" t="str">
        <f t="shared" si="2"/>
        <v/>
      </c>
      <c r="L819" s="13"/>
      <c r="M819" s="13"/>
    </row>
    <row r="820" ht="15.75" customHeight="1">
      <c r="A820" s="14" t="str">
        <f t="shared" si="1"/>
        <v/>
      </c>
      <c r="B820" s="17" t="str">
        <f t="shared" si="3"/>
        <v/>
      </c>
      <c r="C820" s="18" t="str">
        <f t="shared" si="4"/>
        <v/>
      </c>
      <c r="D820" s="7"/>
      <c r="F820" s="7"/>
      <c r="G820" s="19" t="str">
        <f>IFERROR(__xludf.DUMMYFUNCTION("IF(OR(E820="""",F820&lt;&gt;""Barang Datang""), """",
  IFERROR(
    INDEX(
      SORT(
        FILTER(Jadwal!F:F, Jadwal!C:C=E820),
        FILTER(Jadwal!E:E, Jadwal!C:C=E820),
        FALSE
      ),
      1
    ),
    ""TIDAK ADA JADWAL""
  )
)"),"")</f>
        <v/>
      </c>
      <c r="H820" s="7" t="str">
        <f t="shared" si="2"/>
        <v/>
      </c>
      <c r="L820" s="13"/>
      <c r="M820" s="13"/>
    </row>
    <row r="821" ht="15.75" customHeight="1">
      <c r="A821" s="14" t="str">
        <f t="shared" si="1"/>
        <v/>
      </c>
      <c r="B821" s="17" t="str">
        <f t="shared" si="3"/>
        <v/>
      </c>
      <c r="C821" s="18" t="str">
        <f t="shared" si="4"/>
        <v/>
      </c>
      <c r="D821" s="7"/>
      <c r="F821" s="7"/>
      <c r="G821" s="19" t="str">
        <f>IFERROR(__xludf.DUMMYFUNCTION("IF(OR(E821="""",F821&lt;&gt;""Barang Datang""), """",
  IFERROR(
    INDEX(
      SORT(
        FILTER(Jadwal!F:F, Jadwal!C:C=E821),
        FILTER(Jadwal!E:E, Jadwal!C:C=E821),
        FALSE
      ),
      1
    ),
    ""TIDAK ADA JADWAL""
  )
)"),"")</f>
        <v/>
      </c>
      <c r="H821" s="7" t="str">
        <f t="shared" si="2"/>
        <v/>
      </c>
      <c r="L821" s="13"/>
      <c r="M821" s="13"/>
    </row>
    <row r="822" ht="15.75" customHeight="1">
      <c r="A822" s="14" t="str">
        <f t="shared" si="1"/>
        <v/>
      </c>
      <c r="B822" s="17" t="str">
        <f t="shared" si="3"/>
        <v/>
      </c>
      <c r="C822" s="18" t="str">
        <f t="shared" si="4"/>
        <v/>
      </c>
      <c r="D822" s="7"/>
      <c r="F822" s="7"/>
      <c r="G822" s="19" t="str">
        <f>IFERROR(__xludf.DUMMYFUNCTION("IF(OR(E822="""",F822&lt;&gt;""Barang Datang""), """",
  IFERROR(
    INDEX(
      SORT(
        FILTER(Jadwal!F:F, Jadwal!C:C=E822),
        FILTER(Jadwal!E:E, Jadwal!C:C=E822),
        FALSE
      ),
      1
    ),
    ""TIDAK ADA JADWAL""
  )
)"),"")</f>
        <v/>
      </c>
      <c r="H822" s="7" t="str">
        <f t="shared" si="2"/>
        <v/>
      </c>
      <c r="L822" s="13"/>
      <c r="M822" s="13"/>
    </row>
    <row r="823" ht="15.75" customHeight="1">
      <c r="A823" s="14" t="str">
        <f t="shared" si="1"/>
        <v/>
      </c>
      <c r="B823" s="17" t="str">
        <f t="shared" si="3"/>
        <v/>
      </c>
      <c r="C823" s="18" t="str">
        <f t="shared" si="4"/>
        <v/>
      </c>
      <c r="D823" s="7"/>
      <c r="F823" s="7"/>
      <c r="G823" s="19" t="str">
        <f>IFERROR(__xludf.DUMMYFUNCTION("IF(OR(E823="""",F823&lt;&gt;""Barang Datang""), """",
  IFERROR(
    INDEX(
      SORT(
        FILTER(Jadwal!F:F, Jadwal!C:C=E823),
        FILTER(Jadwal!E:E, Jadwal!C:C=E823),
        FALSE
      ),
      1
    ),
    ""TIDAK ADA JADWAL""
  )
)"),"")</f>
        <v/>
      </c>
      <c r="H823" s="7" t="str">
        <f t="shared" si="2"/>
        <v/>
      </c>
      <c r="L823" s="13"/>
      <c r="M823" s="13"/>
    </row>
    <row r="824" ht="15.75" customHeight="1">
      <c r="A824" s="14" t="str">
        <f t="shared" si="1"/>
        <v/>
      </c>
      <c r="B824" s="17" t="str">
        <f t="shared" si="3"/>
        <v/>
      </c>
      <c r="C824" s="18" t="str">
        <f t="shared" si="4"/>
        <v/>
      </c>
      <c r="D824" s="7"/>
      <c r="F824" s="7"/>
      <c r="G824" s="19" t="str">
        <f>IFERROR(__xludf.DUMMYFUNCTION("IF(OR(E824="""",F824&lt;&gt;""Barang Datang""), """",
  IFERROR(
    INDEX(
      SORT(
        FILTER(Jadwal!F:F, Jadwal!C:C=E824),
        FILTER(Jadwal!E:E, Jadwal!C:C=E824),
        FALSE
      ),
      1
    ),
    ""TIDAK ADA JADWAL""
  )
)"),"")</f>
        <v/>
      </c>
      <c r="H824" s="7" t="str">
        <f t="shared" si="2"/>
        <v/>
      </c>
      <c r="L824" s="13"/>
      <c r="M824" s="13"/>
    </row>
    <row r="825" ht="15.75" customHeight="1">
      <c r="A825" s="14" t="str">
        <f t="shared" si="1"/>
        <v/>
      </c>
      <c r="B825" s="17" t="str">
        <f t="shared" si="3"/>
        <v/>
      </c>
      <c r="C825" s="18" t="str">
        <f t="shared" si="4"/>
        <v/>
      </c>
      <c r="D825" s="7"/>
      <c r="F825" s="7"/>
      <c r="G825" s="19" t="str">
        <f>IFERROR(__xludf.DUMMYFUNCTION("IF(OR(E825="""",F825&lt;&gt;""Barang Datang""), """",
  IFERROR(
    INDEX(
      SORT(
        FILTER(Jadwal!F:F, Jadwal!C:C=E825),
        FILTER(Jadwal!E:E, Jadwal!C:C=E825),
        FALSE
      ),
      1
    ),
    ""TIDAK ADA JADWAL""
  )
)"),"")</f>
        <v/>
      </c>
      <c r="H825" s="7" t="str">
        <f t="shared" si="2"/>
        <v/>
      </c>
      <c r="L825" s="13"/>
      <c r="M825" s="13"/>
    </row>
    <row r="826" ht="15.75" customHeight="1">
      <c r="A826" s="14" t="str">
        <f t="shared" si="1"/>
        <v/>
      </c>
      <c r="B826" s="17" t="str">
        <f t="shared" si="3"/>
        <v/>
      </c>
      <c r="C826" s="18" t="str">
        <f t="shared" si="4"/>
        <v/>
      </c>
      <c r="D826" s="7"/>
      <c r="F826" s="7"/>
      <c r="G826" s="19" t="str">
        <f>IFERROR(__xludf.DUMMYFUNCTION("IF(OR(E826="""",F826&lt;&gt;""Barang Datang""), """",
  IFERROR(
    INDEX(
      SORT(
        FILTER(Jadwal!F:F, Jadwal!C:C=E826),
        FILTER(Jadwal!E:E, Jadwal!C:C=E826),
        FALSE
      ),
      1
    ),
    ""TIDAK ADA JADWAL""
  )
)"),"")</f>
        <v/>
      </c>
      <c r="H826" s="7" t="str">
        <f t="shared" si="2"/>
        <v/>
      </c>
      <c r="L826" s="13"/>
      <c r="M826" s="13"/>
    </row>
    <row r="827" ht="15.75" customHeight="1">
      <c r="A827" s="14" t="str">
        <f t="shared" si="1"/>
        <v/>
      </c>
      <c r="B827" s="17" t="str">
        <f t="shared" si="3"/>
        <v/>
      </c>
      <c r="C827" s="18" t="str">
        <f t="shared" si="4"/>
        <v/>
      </c>
      <c r="D827" s="7"/>
      <c r="F827" s="7"/>
      <c r="G827" s="19" t="str">
        <f>IFERROR(__xludf.DUMMYFUNCTION("IF(OR(E827="""",F827&lt;&gt;""Barang Datang""), """",
  IFERROR(
    INDEX(
      SORT(
        FILTER(Jadwal!F:F, Jadwal!C:C=E827),
        FILTER(Jadwal!E:E, Jadwal!C:C=E827),
        FALSE
      ),
      1
    ),
    ""TIDAK ADA JADWAL""
  )
)"),"")</f>
        <v/>
      </c>
      <c r="H827" s="7" t="str">
        <f t="shared" si="2"/>
        <v/>
      </c>
      <c r="L827" s="13"/>
      <c r="M827" s="13"/>
    </row>
    <row r="828" ht="15.75" customHeight="1">
      <c r="A828" s="14" t="str">
        <f t="shared" si="1"/>
        <v/>
      </c>
      <c r="B828" s="17" t="str">
        <f t="shared" si="3"/>
        <v/>
      </c>
      <c r="C828" s="18" t="str">
        <f t="shared" si="4"/>
        <v/>
      </c>
      <c r="D828" s="7"/>
      <c r="F828" s="7"/>
      <c r="G828" s="19" t="str">
        <f>IFERROR(__xludf.DUMMYFUNCTION("IF(OR(E828="""",F828&lt;&gt;""Barang Datang""), """",
  IFERROR(
    INDEX(
      SORT(
        FILTER(Jadwal!F:F, Jadwal!C:C=E828),
        FILTER(Jadwal!E:E, Jadwal!C:C=E828),
        FALSE
      ),
      1
    ),
    ""TIDAK ADA JADWAL""
  )
)"),"")</f>
        <v/>
      </c>
      <c r="H828" s="7" t="str">
        <f t="shared" si="2"/>
        <v/>
      </c>
      <c r="L828" s="13"/>
      <c r="M828" s="13"/>
    </row>
    <row r="829" ht="15.75" customHeight="1">
      <c r="A829" s="14" t="str">
        <f t="shared" si="1"/>
        <v/>
      </c>
      <c r="B829" s="17" t="str">
        <f t="shared" si="3"/>
        <v/>
      </c>
      <c r="C829" s="18" t="str">
        <f t="shared" si="4"/>
        <v/>
      </c>
      <c r="D829" s="7"/>
      <c r="F829" s="7"/>
      <c r="G829" s="19" t="str">
        <f>IFERROR(__xludf.DUMMYFUNCTION("IF(OR(E829="""",F829&lt;&gt;""Barang Datang""), """",
  IFERROR(
    INDEX(
      SORT(
        FILTER(Jadwal!F:F, Jadwal!C:C=E829),
        FILTER(Jadwal!E:E, Jadwal!C:C=E829),
        FALSE
      ),
      1
    ),
    ""TIDAK ADA JADWAL""
  )
)"),"")</f>
        <v/>
      </c>
      <c r="H829" s="7" t="str">
        <f t="shared" si="2"/>
        <v/>
      </c>
      <c r="L829" s="13"/>
      <c r="M829" s="13"/>
    </row>
    <row r="830" ht="15.75" customHeight="1">
      <c r="A830" s="14" t="str">
        <f t="shared" si="1"/>
        <v/>
      </c>
      <c r="B830" s="17" t="str">
        <f t="shared" si="3"/>
        <v/>
      </c>
      <c r="C830" s="18" t="str">
        <f t="shared" si="4"/>
        <v/>
      </c>
      <c r="D830" s="7"/>
      <c r="F830" s="7"/>
      <c r="G830" s="19" t="str">
        <f>IFERROR(__xludf.DUMMYFUNCTION("IF(OR(E830="""",F830&lt;&gt;""Barang Datang""), """",
  IFERROR(
    INDEX(
      SORT(
        FILTER(Jadwal!F:F, Jadwal!C:C=E830),
        FILTER(Jadwal!E:E, Jadwal!C:C=E830),
        FALSE
      ),
      1
    ),
    ""TIDAK ADA JADWAL""
  )
)"),"")</f>
        <v/>
      </c>
      <c r="H830" s="7" t="str">
        <f t="shared" si="2"/>
        <v/>
      </c>
      <c r="L830" s="13"/>
      <c r="M830" s="13"/>
    </row>
    <row r="831" ht="15.75" customHeight="1">
      <c r="A831" s="14" t="str">
        <f t="shared" si="1"/>
        <v/>
      </c>
      <c r="B831" s="17" t="str">
        <f t="shared" si="3"/>
        <v/>
      </c>
      <c r="C831" s="18" t="str">
        <f t="shared" si="4"/>
        <v/>
      </c>
      <c r="D831" s="7"/>
      <c r="F831" s="7"/>
      <c r="G831" s="19" t="str">
        <f>IFERROR(__xludf.DUMMYFUNCTION("IF(OR(E831="""",F831&lt;&gt;""Barang Datang""), """",
  IFERROR(
    INDEX(
      SORT(
        FILTER(Jadwal!F:F, Jadwal!C:C=E831),
        FILTER(Jadwal!E:E, Jadwal!C:C=E831),
        FALSE
      ),
      1
    ),
    ""TIDAK ADA JADWAL""
  )
)"),"")</f>
        <v/>
      </c>
      <c r="H831" s="7" t="str">
        <f t="shared" si="2"/>
        <v/>
      </c>
      <c r="L831" s="13"/>
      <c r="M831" s="13"/>
    </row>
    <row r="832" ht="15.75" customHeight="1">
      <c r="A832" s="14" t="str">
        <f t="shared" si="1"/>
        <v/>
      </c>
      <c r="B832" s="17" t="str">
        <f t="shared" si="3"/>
        <v/>
      </c>
      <c r="C832" s="18" t="str">
        <f t="shared" si="4"/>
        <v/>
      </c>
      <c r="D832" s="7"/>
      <c r="F832" s="7"/>
      <c r="G832" s="19" t="str">
        <f>IFERROR(__xludf.DUMMYFUNCTION("IF(OR(E832="""",F832&lt;&gt;""Barang Datang""), """",
  IFERROR(
    INDEX(
      SORT(
        FILTER(Jadwal!F:F, Jadwal!C:C=E832),
        FILTER(Jadwal!E:E, Jadwal!C:C=E832),
        FALSE
      ),
      1
    ),
    ""TIDAK ADA JADWAL""
  )
)"),"")</f>
        <v/>
      </c>
      <c r="H832" s="7" t="str">
        <f t="shared" si="2"/>
        <v/>
      </c>
      <c r="L832" s="13"/>
      <c r="M832" s="13"/>
    </row>
    <row r="833" ht="15.75" customHeight="1">
      <c r="A833" s="14" t="str">
        <f t="shared" si="1"/>
        <v/>
      </c>
      <c r="B833" s="17" t="str">
        <f t="shared" si="3"/>
        <v/>
      </c>
      <c r="C833" s="18" t="str">
        <f t="shared" si="4"/>
        <v/>
      </c>
      <c r="D833" s="7"/>
      <c r="F833" s="7"/>
      <c r="G833" s="19" t="str">
        <f>IFERROR(__xludf.DUMMYFUNCTION("IF(OR(E833="""",F833&lt;&gt;""Barang Datang""), """",
  IFERROR(
    INDEX(
      SORT(
        FILTER(Jadwal!F:F, Jadwal!C:C=E833),
        FILTER(Jadwal!E:E, Jadwal!C:C=E833),
        FALSE
      ),
      1
    ),
    ""TIDAK ADA JADWAL""
  )
)"),"")</f>
        <v/>
      </c>
      <c r="H833" s="7" t="str">
        <f t="shared" si="2"/>
        <v/>
      </c>
      <c r="L833" s="13"/>
      <c r="M833" s="13"/>
    </row>
    <row r="834" ht="15.75" customHeight="1">
      <c r="A834" s="14" t="str">
        <f t="shared" si="1"/>
        <v/>
      </c>
      <c r="B834" s="17" t="str">
        <f t="shared" si="3"/>
        <v/>
      </c>
      <c r="C834" s="18" t="str">
        <f t="shared" si="4"/>
        <v/>
      </c>
      <c r="D834" s="7"/>
      <c r="F834" s="7"/>
      <c r="G834" s="19" t="str">
        <f>IFERROR(__xludf.DUMMYFUNCTION("IF(OR(E834="""",F834&lt;&gt;""Barang Datang""), """",
  IFERROR(
    INDEX(
      SORT(
        FILTER(Jadwal!F:F, Jadwal!C:C=E834),
        FILTER(Jadwal!E:E, Jadwal!C:C=E834),
        FALSE
      ),
      1
    ),
    ""TIDAK ADA JADWAL""
  )
)"),"")</f>
        <v/>
      </c>
      <c r="H834" s="7" t="str">
        <f t="shared" si="2"/>
        <v/>
      </c>
      <c r="L834" s="13"/>
      <c r="M834" s="13"/>
    </row>
    <row r="835" ht="15.75" customHeight="1">
      <c r="A835" s="14" t="str">
        <f t="shared" si="1"/>
        <v/>
      </c>
      <c r="B835" s="17" t="str">
        <f t="shared" si="3"/>
        <v/>
      </c>
      <c r="C835" s="18" t="str">
        <f t="shared" si="4"/>
        <v/>
      </c>
      <c r="D835" s="7"/>
      <c r="F835" s="7"/>
      <c r="G835" s="19" t="str">
        <f>IFERROR(__xludf.DUMMYFUNCTION("IF(OR(E835="""",F835&lt;&gt;""Barang Datang""), """",
  IFERROR(
    INDEX(
      SORT(
        FILTER(Jadwal!F:F, Jadwal!C:C=E835),
        FILTER(Jadwal!E:E, Jadwal!C:C=E835),
        FALSE
      ),
      1
    ),
    ""TIDAK ADA JADWAL""
  )
)"),"")</f>
        <v/>
      </c>
      <c r="H835" s="7" t="str">
        <f t="shared" si="2"/>
        <v/>
      </c>
      <c r="L835" s="13"/>
      <c r="M835" s="13"/>
    </row>
    <row r="836" ht="15.75" customHeight="1">
      <c r="A836" s="14" t="str">
        <f t="shared" si="1"/>
        <v/>
      </c>
      <c r="B836" s="17" t="str">
        <f t="shared" si="3"/>
        <v/>
      </c>
      <c r="C836" s="18" t="str">
        <f t="shared" si="4"/>
        <v/>
      </c>
      <c r="D836" s="7"/>
      <c r="F836" s="7"/>
      <c r="G836" s="19" t="str">
        <f>IFERROR(__xludf.DUMMYFUNCTION("IF(OR(E836="""",F836&lt;&gt;""Barang Datang""), """",
  IFERROR(
    INDEX(
      SORT(
        FILTER(Jadwal!F:F, Jadwal!C:C=E836),
        FILTER(Jadwal!E:E, Jadwal!C:C=E836),
        FALSE
      ),
      1
    ),
    ""TIDAK ADA JADWAL""
  )
)"),"")</f>
        <v/>
      </c>
      <c r="H836" s="7" t="str">
        <f t="shared" si="2"/>
        <v/>
      </c>
      <c r="L836" s="13"/>
      <c r="M836" s="13"/>
    </row>
    <row r="837" ht="15.75" customHeight="1">
      <c r="A837" s="14" t="str">
        <f t="shared" si="1"/>
        <v/>
      </c>
      <c r="B837" s="17" t="str">
        <f t="shared" si="3"/>
        <v/>
      </c>
      <c r="C837" s="18" t="str">
        <f t="shared" si="4"/>
        <v/>
      </c>
      <c r="D837" s="7"/>
      <c r="F837" s="7"/>
      <c r="G837" s="19" t="str">
        <f>IFERROR(__xludf.DUMMYFUNCTION("IF(OR(E837="""",F837&lt;&gt;""Barang Datang""), """",
  IFERROR(
    INDEX(
      SORT(
        FILTER(Jadwal!F:F, Jadwal!C:C=E837),
        FILTER(Jadwal!E:E, Jadwal!C:C=E837),
        FALSE
      ),
      1
    ),
    ""TIDAK ADA JADWAL""
  )
)"),"")</f>
        <v/>
      </c>
      <c r="H837" s="7" t="str">
        <f t="shared" si="2"/>
        <v/>
      </c>
      <c r="L837" s="13"/>
      <c r="M837" s="13"/>
    </row>
    <row r="838" ht="15.75" customHeight="1">
      <c r="A838" s="14" t="str">
        <f t="shared" si="1"/>
        <v/>
      </c>
      <c r="B838" s="17" t="str">
        <f t="shared" si="3"/>
        <v/>
      </c>
      <c r="C838" s="18" t="str">
        <f t="shared" si="4"/>
        <v/>
      </c>
      <c r="D838" s="7"/>
      <c r="F838" s="7"/>
      <c r="G838" s="19" t="str">
        <f>IFERROR(__xludf.DUMMYFUNCTION("IF(OR(E838="""",F838&lt;&gt;""Barang Datang""), """",
  IFERROR(
    INDEX(
      SORT(
        FILTER(Jadwal!F:F, Jadwal!C:C=E838),
        FILTER(Jadwal!E:E, Jadwal!C:C=E838),
        FALSE
      ),
      1
    ),
    ""TIDAK ADA JADWAL""
  )
)"),"")</f>
        <v/>
      </c>
      <c r="H838" s="7" t="str">
        <f t="shared" si="2"/>
        <v/>
      </c>
      <c r="L838" s="13"/>
      <c r="M838" s="13"/>
    </row>
    <row r="839" ht="15.75" customHeight="1">
      <c r="A839" s="14" t="str">
        <f t="shared" si="1"/>
        <v/>
      </c>
      <c r="B839" s="17" t="str">
        <f t="shared" si="3"/>
        <v/>
      </c>
      <c r="C839" s="18" t="str">
        <f t="shared" si="4"/>
        <v/>
      </c>
      <c r="D839" s="7"/>
      <c r="F839" s="7"/>
      <c r="G839" s="19" t="str">
        <f>IFERROR(__xludf.DUMMYFUNCTION("IF(OR(E839="""",F839&lt;&gt;""Barang Datang""), """",
  IFERROR(
    INDEX(
      SORT(
        FILTER(Jadwal!F:F, Jadwal!C:C=E839),
        FILTER(Jadwal!E:E, Jadwal!C:C=E839),
        FALSE
      ),
      1
    ),
    ""TIDAK ADA JADWAL""
  )
)"),"")</f>
        <v/>
      </c>
      <c r="H839" s="7" t="str">
        <f t="shared" si="2"/>
        <v/>
      </c>
      <c r="L839" s="13"/>
      <c r="M839" s="13"/>
    </row>
    <row r="840" ht="15.75" customHeight="1">
      <c r="A840" s="14" t="str">
        <f t="shared" si="1"/>
        <v/>
      </c>
      <c r="B840" s="17" t="str">
        <f t="shared" si="3"/>
        <v/>
      </c>
      <c r="C840" s="18" t="str">
        <f t="shared" si="4"/>
        <v/>
      </c>
      <c r="D840" s="7"/>
      <c r="F840" s="7"/>
      <c r="G840" s="19" t="str">
        <f>IFERROR(__xludf.DUMMYFUNCTION("IF(OR(E840="""",F840&lt;&gt;""Barang Datang""), """",
  IFERROR(
    INDEX(
      SORT(
        FILTER(Jadwal!F:F, Jadwal!C:C=E840),
        FILTER(Jadwal!E:E, Jadwal!C:C=E840),
        FALSE
      ),
      1
    ),
    ""TIDAK ADA JADWAL""
  )
)"),"")</f>
        <v/>
      </c>
      <c r="H840" s="7" t="str">
        <f t="shared" si="2"/>
        <v/>
      </c>
      <c r="L840" s="13"/>
      <c r="M840" s="13"/>
    </row>
    <row r="841" ht="15.75" customHeight="1">
      <c r="A841" s="14" t="str">
        <f t="shared" si="1"/>
        <v/>
      </c>
      <c r="B841" s="17" t="str">
        <f t="shared" si="3"/>
        <v/>
      </c>
      <c r="C841" s="18" t="str">
        <f t="shared" si="4"/>
        <v/>
      </c>
      <c r="D841" s="7"/>
      <c r="F841" s="7"/>
      <c r="G841" s="19" t="str">
        <f>IFERROR(__xludf.DUMMYFUNCTION("IF(OR(E841="""",F841&lt;&gt;""Barang Datang""), """",
  IFERROR(
    INDEX(
      SORT(
        FILTER(Jadwal!F:F, Jadwal!C:C=E841),
        FILTER(Jadwal!E:E, Jadwal!C:C=E841),
        FALSE
      ),
      1
    ),
    ""TIDAK ADA JADWAL""
  )
)"),"")</f>
        <v/>
      </c>
      <c r="H841" s="7" t="str">
        <f t="shared" si="2"/>
        <v/>
      </c>
      <c r="L841" s="13"/>
      <c r="M841" s="13"/>
    </row>
    <row r="842" ht="15.75" customHeight="1">
      <c r="A842" s="14" t="str">
        <f t="shared" si="1"/>
        <v/>
      </c>
      <c r="B842" s="17" t="str">
        <f t="shared" si="3"/>
        <v/>
      </c>
      <c r="C842" s="18" t="str">
        <f t="shared" si="4"/>
        <v/>
      </c>
      <c r="D842" s="7"/>
      <c r="F842" s="7"/>
      <c r="G842" s="19" t="str">
        <f>IFERROR(__xludf.DUMMYFUNCTION("IF(OR(E842="""",F842&lt;&gt;""Barang Datang""), """",
  IFERROR(
    INDEX(
      SORT(
        FILTER(Jadwal!F:F, Jadwal!C:C=E842),
        FILTER(Jadwal!E:E, Jadwal!C:C=E842),
        FALSE
      ),
      1
    ),
    ""TIDAK ADA JADWAL""
  )
)"),"")</f>
        <v/>
      </c>
      <c r="H842" s="7" t="str">
        <f t="shared" si="2"/>
        <v/>
      </c>
      <c r="L842" s="13"/>
      <c r="M842" s="13"/>
    </row>
    <row r="843" ht="15.75" customHeight="1">
      <c r="A843" s="14" t="str">
        <f t="shared" si="1"/>
        <v/>
      </c>
      <c r="B843" s="17" t="str">
        <f t="shared" si="3"/>
        <v/>
      </c>
      <c r="C843" s="18" t="str">
        <f t="shared" si="4"/>
        <v/>
      </c>
      <c r="D843" s="7"/>
      <c r="F843" s="7"/>
      <c r="G843" s="19" t="str">
        <f>IFERROR(__xludf.DUMMYFUNCTION("IF(OR(E843="""",F843&lt;&gt;""Barang Datang""), """",
  IFERROR(
    INDEX(
      SORT(
        FILTER(Jadwal!F:F, Jadwal!C:C=E843),
        FILTER(Jadwal!E:E, Jadwal!C:C=E843),
        FALSE
      ),
      1
    ),
    ""TIDAK ADA JADWAL""
  )
)"),"")</f>
        <v/>
      </c>
      <c r="H843" s="7" t="str">
        <f t="shared" si="2"/>
        <v/>
      </c>
      <c r="L843" s="13"/>
      <c r="M843" s="13"/>
    </row>
    <row r="844" ht="15.75" customHeight="1">
      <c r="A844" s="14" t="str">
        <f t="shared" si="1"/>
        <v/>
      </c>
      <c r="B844" s="17" t="str">
        <f t="shared" si="3"/>
        <v/>
      </c>
      <c r="C844" s="18" t="str">
        <f t="shared" si="4"/>
        <v/>
      </c>
      <c r="D844" s="7"/>
      <c r="F844" s="7"/>
      <c r="G844" s="19" t="str">
        <f>IFERROR(__xludf.DUMMYFUNCTION("IF(OR(E844="""",F844&lt;&gt;""Barang Datang""), """",
  IFERROR(
    INDEX(
      SORT(
        FILTER(Jadwal!F:F, Jadwal!C:C=E844),
        FILTER(Jadwal!E:E, Jadwal!C:C=E844),
        FALSE
      ),
      1
    ),
    ""TIDAK ADA JADWAL""
  )
)"),"")</f>
        <v/>
      </c>
      <c r="H844" s="7" t="str">
        <f t="shared" si="2"/>
        <v/>
      </c>
      <c r="L844" s="13"/>
      <c r="M844" s="13"/>
    </row>
    <row r="845" ht="15.75" customHeight="1">
      <c r="A845" s="14" t="str">
        <f t="shared" si="1"/>
        <v/>
      </c>
      <c r="B845" s="17" t="str">
        <f t="shared" si="3"/>
        <v/>
      </c>
      <c r="C845" s="18" t="str">
        <f t="shared" si="4"/>
        <v/>
      </c>
      <c r="D845" s="7"/>
      <c r="F845" s="7"/>
      <c r="G845" s="19" t="str">
        <f>IFERROR(__xludf.DUMMYFUNCTION("IF(OR(E845="""",F845&lt;&gt;""Barang Datang""), """",
  IFERROR(
    INDEX(
      SORT(
        FILTER(Jadwal!F:F, Jadwal!C:C=E845),
        FILTER(Jadwal!E:E, Jadwal!C:C=E845),
        FALSE
      ),
      1
    ),
    ""TIDAK ADA JADWAL""
  )
)"),"")</f>
        <v/>
      </c>
      <c r="H845" s="7" t="str">
        <f t="shared" si="2"/>
        <v/>
      </c>
      <c r="L845" s="13"/>
      <c r="M845" s="13"/>
    </row>
    <row r="846" ht="15.75" customHeight="1">
      <c r="A846" s="14" t="str">
        <f t="shared" si="1"/>
        <v/>
      </c>
      <c r="B846" s="17" t="str">
        <f t="shared" si="3"/>
        <v/>
      </c>
      <c r="C846" s="18" t="str">
        <f t="shared" si="4"/>
        <v/>
      </c>
      <c r="D846" s="7"/>
      <c r="F846" s="7"/>
      <c r="G846" s="19" t="str">
        <f>IFERROR(__xludf.DUMMYFUNCTION("IF(OR(E846="""",F846&lt;&gt;""Barang Datang""), """",
  IFERROR(
    INDEX(
      SORT(
        FILTER(Jadwal!F:F, Jadwal!C:C=E846),
        FILTER(Jadwal!E:E, Jadwal!C:C=E846),
        FALSE
      ),
      1
    ),
    ""TIDAK ADA JADWAL""
  )
)"),"")</f>
        <v/>
      </c>
      <c r="H846" s="7" t="str">
        <f t="shared" si="2"/>
        <v/>
      </c>
      <c r="L846" s="13"/>
      <c r="M846" s="13"/>
    </row>
    <row r="847" ht="15.75" customHeight="1">
      <c r="A847" s="14" t="str">
        <f t="shared" si="1"/>
        <v/>
      </c>
      <c r="B847" s="17" t="str">
        <f t="shared" si="3"/>
        <v/>
      </c>
      <c r="C847" s="18" t="str">
        <f t="shared" si="4"/>
        <v/>
      </c>
      <c r="D847" s="7"/>
      <c r="F847" s="7"/>
      <c r="G847" s="19" t="str">
        <f>IFERROR(__xludf.DUMMYFUNCTION("IF(OR(E847="""",F847&lt;&gt;""Barang Datang""), """",
  IFERROR(
    INDEX(
      SORT(
        FILTER(Jadwal!F:F, Jadwal!C:C=E847),
        FILTER(Jadwal!E:E, Jadwal!C:C=E847),
        FALSE
      ),
      1
    ),
    ""TIDAK ADA JADWAL""
  )
)"),"")</f>
        <v/>
      </c>
      <c r="H847" s="7" t="str">
        <f t="shared" si="2"/>
        <v/>
      </c>
      <c r="L847" s="13"/>
      <c r="M847" s="13"/>
    </row>
    <row r="848" ht="15.75" customHeight="1">
      <c r="A848" s="14" t="str">
        <f t="shared" si="1"/>
        <v/>
      </c>
      <c r="B848" s="17" t="str">
        <f t="shared" si="3"/>
        <v/>
      </c>
      <c r="C848" s="18" t="str">
        <f t="shared" si="4"/>
        <v/>
      </c>
      <c r="D848" s="7"/>
      <c r="F848" s="7"/>
      <c r="G848" s="19" t="str">
        <f>IFERROR(__xludf.DUMMYFUNCTION("IF(OR(E848="""",F848&lt;&gt;""Barang Datang""), """",
  IFERROR(
    INDEX(
      SORT(
        FILTER(Jadwal!F:F, Jadwal!C:C=E848),
        FILTER(Jadwal!E:E, Jadwal!C:C=E848),
        FALSE
      ),
      1
    ),
    ""TIDAK ADA JADWAL""
  )
)"),"")</f>
        <v/>
      </c>
      <c r="H848" s="7" t="str">
        <f t="shared" si="2"/>
        <v/>
      </c>
      <c r="L848" s="13"/>
      <c r="M848" s="13"/>
    </row>
    <row r="849" ht="15.75" customHeight="1">
      <c r="A849" s="14" t="str">
        <f t="shared" si="1"/>
        <v/>
      </c>
      <c r="B849" s="17" t="str">
        <f t="shared" si="3"/>
        <v/>
      </c>
      <c r="C849" s="18" t="str">
        <f t="shared" si="4"/>
        <v/>
      </c>
      <c r="D849" s="7"/>
      <c r="F849" s="7"/>
      <c r="G849" s="19" t="str">
        <f>IFERROR(__xludf.DUMMYFUNCTION("IF(OR(E849="""",F849&lt;&gt;""Barang Datang""), """",
  IFERROR(
    INDEX(
      SORT(
        FILTER(Jadwal!F:F, Jadwal!C:C=E849),
        FILTER(Jadwal!E:E, Jadwal!C:C=E849),
        FALSE
      ),
      1
    ),
    ""TIDAK ADA JADWAL""
  )
)"),"")</f>
        <v/>
      </c>
      <c r="H849" s="7" t="str">
        <f t="shared" si="2"/>
        <v/>
      </c>
      <c r="L849" s="13"/>
      <c r="M849" s="13"/>
    </row>
    <row r="850" ht="15.75" customHeight="1">
      <c r="A850" s="14" t="str">
        <f t="shared" si="1"/>
        <v/>
      </c>
      <c r="B850" s="17" t="str">
        <f t="shared" si="3"/>
        <v/>
      </c>
      <c r="C850" s="18" t="str">
        <f t="shared" si="4"/>
        <v/>
      </c>
      <c r="D850" s="7"/>
      <c r="F850" s="7"/>
      <c r="G850" s="19" t="str">
        <f>IFERROR(__xludf.DUMMYFUNCTION("IF(OR(E850="""",F850&lt;&gt;""Barang Datang""), """",
  IFERROR(
    INDEX(
      SORT(
        FILTER(Jadwal!F:F, Jadwal!C:C=E850),
        FILTER(Jadwal!E:E, Jadwal!C:C=E850),
        FALSE
      ),
      1
    ),
    ""TIDAK ADA JADWAL""
  )
)"),"")</f>
        <v/>
      </c>
      <c r="H850" s="7" t="str">
        <f t="shared" si="2"/>
        <v/>
      </c>
      <c r="L850" s="13"/>
      <c r="M850" s="13"/>
    </row>
    <row r="851" ht="15.75" customHeight="1">
      <c r="A851" s="14" t="str">
        <f t="shared" si="1"/>
        <v/>
      </c>
      <c r="B851" s="17" t="str">
        <f t="shared" si="3"/>
        <v/>
      </c>
      <c r="C851" s="18" t="str">
        <f t="shared" si="4"/>
        <v/>
      </c>
      <c r="D851" s="7"/>
      <c r="F851" s="7"/>
      <c r="G851" s="19" t="str">
        <f>IFERROR(__xludf.DUMMYFUNCTION("IF(OR(E851="""",F851&lt;&gt;""Barang Datang""), """",
  IFERROR(
    INDEX(
      SORT(
        FILTER(Jadwal!F:F, Jadwal!C:C=E851),
        FILTER(Jadwal!E:E, Jadwal!C:C=E851),
        FALSE
      ),
      1
    ),
    ""TIDAK ADA JADWAL""
  )
)"),"")</f>
        <v/>
      </c>
      <c r="H851" s="7" t="str">
        <f t="shared" si="2"/>
        <v/>
      </c>
      <c r="L851" s="13"/>
      <c r="M851" s="13"/>
    </row>
    <row r="852" ht="15.75" customHeight="1">
      <c r="A852" s="14" t="str">
        <f t="shared" si="1"/>
        <v/>
      </c>
      <c r="B852" s="17" t="str">
        <f t="shared" si="3"/>
        <v/>
      </c>
      <c r="C852" s="18" t="str">
        <f t="shared" si="4"/>
        <v/>
      </c>
      <c r="D852" s="7"/>
      <c r="F852" s="7"/>
      <c r="G852" s="19" t="str">
        <f>IFERROR(__xludf.DUMMYFUNCTION("IF(OR(E852="""",F852&lt;&gt;""Barang Datang""), """",
  IFERROR(
    INDEX(
      SORT(
        FILTER(Jadwal!F:F, Jadwal!C:C=E852),
        FILTER(Jadwal!E:E, Jadwal!C:C=E852),
        FALSE
      ),
      1
    ),
    ""TIDAK ADA JADWAL""
  )
)"),"")</f>
        <v/>
      </c>
      <c r="H852" s="7" t="str">
        <f t="shared" si="2"/>
        <v/>
      </c>
      <c r="L852" s="13"/>
      <c r="M852" s="13"/>
    </row>
    <row r="853" ht="15.75" customHeight="1">
      <c r="A853" s="14" t="str">
        <f t="shared" si="1"/>
        <v/>
      </c>
      <c r="B853" s="17" t="str">
        <f t="shared" si="3"/>
        <v/>
      </c>
      <c r="C853" s="18" t="str">
        <f t="shared" si="4"/>
        <v/>
      </c>
      <c r="D853" s="7"/>
      <c r="F853" s="7"/>
      <c r="G853" s="19" t="str">
        <f>IFERROR(__xludf.DUMMYFUNCTION("IF(OR(E853="""",F853&lt;&gt;""Barang Datang""), """",
  IFERROR(
    INDEX(
      SORT(
        FILTER(Jadwal!F:F, Jadwal!C:C=E853),
        FILTER(Jadwal!E:E, Jadwal!C:C=E853),
        FALSE
      ),
      1
    ),
    ""TIDAK ADA JADWAL""
  )
)"),"")</f>
        <v/>
      </c>
      <c r="H853" s="7" t="str">
        <f t="shared" si="2"/>
        <v/>
      </c>
      <c r="L853" s="13"/>
      <c r="M853" s="13"/>
    </row>
    <row r="854" ht="15.75" customHeight="1">
      <c r="A854" s="14" t="str">
        <f t="shared" si="1"/>
        <v/>
      </c>
      <c r="B854" s="17" t="str">
        <f t="shared" si="3"/>
        <v/>
      </c>
      <c r="C854" s="18" t="str">
        <f t="shared" si="4"/>
        <v/>
      </c>
      <c r="D854" s="7"/>
      <c r="F854" s="7"/>
      <c r="G854" s="19" t="str">
        <f>IFERROR(__xludf.DUMMYFUNCTION("IF(OR(E854="""",F854&lt;&gt;""Barang Datang""), """",
  IFERROR(
    INDEX(
      SORT(
        FILTER(Jadwal!F:F, Jadwal!C:C=E854),
        FILTER(Jadwal!E:E, Jadwal!C:C=E854),
        FALSE
      ),
      1
    ),
    ""TIDAK ADA JADWAL""
  )
)"),"")</f>
        <v/>
      </c>
      <c r="H854" s="7" t="str">
        <f t="shared" si="2"/>
        <v/>
      </c>
      <c r="L854" s="13"/>
      <c r="M854" s="13"/>
    </row>
    <row r="855" ht="15.75" customHeight="1">
      <c r="A855" s="14" t="str">
        <f t="shared" si="1"/>
        <v/>
      </c>
      <c r="B855" s="17" t="str">
        <f t="shared" si="3"/>
        <v/>
      </c>
      <c r="C855" s="18" t="str">
        <f t="shared" si="4"/>
        <v/>
      </c>
      <c r="D855" s="7"/>
      <c r="F855" s="7"/>
      <c r="G855" s="19" t="str">
        <f>IFERROR(__xludf.DUMMYFUNCTION("IF(OR(E855="""",F855&lt;&gt;""Barang Datang""), """",
  IFERROR(
    INDEX(
      SORT(
        FILTER(Jadwal!F:F, Jadwal!C:C=E855),
        FILTER(Jadwal!E:E, Jadwal!C:C=E855),
        FALSE
      ),
      1
    ),
    ""TIDAK ADA JADWAL""
  )
)"),"")</f>
        <v/>
      </c>
      <c r="H855" s="7" t="str">
        <f t="shared" si="2"/>
        <v/>
      </c>
      <c r="L855" s="13"/>
      <c r="M855" s="13"/>
    </row>
    <row r="856" ht="15.75" customHeight="1">
      <c r="A856" s="14" t="str">
        <f t="shared" si="1"/>
        <v/>
      </c>
      <c r="B856" s="17" t="str">
        <f t="shared" si="3"/>
        <v/>
      </c>
      <c r="C856" s="18" t="str">
        <f t="shared" si="4"/>
        <v/>
      </c>
      <c r="D856" s="7"/>
      <c r="F856" s="7"/>
      <c r="G856" s="19" t="str">
        <f>IFERROR(__xludf.DUMMYFUNCTION("IF(OR(E856="""",F856&lt;&gt;""Barang Datang""), """",
  IFERROR(
    INDEX(
      SORT(
        FILTER(Jadwal!F:F, Jadwal!C:C=E856),
        FILTER(Jadwal!E:E, Jadwal!C:C=E856),
        FALSE
      ),
      1
    ),
    ""TIDAK ADA JADWAL""
  )
)"),"")</f>
        <v/>
      </c>
      <c r="H856" s="7" t="str">
        <f t="shared" si="2"/>
        <v/>
      </c>
      <c r="L856" s="13"/>
      <c r="M856" s="13"/>
    </row>
    <row r="857" ht="15.75" customHeight="1">
      <c r="A857" s="14" t="str">
        <f t="shared" si="1"/>
        <v/>
      </c>
      <c r="B857" s="17" t="str">
        <f t="shared" si="3"/>
        <v/>
      </c>
      <c r="C857" s="18" t="str">
        <f t="shared" si="4"/>
        <v/>
      </c>
      <c r="D857" s="7"/>
      <c r="F857" s="7"/>
      <c r="G857" s="19" t="str">
        <f>IFERROR(__xludf.DUMMYFUNCTION("IF(OR(E857="""",F857&lt;&gt;""Barang Datang""), """",
  IFERROR(
    INDEX(
      SORT(
        FILTER(Jadwal!F:F, Jadwal!C:C=E857),
        FILTER(Jadwal!E:E, Jadwal!C:C=E857),
        FALSE
      ),
      1
    ),
    ""TIDAK ADA JADWAL""
  )
)"),"")</f>
        <v/>
      </c>
      <c r="H857" s="7" t="str">
        <f t="shared" si="2"/>
        <v/>
      </c>
      <c r="L857" s="13"/>
      <c r="M857" s="13"/>
    </row>
    <row r="858" ht="15.75" customHeight="1">
      <c r="A858" s="14" t="str">
        <f t="shared" si="1"/>
        <v/>
      </c>
      <c r="B858" s="17" t="str">
        <f t="shared" si="3"/>
        <v/>
      </c>
      <c r="C858" s="18" t="str">
        <f t="shared" si="4"/>
        <v/>
      </c>
      <c r="D858" s="7"/>
      <c r="F858" s="7"/>
      <c r="G858" s="19" t="str">
        <f>IFERROR(__xludf.DUMMYFUNCTION("IF(OR(E858="""",F858&lt;&gt;""Barang Datang""), """",
  IFERROR(
    INDEX(
      SORT(
        FILTER(Jadwal!F:F, Jadwal!C:C=E858),
        FILTER(Jadwal!E:E, Jadwal!C:C=E858),
        FALSE
      ),
      1
    ),
    ""TIDAK ADA JADWAL""
  )
)"),"")</f>
        <v/>
      </c>
      <c r="H858" s="7" t="str">
        <f t="shared" si="2"/>
        <v/>
      </c>
      <c r="L858" s="13"/>
      <c r="M858" s="13"/>
    </row>
    <row r="859" ht="15.75" customHeight="1">
      <c r="A859" s="14" t="str">
        <f t="shared" si="1"/>
        <v/>
      </c>
      <c r="B859" s="17" t="str">
        <f t="shared" si="3"/>
        <v/>
      </c>
      <c r="C859" s="18" t="str">
        <f t="shared" si="4"/>
        <v/>
      </c>
      <c r="D859" s="7"/>
      <c r="F859" s="7"/>
      <c r="G859" s="19" t="str">
        <f>IFERROR(__xludf.DUMMYFUNCTION("IF(OR(E859="""",F859&lt;&gt;""Barang Datang""), """",
  IFERROR(
    INDEX(
      SORT(
        FILTER(Jadwal!F:F, Jadwal!C:C=E859),
        FILTER(Jadwal!E:E, Jadwal!C:C=E859),
        FALSE
      ),
      1
    ),
    ""TIDAK ADA JADWAL""
  )
)"),"")</f>
        <v/>
      </c>
      <c r="H859" s="7" t="str">
        <f t="shared" si="2"/>
        <v/>
      </c>
      <c r="L859" s="13"/>
      <c r="M859" s="13"/>
    </row>
    <row r="860" ht="15.75" customHeight="1">
      <c r="A860" s="14" t="str">
        <f t="shared" si="1"/>
        <v/>
      </c>
      <c r="B860" s="17" t="str">
        <f t="shared" si="3"/>
        <v/>
      </c>
      <c r="C860" s="18" t="str">
        <f t="shared" si="4"/>
        <v/>
      </c>
      <c r="D860" s="7"/>
      <c r="F860" s="7"/>
      <c r="G860" s="19" t="str">
        <f>IFERROR(__xludf.DUMMYFUNCTION("IF(OR(E860="""",F860&lt;&gt;""Barang Datang""), """",
  IFERROR(
    INDEX(
      SORT(
        FILTER(Jadwal!F:F, Jadwal!C:C=E860),
        FILTER(Jadwal!E:E, Jadwal!C:C=E860),
        FALSE
      ),
      1
    ),
    ""TIDAK ADA JADWAL""
  )
)"),"")</f>
        <v/>
      </c>
      <c r="H860" s="7" t="str">
        <f t="shared" si="2"/>
        <v/>
      </c>
      <c r="L860" s="13"/>
      <c r="M860" s="13"/>
    </row>
    <row r="861" ht="15.75" customHeight="1">
      <c r="A861" s="14" t="str">
        <f t="shared" si="1"/>
        <v/>
      </c>
      <c r="B861" s="17" t="str">
        <f t="shared" si="3"/>
        <v/>
      </c>
      <c r="C861" s="18" t="str">
        <f t="shared" si="4"/>
        <v/>
      </c>
      <c r="D861" s="7"/>
      <c r="F861" s="7"/>
      <c r="G861" s="19" t="str">
        <f>IFERROR(__xludf.DUMMYFUNCTION("IF(OR(E861="""",F861&lt;&gt;""Barang Datang""), """",
  IFERROR(
    INDEX(
      SORT(
        FILTER(Jadwal!F:F, Jadwal!C:C=E861),
        FILTER(Jadwal!E:E, Jadwal!C:C=E861),
        FALSE
      ),
      1
    ),
    ""TIDAK ADA JADWAL""
  )
)"),"")</f>
        <v/>
      </c>
      <c r="H861" s="7" t="str">
        <f t="shared" si="2"/>
        <v/>
      </c>
      <c r="L861" s="13"/>
      <c r="M861" s="13"/>
    </row>
    <row r="862" ht="15.75" customHeight="1">
      <c r="A862" s="14" t="str">
        <f t="shared" si="1"/>
        <v/>
      </c>
      <c r="B862" s="17" t="str">
        <f t="shared" si="3"/>
        <v/>
      </c>
      <c r="C862" s="18" t="str">
        <f t="shared" si="4"/>
        <v/>
      </c>
      <c r="D862" s="7"/>
      <c r="F862" s="7"/>
      <c r="G862" s="19" t="str">
        <f>IFERROR(__xludf.DUMMYFUNCTION("IF(OR(E862="""",F862&lt;&gt;""Barang Datang""), """",
  IFERROR(
    INDEX(
      SORT(
        FILTER(Jadwal!F:F, Jadwal!C:C=E862),
        FILTER(Jadwal!E:E, Jadwal!C:C=E862),
        FALSE
      ),
      1
    ),
    ""TIDAK ADA JADWAL""
  )
)"),"")</f>
        <v/>
      </c>
      <c r="H862" s="7" t="str">
        <f t="shared" si="2"/>
        <v/>
      </c>
      <c r="L862" s="13"/>
      <c r="M862" s="13"/>
    </row>
    <row r="863" ht="15.75" customHeight="1">
      <c r="A863" s="14" t="str">
        <f t="shared" si="1"/>
        <v/>
      </c>
      <c r="B863" s="17" t="str">
        <f t="shared" si="3"/>
        <v/>
      </c>
      <c r="C863" s="18" t="str">
        <f t="shared" si="4"/>
        <v/>
      </c>
      <c r="D863" s="7"/>
      <c r="F863" s="7"/>
      <c r="G863" s="19" t="str">
        <f>IFERROR(__xludf.DUMMYFUNCTION("IF(OR(E863="""",F863&lt;&gt;""Barang Datang""), """",
  IFERROR(
    INDEX(
      SORT(
        FILTER(Jadwal!F:F, Jadwal!C:C=E863),
        FILTER(Jadwal!E:E, Jadwal!C:C=E863),
        FALSE
      ),
      1
    ),
    ""TIDAK ADA JADWAL""
  )
)"),"")</f>
        <v/>
      </c>
      <c r="H863" s="7" t="str">
        <f t="shared" si="2"/>
        <v/>
      </c>
      <c r="L863" s="13"/>
      <c r="M863" s="13"/>
    </row>
    <row r="864" ht="15.75" customHeight="1">
      <c r="A864" s="14" t="str">
        <f t="shared" si="1"/>
        <v/>
      </c>
      <c r="B864" s="17" t="str">
        <f t="shared" si="3"/>
        <v/>
      </c>
      <c r="C864" s="18" t="str">
        <f t="shared" si="4"/>
        <v/>
      </c>
      <c r="D864" s="7"/>
      <c r="F864" s="7"/>
      <c r="G864" s="19" t="str">
        <f>IFERROR(__xludf.DUMMYFUNCTION("IF(OR(E864="""",F864&lt;&gt;""Barang Datang""), """",
  IFERROR(
    INDEX(
      SORT(
        FILTER(Jadwal!F:F, Jadwal!C:C=E864),
        FILTER(Jadwal!E:E, Jadwal!C:C=E864),
        FALSE
      ),
      1
    ),
    ""TIDAK ADA JADWAL""
  )
)"),"")</f>
        <v/>
      </c>
      <c r="H864" s="7" t="str">
        <f t="shared" si="2"/>
        <v/>
      </c>
      <c r="L864" s="13"/>
      <c r="M864" s="13"/>
    </row>
    <row r="865" ht="15.75" customHeight="1">
      <c r="A865" s="14" t="str">
        <f t="shared" si="1"/>
        <v/>
      </c>
      <c r="B865" s="17" t="str">
        <f t="shared" si="3"/>
        <v/>
      </c>
      <c r="C865" s="18" t="str">
        <f t="shared" si="4"/>
        <v/>
      </c>
      <c r="D865" s="7"/>
      <c r="F865" s="7"/>
      <c r="G865" s="19" t="str">
        <f>IFERROR(__xludf.DUMMYFUNCTION("IF(OR(E865="""",F865&lt;&gt;""Barang Datang""), """",
  IFERROR(
    INDEX(
      SORT(
        FILTER(Jadwal!F:F, Jadwal!C:C=E865),
        FILTER(Jadwal!E:E, Jadwal!C:C=E865),
        FALSE
      ),
      1
    ),
    ""TIDAK ADA JADWAL""
  )
)"),"")</f>
        <v/>
      </c>
      <c r="H865" s="7" t="str">
        <f t="shared" si="2"/>
        <v/>
      </c>
      <c r="L865" s="13"/>
      <c r="M865" s="13"/>
    </row>
    <row r="866" ht="15.75" customHeight="1">
      <c r="A866" s="14" t="str">
        <f t="shared" si="1"/>
        <v/>
      </c>
      <c r="B866" s="17" t="str">
        <f t="shared" si="3"/>
        <v/>
      </c>
      <c r="C866" s="18" t="str">
        <f t="shared" si="4"/>
        <v/>
      </c>
      <c r="D866" s="7"/>
      <c r="F866" s="7"/>
      <c r="G866" s="19" t="str">
        <f>IFERROR(__xludf.DUMMYFUNCTION("IF(OR(E866="""",F866&lt;&gt;""Barang Datang""), """",
  IFERROR(
    INDEX(
      SORT(
        FILTER(Jadwal!F:F, Jadwal!C:C=E866),
        FILTER(Jadwal!E:E, Jadwal!C:C=E866),
        FALSE
      ),
      1
    ),
    ""TIDAK ADA JADWAL""
  )
)"),"")</f>
        <v/>
      </c>
      <c r="H866" s="7" t="str">
        <f t="shared" si="2"/>
        <v/>
      </c>
      <c r="L866" s="13"/>
      <c r="M866" s="13"/>
    </row>
    <row r="867" ht="15.75" customHeight="1">
      <c r="A867" s="14" t="str">
        <f t="shared" si="1"/>
        <v/>
      </c>
      <c r="B867" s="17" t="str">
        <f t="shared" si="3"/>
        <v/>
      </c>
      <c r="C867" s="18" t="str">
        <f t="shared" si="4"/>
        <v/>
      </c>
      <c r="D867" s="7"/>
      <c r="F867" s="7"/>
      <c r="G867" s="19" t="str">
        <f>IFERROR(__xludf.DUMMYFUNCTION("IF(OR(E867="""",F867&lt;&gt;""Barang Datang""), """",
  IFERROR(
    INDEX(
      SORT(
        FILTER(Jadwal!F:F, Jadwal!C:C=E867),
        FILTER(Jadwal!E:E, Jadwal!C:C=E867),
        FALSE
      ),
      1
    ),
    ""TIDAK ADA JADWAL""
  )
)"),"")</f>
        <v/>
      </c>
      <c r="H867" s="7" t="str">
        <f t="shared" si="2"/>
        <v/>
      </c>
      <c r="L867" s="13"/>
      <c r="M867" s="13"/>
    </row>
    <row r="868" ht="15.75" customHeight="1">
      <c r="A868" s="14" t="str">
        <f t="shared" si="1"/>
        <v/>
      </c>
      <c r="B868" s="17" t="str">
        <f t="shared" si="3"/>
        <v/>
      </c>
      <c r="C868" s="18" t="str">
        <f t="shared" si="4"/>
        <v/>
      </c>
      <c r="D868" s="7"/>
      <c r="F868" s="7"/>
      <c r="G868" s="19" t="str">
        <f>IFERROR(__xludf.DUMMYFUNCTION("IF(OR(E868="""",F868&lt;&gt;""Barang Datang""), """",
  IFERROR(
    INDEX(
      SORT(
        FILTER(Jadwal!F:F, Jadwal!C:C=E868),
        FILTER(Jadwal!E:E, Jadwal!C:C=E868),
        FALSE
      ),
      1
    ),
    ""TIDAK ADA JADWAL""
  )
)"),"")</f>
        <v/>
      </c>
      <c r="H868" s="7" t="str">
        <f t="shared" si="2"/>
        <v/>
      </c>
      <c r="L868" s="13"/>
      <c r="M868" s="13"/>
    </row>
    <row r="869" ht="15.75" customHeight="1">
      <c r="A869" s="14" t="str">
        <f t="shared" si="1"/>
        <v/>
      </c>
      <c r="B869" s="17" t="str">
        <f t="shared" si="3"/>
        <v/>
      </c>
      <c r="C869" s="18" t="str">
        <f t="shared" si="4"/>
        <v/>
      </c>
      <c r="D869" s="7"/>
      <c r="F869" s="7"/>
      <c r="G869" s="19" t="str">
        <f>IFERROR(__xludf.DUMMYFUNCTION("IF(OR(E869="""",F869&lt;&gt;""Barang Datang""), """",
  IFERROR(
    INDEX(
      SORT(
        FILTER(Jadwal!F:F, Jadwal!C:C=E869),
        FILTER(Jadwal!E:E, Jadwal!C:C=E869),
        FALSE
      ),
      1
    ),
    ""TIDAK ADA JADWAL""
  )
)"),"")</f>
        <v/>
      </c>
      <c r="H869" s="7" t="str">
        <f t="shared" si="2"/>
        <v/>
      </c>
      <c r="L869" s="13"/>
      <c r="M869" s="13"/>
    </row>
    <row r="870" ht="15.75" customHeight="1">
      <c r="A870" s="14" t="str">
        <f t="shared" si="1"/>
        <v/>
      </c>
      <c r="B870" s="17" t="str">
        <f t="shared" si="3"/>
        <v/>
      </c>
      <c r="C870" s="18" t="str">
        <f t="shared" si="4"/>
        <v/>
      </c>
      <c r="D870" s="7"/>
      <c r="F870" s="7"/>
      <c r="G870" s="19" t="str">
        <f>IFERROR(__xludf.DUMMYFUNCTION("IF(OR(E870="""",F870&lt;&gt;""Barang Datang""), """",
  IFERROR(
    INDEX(
      SORT(
        FILTER(Jadwal!F:F, Jadwal!C:C=E870),
        FILTER(Jadwal!E:E, Jadwal!C:C=E870),
        FALSE
      ),
      1
    ),
    ""TIDAK ADA JADWAL""
  )
)"),"")</f>
        <v/>
      </c>
      <c r="H870" s="7" t="str">
        <f t="shared" si="2"/>
        <v/>
      </c>
      <c r="L870" s="13"/>
      <c r="M870" s="13"/>
    </row>
    <row r="871" ht="15.75" customHeight="1">
      <c r="A871" s="14" t="str">
        <f t="shared" si="1"/>
        <v/>
      </c>
      <c r="B871" s="17" t="str">
        <f t="shared" si="3"/>
        <v/>
      </c>
      <c r="C871" s="18" t="str">
        <f t="shared" si="4"/>
        <v/>
      </c>
      <c r="D871" s="7"/>
      <c r="F871" s="7"/>
      <c r="G871" s="19" t="str">
        <f>IFERROR(__xludf.DUMMYFUNCTION("IF(OR(E871="""",F871&lt;&gt;""Barang Datang""), """",
  IFERROR(
    INDEX(
      SORT(
        FILTER(Jadwal!F:F, Jadwal!C:C=E871),
        FILTER(Jadwal!E:E, Jadwal!C:C=E871),
        FALSE
      ),
      1
    ),
    ""TIDAK ADA JADWAL""
  )
)"),"")</f>
        <v/>
      </c>
      <c r="H871" s="7" t="str">
        <f t="shared" si="2"/>
        <v/>
      </c>
      <c r="L871" s="13"/>
      <c r="M871" s="13"/>
    </row>
    <row r="872" ht="15.75" customHeight="1">
      <c r="A872" s="14" t="str">
        <f t="shared" si="1"/>
        <v/>
      </c>
      <c r="B872" s="17" t="str">
        <f t="shared" si="3"/>
        <v/>
      </c>
      <c r="C872" s="18" t="str">
        <f t="shared" si="4"/>
        <v/>
      </c>
      <c r="D872" s="7"/>
      <c r="F872" s="7"/>
      <c r="G872" s="19" t="str">
        <f>IFERROR(__xludf.DUMMYFUNCTION("IF(OR(E872="""",F872&lt;&gt;""Barang Datang""), """",
  IFERROR(
    INDEX(
      SORT(
        FILTER(Jadwal!F:F, Jadwal!C:C=E872),
        FILTER(Jadwal!E:E, Jadwal!C:C=E872),
        FALSE
      ),
      1
    ),
    ""TIDAK ADA JADWAL""
  )
)"),"")</f>
        <v/>
      </c>
      <c r="H872" s="7" t="str">
        <f t="shared" si="2"/>
        <v/>
      </c>
      <c r="L872" s="13"/>
      <c r="M872" s="13"/>
    </row>
    <row r="873" ht="15.75" customHeight="1">
      <c r="A873" s="14" t="str">
        <f t="shared" si="1"/>
        <v/>
      </c>
      <c r="B873" s="17" t="str">
        <f t="shared" si="3"/>
        <v/>
      </c>
      <c r="C873" s="18" t="str">
        <f t="shared" si="4"/>
        <v/>
      </c>
      <c r="D873" s="7"/>
      <c r="F873" s="7"/>
      <c r="G873" s="19" t="str">
        <f>IFERROR(__xludf.DUMMYFUNCTION("IF(OR(E873="""",F873&lt;&gt;""Barang Datang""), """",
  IFERROR(
    INDEX(
      SORT(
        FILTER(Jadwal!F:F, Jadwal!C:C=E873),
        FILTER(Jadwal!E:E, Jadwal!C:C=E873),
        FALSE
      ),
      1
    ),
    ""TIDAK ADA JADWAL""
  )
)"),"")</f>
        <v/>
      </c>
      <c r="H873" s="7" t="str">
        <f t="shared" si="2"/>
        <v/>
      </c>
      <c r="L873" s="13"/>
      <c r="M873" s="13"/>
    </row>
    <row r="874" ht="15.75" customHeight="1">
      <c r="A874" s="14" t="str">
        <f t="shared" si="1"/>
        <v/>
      </c>
      <c r="B874" s="17" t="str">
        <f t="shared" si="3"/>
        <v/>
      </c>
      <c r="C874" s="18" t="str">
        <f t="shared" si="4"/>
        <v/>
      </c>
      <c r="D874" s="7"/>
      <c r="F874" s="7"/>
      <c r="G874" s="19" t="str">
        <f>IFERROR(__xludf.DUMMYFUNCTION("IF(OR(E874="""",F874&lt;&gt;""Barang Datang""), """",
  IFERROR(
    INDEX(
      SORT(
        FILTER(Jadwal!F:F, Jadwal!C:C=E874),
        FILTER(Jadwal!E:E, Jadwal!C:C=E874),
        FALSE
      ),
      1
    ),
    ""TIDAK ADA JADWAL""
  )
)"),"")</f>
        <v/>
      </c>
      <c r="H874" s="7" t="str">
        <f t="shared" si="2"/>
        <v/>
      </c>
      <c r="L874" s="13"/>
      <c r="M874" s="13"/>
    </row>
    <row r="875" ht="15.75" customHeight="1">
      <c r="A875" s="14" t="str">
        <f t="shared" si="1"/>
        <v/>
      </c>
      <c r="B875" s="17" t="str">
        <f t="shared" si="3"/>
        <v/>
      </c>
      <c r="C875" s="18" t="str">
        <f t="shared" si="4"/>
        <v/>
      </c>
      <c r="D875" s="7"/>
      <c r="F875" s="7"/>
      <c r="G875" s="19" t="str">
        <f>IFERROR(__xludf.DUMMYFUNCTION("IF(OR(E875="""",F875&lt;&gt;""Barang Datang""), """",
  IFERROR(
    INDEX(
      SORT(
        FILTER(Jadwal!F:F, Jadwal!C:C=E875),
        FILTER(Jadwal!E:E, Jadwal!C:C=E875),
        FALSE
      ),
      1
    ),
    ""TIDAK ADA JADWAL""
  )
)"),"")</f>
        <v/>
      </c>
      <c r="H875" s="7" t="str">
        <f t="shared" si="2"/>
        <v/>
      </c>
      <c r="L875" s="13"/>
      <c r="M875" s="13"/>
    </row>
    <row r="876" ht="15.75" customHeight="1">
      <c r="A876" s="14" t="str">
        <f t="shared" si="1"/>
        <v/>
      </c>
      <c r="B876" s="17" t="str">
        <f t="shared" si="3"/>
        <v/>
      </c>
      <c r="C876" s="18" t="str">
        <f t="shared" si="4"/>
        <v/>
      </c>
      <c r="D876" s="7"/>
      <c r="F876" s="7"/>
      <c r="G876" s="19" t="str">
        <f>IFERROR(__xludf.DUMMYFUNCTION("IF(OR(E876="""",F876&lt;&gt;""Barang Datang""), """",
  IFERROR(
    INDEX(
      SORT(
        FILTER(Jadwal!F:F, Jadwal!C:C=E876),
        FILTER(Jadwal!E:E, Jadwal!C:C=E876),
        FALSE
      ),
      1
    ),
    ""TIDAK ADA JADWAL""
  )
)"),"")</f>
        <v/>
      </c>
      <c r="H876" s="7" t="str">
        <f t="shared" si="2"/>
        <v/>
      </c>
      <c r="L876" s="13"/>
      <c r="M876" s="13"/>
    </row>
    <row r="877" ht="15.75" customHeight="1">
      <c r="A877" s="14" t="str">
        <f t="shared" si="1"/>
        <v/>
      </c>
      <c r="B877" s="17" t="str">
        <f t="shared" si="3"/>
        <v/>
      </c>
      <c r="C877" s="18" t="str">
        <f t="shared" si="4"/>
        <v/>
      </c>
      <c r="D877" s="7"/>
      <c r="F877" s="7"/>
      <c r="G877" s="19" t="str">
        <f>IFERROR(__xludf.DUMMYFUNCTION("IF(OR(E877="""",F877&lt;&gt;""Barang Datang""), """",
  IFERROR(
    INDEX(
      SORT(
        FILTER(Jadwal!F:F, Jadwal!C:C=E877),
        FILTER(Jadwal!E:E, Jadwal!C:C=E877),
        FALSE
      ),
      1
    ),
    ""TIDAK ADA JADWAL""
  )
)"),"")</f>
        <v/>
      </c>
      <c r="H877" s="7" t="str">
        <f t="shared" si="2"/>
        <v/>
      </c>
      <c r="L877" s="13"/>
      <c r="M877" s="13"/>
    </row>
    <row r="878" ht="15.75" customHeight="1">
      <c r="A878" s="14" t="str">
        <f t="shared" si="1"/>
        <v/>
      </c>
      <c r="B878" s="17" t="str">
        <f t="shared" si="3"/>
        <v/>
      </c>
      <c r="C878" s="18" t="str">
        <f t="shared" si="4"/>
        <v/>
      </c>
      <c r="D878" s="7"/>
      <c r="F878" s="7"/>
      <c r="G878" s="19" t="str">
        <f>IFERROR(__xludf.DUMMYFUNCTION("IF(OR(E878="""",F878&lt;&gt;""Barang Datang""), """",
  IFERROR(
    INDEX(
      SORT(
        FILTER(Jadwal!F:F, Jadwal!C:C=E878),
        FILTER(Jadwal!E:E, Jadwal!C:C=E878),
        FALSE
      ),
      1
    ),
    ""TIDAK ADA JADWAL""
  )
)"),"")</f>
        <v/>
      </c>
      <c r="H878" s="7" t="str">
        <f t="shared" si="2"/>
        <v/>
      </c>
      <c r="L878" s="13"/>
      <c r="M878" s="13"/>
    </row>
    <row r="879" ht="15.75" customHeight="1">
      <c r="A879" s="14" t="str">
        <f t="shared" si="1"/>
        <v/>
      </c>
      <c r="B879" s="17" t="str">
        <f t="shared" si="3"/>
        <v/>
      </c>
      <c r="C879" s="18" t="str">
        <f t="shared" si="4"/>
        <v/>
      </c>
      <c r="D879" s="7"/>
      <c r="F879" s="7"/>
      <c r="G879" s="19" t="str">
        <f>IFERROR(__xludf.DUMMYFUNCTION("IF(OR(E879="""",F879&lt;&gt;""Barang Datang""), """",
  IFERROR(
    INDEX(
      SORT(
        FILTER(Jadwal!F:F, Jadwal!C:C=E879),
        FILTER(Jadwal!E:E, Jadwal!C:C=E879),
        FALSE
      ),
      1
    ),
    ""TIDAK ADA JADWAL""
  )
)"),"")</f>
        <v/>
      </c>
      <c r="H879" s="7" t="str">
        <f t="shared" si="2"/>
        <v/>
      </c>
      <c r="L879" s="13"/>
      <c r="M879" s="13"/>
    </row>
    <row r="880" ht="15.75" customHeight="1">
      <c r="A880" s="14" t="str">
        <f t="shared" si="1"/>
        <v/>
      </c>
      <c r="B880" s="17" t="str">
        <f t="shared" si="3"/>
        <v/>
      </c>
      <c r="C880" s="18" t="str">
        <f t="shared" si="4"/>
        <v/>
      </c>
      <c r="D880" s="7"/>
      <c r="F880" s="7"/>
      <c r="G880" s="19" t="str">
        <f>IFERROR(__xludf.DUMMYFUNCTION("IF(OR(E880="""",F880&lt;&gt;""Barang Datang""), """",
  IFERROR(
    INDEX(
      SORT(
        FILTER(Jadwal!F:F, Jadwal!C:C=E880),
        FILTER(Jadwal!E:E, Jadwal!C:C=E880),
        FALSE
      ),
      1
    ),
    ""TIDAK ADA JADWAL""
  )
)"),"")</f>
        <v/>
      </c>
      <c r="H880" s="7" t="str">
        <f t="shared" si="2"/>
        <v/>
      </c>
      <c r="L880" s="13"/>
      <c r="M880" s="13"/>
    </row>
    <row r="881" ht="15.75" customHeight="1">
      <c r="A881" s="14" t="str">
        <f t="shared" si="1"/>
        <v/>
      </c>
      <c r="B881" s="17" t="str">
        <f t="shared" si="3"/>
        <v/>
      </c>
      <c r="C881" s="18" t="str">
        <f t="shared" si="4"/>
        <v/>
      </c>
      <c r="D881" s="7"/>
      <c r="F881" s="7"/>
      <c r="G881" s="19" t="str">
        <f>IFERROR(__xludf.DUMMYFUNCTION("IF(OR(E881="""",F881&lt;&gt;""Barang Datang""), """",
  IFERROR(
    INDEX(
      SORT(
        FILTER(Jadwal!F:F, Jadwal!C:C=E881),
        FILTER(Jadwal!E:E, Jadwal!C:C=E881),
        FALSE
      ),
      1
    ),
    ""TIDAK ADA JADWAL""
  )
)"),"")</f>
        <v/>
      </c>
      <c r="H881" s="7" t="str">
        <f t="shared" si="2"/>
        <v/>
      </c>
      <c r="L881" s="13"/>
      <c r="M881" s="13"/>
    </row>
    <row r="882" ht="15.75" customHeight="1">
      <c r="A882" s="14" t="str">
        <f t="shared" si="1"/>
        <v/>
      </c>
      <c r="B882" s="17" t="str">
        <f t="shared" si="3"/>
        <v/>
      </c>
      <c r="C882" s="18" t="str">
        <f t="shared" si="4"/>
        <v/>
      </c>
      <c r="D882" s="7"/>
      <c r="F882" s="7"/>
      <c r="G882" s="19" t="str">
        <f>IFERROR(__xludf.DUMMYFUNCTION("IF(OR(E882="""",F882&lt;&gt;""Barang Datang""), """",
  IFERROR(
    INDEX(
      SORT(
        FILTER(Jadwal!F:F, Jadwal!C:C=E882),
        FILTER(Jadwal!E:E, Jadwal!C:C=E882),
        FALSE
      ),
      1
    ),
    ""TIDAK ADA JADWAL""
  )
)"),"")</f>
        <v/>
      </c>
      <c r="H882" s="7" t="str">
        <f t="shared" si="2"/>
        <v/>
      </c>
      <c r="L882" s="13"/>
      <c r="M882" s="13"/>
    </row>
    <row r="883" ht="15.75" customHeight="1">
      <c r="A883" s="14" t="str">
        <f t="shared" si="1"/>
        <v/>
      </c>
      <c r="B883" s="17" t="str">
        <f t="shared" si="3"/>
        <v/>
      </c>
      <c r="C883" s="18" t="str">
        <f t="shared" si="4"/>
        <v/>
      </c>
      <c r="D883" s="7"/>
      <c r="F883" s="7"/>
      <c r="G883" s="19" t="str">
        <f>IFERROR(__xludf.DUMMYFUNCTION("IF(OR(E883="""",F883&lt;&gt;""Barang Datang""), """",
  IFERROR(
    INDEX(
      SORT(
        FILTER(Jadwal!F:F, Jadwal!C:C=E883),
        FILTER(Jadwal!E:E, Jadwal!C:C=E883),
        FALSE
      ),
      1
    ),
    ""TIDAK ADA JADWAL""
  )
)"),"")</f>
        <v/>
      </c>
      <c r="H883" s="7" t="str">
        <f t="shared" si="2"/>
        <v/>
      </c>
      <c r="L883" s="13"/>
      <c r="M883" s="13"/>
    </row>
    <row r="884" ht="15.75" customHeight="1">
      <c r="A884" s="14" t="str">
        <f t="shared" si="1"/>
        <v/>
      </c>
      <c r="B884" s="17" t="str">
        <f t="shared" si="3"/>
        <v/>
      </c>
      <c r="C884" s="18" t="str">
        <f t="shared" si="4"/>
        <v/>
      </c>
      <c r="D884" s="7"/>
      <c r="F884" s="7"/>
      <c r="G884" s="19" t="str">
        <f>IFERROR(__xludf.DUMMYFUNCTION("IF(OR(E884="""",F884&lt;&gt;""Barang Datang""), """",
  IFERROR(
    INDEX(
      SORT(
        FILTER(Jadwal!F:F, Jadwal!C:C=E884),
        FILTER(Jadwal!E:E, Jadwal!C:C=E884),
        FALSE
      ),
      1
    ),
    ""TIDAK ADA JADWAL""
  )
)"),"")</f>
        <v/>
      </c>
      <c r="H884" s="7" t="str">
        <f t="shared" si="2"/>
        <v/>
      </c>
      <c r="L884" s="13"/>
      <c r="M884" s="13"/>
    </row>
    <row r="885" ht="15.75" customHeight="1">
      <c r="A885" s="14" t="str">
        <f t="shared" si="1"/>
        <v/>
      </c>
      <c r="B885" s="17" t="str">
        <f t="shared" si="3"/>
        <v/>
      </c>
      <c r="C885" s="18" t="str">
        <f t="shared" si="4"/>
        <v/>
      </c>
      <c r="D885" s="7"/>
      <c r="F885" s="7"/>
      <c r="G885" s="19" t="str">
        <f>IFERROR(__xludf.DUMMYFUNCTION("IF(OR(E885="""",F885&lt;&gt;""Barang Datang""), """",
  IFERROR(
    INDEX(
      SORT(
        FILTER(Jadwal!F:F, Jadwal!C:C=E885),
        FILTER(Jadwal!E:E, Jadwal!C:C=E885),
        FALSE
      ),
      1
    ),
    ""TIDAK ADA JADWAL""
  )
)"),"")</f>
        <v/>
      </c>
      <c r="H885" s="7" t="str">
        <f t="shared" si="2"/>
        <v/>
      </c>
      <c r="L885" s="13"/>
      <c r="M885" s="13"/>
    </row>
    <row r="886" ht="15.75" customHeight="1">
      <c r="A886" s="14" t="str">
        <f t="shared" si="1"/>
        <v/>
      </c>
      <c r="B886" s="17" t="str">
        <f t="shared" si="3"/>
        <v/>
      </c>
      <c r="C886" s="18" t="str">
        <f t="shared" si="4"/>
        <v/>
      </c>
      <c r="D886" s="7"/>
      <c r="F886" s="7"/>
      <c r="G886" s="19" t="str">
        <f>IFERROR(__xludf.DUMMYFUNCTION("IF(OR(E886="""",F886&lt;&gt;""Barang Datang""), """",
  IFERROR(
    INDEX(
      SORT(
        FILTER(Jadwal!F:F, Jadwal!C:C=E886),
        FILTER(Jadwal!E:E, Jadwal!C:C=E886),
        FALSE
      ),
      1
    ),
    ""TIDAK ADA JADWAL""
  )
)"),"")</f>
        <v/>
      </c>
      <c r="H886" s="7" t="str">
        <f t="shared" si="2"/>
        <v/>
      </c>
      <c r="L886" s="13"/>
      <c r="M886" s="13"/>
    </row>
    <row r="887" ht="15.75" customHeight="1">
      <c r="A887" s="14" t="str">
        <f t="shared" si="1"/>
        <v/>
      </c>
      <c r="B887" s="17" t="str">
        <f t="shared" si="3"/>
        <v/>
      </c>
      <c r="C887" s="18" t="str">
        <f t="shared" si="4"/>
        <v/>
      </c>
      <c r="D887" s="7"/>
      <c r="F887" s="7"/>
      <c r="G887" s="19" t="str">
        <f>IFERROR(__xludf.DUMMYFUNCTION("IF(OR(E887="""",F887&lt;&gt;""Barang Datang""), """",
  IFERROR(
    INDEX(
      SORT(
        FILTER(Jadwal!F:F, Jadwal!C:C=E887),
        FILTER(Jadwal!E:E, Jadwal!C:C=E887),
        FALSE
      ),
      1
    ),
    ""TIDAK ADA JADWAL""
  )
)"),"")</f>
        <v/>
      </c>
      <c r="H887" s="7" t="str">
        <f t="shared" si="2"/>
        <v/>
      </c>
      <c r="L887" s="13"/>
      <c r="M887" s="13"/>
    </row>
    <row r="888" ht="15.75" customHeight="1">
      <c r="A888" s="14" t="str">
        <f t="shared" si="1"/>
        <v/>
      </c>
      <c r="B888" s="17" t="str">
        <f t="shared" si="3"/>
        <v/>
      </c>
      <c r="C888" s="18" t="str">
        <f t="shared" si="4"/>
        <v/>
      </c>
      <c r="D888" s="7"/>
      <c r="F888" s="7"/>
      <c r="G888" s="19" t="str">
        <f>IFERROR(__xludf.DUMMYFUNCTION("IF(OR(E888="""",F888&lt;&gt;""Barang Datang""), """",
  IFERROR(
    INDEX(
      SORT(
        FILTER(Jadwal!F:F, Jadwal!C:C=E888),
        FILTER(Jadwal!E:E, Jadwal!C:C=E888),
        FALSE
      ),
      1
    ),
    ""TIDAK ADA JADWAL""
  )
)"),"")</f>
        <v/>
      </c>
      <c r="H888" s="7" t="str">
        <f t="shared" si="2"/>
        <v/>
      </c>
      <c r="L888" s="13"/>
      <c r="M888" s="13"/>
    </row>
    <row r="889" ht="15.75" customHeight="1">
      <c r="A889" s="14" t="str">
        <f t="shared" si="1"/>
        <v/>
      </c>
      <c r="B889" s="17" t="str">
        <f t="shared" si="3"/>
        <v/>
      </c>
      <c r="C889" s="18" t="str">
        <f t="shared" si="4"/>
        <v/>
      </c>
      <c r="D889" s="7"/>
      <c r="F889" s="7"/>
      <c r="G889" s="19" t="str">
        <f>IFERROR(__xludf.DUMMYFUNCTION("IF(OR(E889="""",F889&lt;&gt;""Barang Datang""), """",
  IFERROR(
    INDEX(
      SORT(
        FILTER(Jadwal!F:F, Jadwal!C:C=E889),
        FILTER(Jadwal!E:E, Jadwal!C:C=E889),
        FALSE
      ),
      1
    ),
    ""TIDAK ADA JADWAL""
  )
)"),"")</f>
        <v/>
      </c>
      <c r="H889" s="7" t="str">
        <f t="shared" si="2"/>
        <v/>
      </c>
      <c r="L889" s="13"/>
      <c r="M889" s="13"/>
    </row>
    <row r="890" ht="15.75" customHeight="1">
      <c r="A890" s="14" t="str">
        <f t="shared" si="1"/>
        <v/>
      </c>
      <c r="B890" s="17" t="str">
        <f t="shared" si="3"/>
        <v/>
      </c>
      <c r="C890" s="18" t="str">
        <f t="shared" si="4"/>
        <v/>
      </c>
      <c r="D890" s="7"/>
      <c r="F890" s="7"/>
      <c r="G890" s="19" t="str">
        <f>IFERROR(__xludf.DUMMYFUNCTION("IF(OR(E890="""",F890&lt;&gt;""Barang Datang""), """",
  IFERROR(
    INDEX(
      SORT(
        FILTER(Jadwal!F:F, Jadwal!C:C=E890),
        FILTER(Jadwal!E:E, Jadwal!C:C=E890),
        FALSE
      ),
      1
    ),
    ""TIDAK ADA JADWAL""
  )
)"),"")</f>
        <v/>
      </c>
      <c r="H890" s="7" t="str">
        <f t="shared" si="2"/>
        <v/>
      </c>
      <c r="L890" s="13"/>
      <c r="M890" s="13"/>
    </row>
    <row r="891" ht="15.75" customHeight="1">
      <c r="A891" s="14" t="str">
        <f t="shared" si="1"/>
        <v/>
      </c>
      <c r="B891" s="17" t="str">
        <f t="shared" si="3"/>
        <v/>
      </c>
      <c r="C891" s="18" t="str">
        <f t="shared" si="4"/>
        <v/>
      </c>
      <c r="D891" s="7"/>
      <c r="F891" s="7"/>
      <c r="G891" s="19" t="str">
        <f>IFERROR(__xludf.DUMMYFUNCTION("IF(OR(E891="""",F891&lt;&gt;""Barang Datang""), """",
  IFERROR(
    INDEX(
      SORT(
        FILTER(Jadwal!F:F, Jadwal!C:C=E891),
        FILTER(Jadwal!E:E, Jadwal!C:C=E891),
        FALSE
      ),
      1
    ),
    ""TIDAK ADA JADWAL""
  )
)"),"")</f>
        <v/>
      </c>
      <c r="H891" s="7" t="str">
        <f t="shared" si="2"/>
        <v/>
      </c>
      <c r="L891" s="13"/>
      <c r="M891" s="13"/>
    </row>
    <row r="892" ht="15.75" customHeight="1">
      <c r="A892" s="14" t="str">
        <f t="shared" si="1"/>
        <v/>
      </c>
      <c r="B892" s="17" t="str">
        <f t="shared" si="3"/>
        <v/>
      </c>
      <c r="C892" s="18" t="str">
        <f t="shared" si="4"/>
        <v/>
      </c>
      <c r="D892" s="7"/>
      <c r="F892" s="7"/>
      <c r="G892" s="19" t="str">
        <f>IFERROR(__xludf.DUMMYFUNCTION("IF(OR(E892="""",F892&lt;&gt;""Barang Datang""), """",
  IFERROR(
    INDEX(
      SORT(
        FILTER(Jadwal!F:F, Jadwal!C:C=E892),
        FILTER(Jadwal!E:E, Jadwal!C:C=E892),
        FALSE
      ),
      1
    ),
    ""TIDAK ADA JADWAL""
  )
)"),"")</f>
        <v/>
      </c>
      <c r="H892" s="7" t="str">
        <f t="shared" si="2"/>
        <v/>
      </c>
      <c r="L892" s="13"/>
      <c r="M892" s="13"/>
    </row>
    <row r="893" ht="15.75" customHeight="1">
      <c r="A893" s="14" t="str">
        <f t="shared" si="1"/>
        <v/>
      </c>
      <c r="B893" s="17" t="str">
        <f t="shared" si="3"/>
        <v/>
      </c>
      <c r="C893" s="18" t="str">
        <f t="shared" si="4"/>
        <v/>
      </c>
      <c r="D893" s="7"/>
      <c r="F893" s="7"/>
      <c r="G893" s="19" t="str">
        <f>IFERROR(__xludf.DUMMYFUNCTION("IF(OR(E893="""",F893&lt;&gt;""Barang Datang""), """",
  IFERROR(
    INDEX(
      SORT(
        FILTER(Jadwal!F:F, Jadwal!C:C=E893),
        FILTER(Jadwal!E:E, Jadwal!C:C=E893),
        FALSE
      ),
      1
    ),
    ""TIDAK ADA JADWAL""
  )
)"),"")</f>
        <v/>
      </c>
      <c r="H893" s="7" t="str">
        <f t="shared" si="2"/>
        <v/>
      </c>
      <c r="L893" s="13"/>
      <c r="M893" s="13"/>
    </row>
    <row r="894" ht="15.75" customHeight="1">
      <c r="A894" s="14" t="str">
        <f t="shared" si="1"/>
        <v/>
      </c>
      <c r="B894" s="17" t="str">
        <f t="shared" si="3"/>
        <v/>
      </c>
      <c r="C894" s="18" t="str">
        <f t="shared" si="4"/>
        <v/>
      </c>
      <c r="D894" s="7"/>
      <c r="F894" s="7"/>
      <c r="G894" s="19" t="str">
        <f>IFERROR(__xludf.DUMMYFUNCTION("IF(OR(E894="""",F894&lt;&gt;""Barang Datang""), """",
  IFERROR(
    INDEX(
      SORT(
        FILTER(Jadwal!F:F, Jadwal!C:C=E894),
        FILTER(Jadwal!E:E, Jadwal!C:C=E894),
        FALSE
      ),
      1
    ),
    ""TIDAK ADA JADWAL""
  )
)"),"")</f>
        <v/>
      </c>
      <c r="H894" s="7" t="str">
        <f t="shared" si="2"/>
        <v/>
      </c>
      <c r="L894" s="13"/>
      <c r="M894" s="13"/>
    </row>
    <row r="895" ht="15.75" customHeight="1">
      <c r="A895" s="14" t="str">
        <f t="shared" si="1"/>
        <v/>
      </c>
      <c r="B895" s="17" t="str">
        <f t="shared" si="3"/>
        <v/>
      </c>
      <c r="C895" s="18" t="str">
        <f t="shared" si="4"/>
        <v/>
      </c>
      <c r="D895" s="7"/>
      <c r="F895" s="7"/>
      <c r="G895" s="19" t="str">
        <f>IFERROR(__xludf.DUMMYFUNCTION("IF(OR(E895="""",F895&lt;&gt;""Barang Datang""), """",
  IFERROR(
    INDEX(
      SORT(
        FILTER(Jadwal!F:F, Jadwal!C:C=E895),
        FILTER(Jadwal!E:E, Jadwal!C:C=E895),
        FALSE
      ),
      1
    ),
    ""TIDAK ADA JADWAL""
  )
)"),"")</f>
        <v/>
      </c>
      <c r="H895" s="7" t="str">
        <f t="shared" si="2"/>
        <v/>
      </c>
      <c r="L895" s="13"/>
      <c r="M895" s="13"/>
    </row>
    <row r="896" ht="15.75" customHeight="1">
      <c r="A896" s="14" t="str">
        <f t="shared" si="1"/>
        <v/>
      </c>
      <c r="B896" s="17" t="str">
        <f t="shared" si="3"/>
        <v/>
      </c>
      <c r="C896" s="18" t="str">
        <f t="shared" si="4"/>
        <v/>
      </c>
      <c r="D896" s="7"/>
      <c r="F896" s="7"/>
      <c r="G896" s="19" t="str">
        <f>IFERROR(__xludf.DUMMYFUNCTION("IF(OR(E896="""",F896&lt;&gt;""Barang Datang""), """",
  IFERROR(
    INDEX(
      SORT(
        FILTER(Jadwal!F:F, Jadwal!C:C=E896),
        FILTER(Jadwal!E:E, Jadwal!C:C=E896),
        FALSE
      ),
      1
    ),
    ""TIDAK ADA JADWAL""
  )
)"),"")</f>
        <v/>
      </c>
      <c r="H896" s="7" t="str">
        <f t="shared" si="2"/>
        <v/>
      </c>
      <c r="L896" s="13"/>
      <c r="M896" s="13"/>
    </row>
    <row r="897" ht="15.75" customHeight="1">
      <c r="A897" s="14" t="str">
        <f t="shared" si="1"/>
        <v/>
      </c>
      <c r="B897" s="17" t="str">
        <f t="shared" si="3"/>
        <v/>
      </c>
      <c r="C897" s="18" t="str">
        <f t="shared" si="4"/>
        <v/>
      </c>
      <c r="D897" s="7"/>
      <c r="F897" s="7"/>
      <c r="G897" s="19" t="str">
        <f>IFERROR(__xludf.DUMMYFUNCTION("IF(OR(E897="""",F897&lt;&gt;""Barang Datang""), """",
  IFERROR(
    INDEX(
      SORT(
        FILTER(Jadwal!F:F, Jadwal!C:C=E897),
        FILTER(Jadwal!E:E, Jadwal!C:C=E897),
        FALSE
      ),
      1
    ),
    ""TIDAK ADA JADWAL""
  )
)"),"")</f>
        <v/>
      </c>
      <c r="H897" s="7" t="str">
        <f t="shared" si="2"/>
        <v/>
      </c>
      <c r="L897" s="13"/>
      <c r="M897" s="13"/>
    </row>
    <row r="898" ht="15.75" customHeight="1">
      <c r="A898" s="14" t="str">
        <f t="shared" si="1"/>
        <v/>
      </c>
      <c r="B898" s="17" t="str">
        <f t="shared" si="3"/>
        <v/>
      </c>
      <c r="C898" s="18" t="str">
        <f t="shared" si="4"/>
        <v/>
      </c>
      <c r="D898" s="7"/>
      <c r="F898" s="7"/>
      <c r="G898" s="19" t="str">
        <f>IFERROR(__xludf.DUMMYFUNCTION("IF(OR(E898="""",F898&lt;&gt;""Barang Datang""), """",
  IFERROR(
    INDEX(
      SORT(
        FILTER(Jadwal!F:F, Jadwal!C:C=E898),
        FILTER(Jadwal!E:E, Jadwal!C:C=E898),
        FALSE
      ),
      1
    ),
    ""TIDAK ADA JADWAL""
  )
)"),"")</f>
        <v/>
      </c>
      <c r="H898" s="7" t="str">
        <f t="shared" si="2"/>
        <v/>
      </c>
      <c r="L898" s="13"/>
      <c r="M898" s="13"/>
    </row>
    <row r="899" ht="15.75" customHeight="1">
      <c r="A899" s="14" t="str">
        <f t="shared" si="1"/>
        <v/>
      </c>
      <c r="B899" s="17" t="str">
        <f t="shared" si="3"/>
        <v/>
      </c>
      <c r="C899" s="18" t="str">
        <f t="shared" si="4"/>
        <v/>
      </c>
      <c r="D899" s="7"/>
      <c r="F899" s="7"/>
      <c r="G899" s="19" t="str">
        <f>IFERROR(__xludf.DUMMYFUNCTION("IF(OR(E899="""",F899&lt;&gt;""Barang Datang""), """",
  IFERROR(
    INDEX(
      SORT(
        FILTER(Jadwal!F:F, Jadwal!C:C=E899),
        FILTER(Jadwal!E:E, Jadwal!C:C=E899),
        FALSE
      ),
      1
    ),
    ""TIDAK ADA JADWAL""
  )
)"),"")</f>
        <v/>
      </c>
      <c r="H899" s="7" t="str">
        <f t="shared" si="2"/>
        <v/>
      </c>
      <c r="L899" s="13"/>
      <c r="M899" s="13"/>
    </row>
    <row r="900" ht="15.75" customHeight="1">
      <c r="A900" s="14" t="str">
        <f t="shared" si="1"/>
        <v/>
      </c>
      <c r="B900" s="17" t="str">
        <f t="shared" si="3"/>
        <v/>
      </c>
      <c r="C900" s="18" t="str">
        <f t="shared" si="4"/>
        <v/>
      </c>
      <c r="D900" s="7"/>
      <c r="F900" s="7"/>
      <c r="G900" s="19" t="str">
        <f>IFERROR(__xludf.DUMMYFUNCTION("IF(OR(E900="""",F900&lt;&gt;""Barang Datang""), """",
  IFERROR(
    INDEX(
      SORT(
        FILTER(Jadwal!F:F, Jadwal!C:C=E900),
        FILTER(Jadwal!E:E, Jadwal!C:C=E900),
        FALSE
      ),
      1
    ),
    ""TIDAK ADA JADWAL""
  )
)"),"")</f>
        <v/>
      </c>
      <c r="H900" s="7" t="str">
        <f t="shared" si="2"/>
        <v/>
      </c>
      <c r="L900" s="13"/>
      <c r="M900" s="13"/>
    </row>
    <row r="901" ht="15.75" customHeight="1">
      <c r="A901" s="14" t="str">
        <f t="shared" si="1"/>
        <v/>
      </c>
      <c r="B901" s="17" t="str">
        <f t="shared" si="3"/>
        <v/>
      </c>
      <c r="C901" s="18" t="str">
        <f t="shared" si="4"/>
        <v/>
      </c>
      <c r="D901" s="7"/>
      <c r="F901" s="7"/>
      <c r="G901" s="19" t="str">
        <f>IFERROR(__xludf.DUMMYFUNCTION("IF(OR(E901="""",F901&lt;&gt;""Barang Datang""), """",
  IFERROR(
    INDEX(
      SORT(
        FILTER(Jadwal!F:F, Jadwal!C:C=E901),
        FILTER(Jadwal!E:E, Jadwal!C:C=E901),
        FALSE
      ),
      1
    ),
    ""TIDAK ADA JADWAL""
  )
)"),"")</f>
        <v/>
      </c>
      <c r="H901" s="7" t="str">
        <f t="shared" si="2"/>
        <v/>
      </c>
      <c r="L901" s="13"/>
      <c r="M901" s="13"/>
    </row>
    <row r="902" ht="15.75" customHeight="1">
      <c r="A902" s="14" t="str">
        <f t="shared" si="1"/>
        <v/>
      </c>
      <c r="B902" s="17" t="str">
        <f t="shared" si="3"/>
        <v/>
      </c>
      <c r="C902" s="18" t="str">
        <f t="shared" si="4"/>
        <v/>
      </c>
      <c r="D902" s="7"/>
      <c r="F902" s="7"/>
      <c r="G902" s="19" t="str">
        <f>IFERROR(__xludf.DUMMYFUNCTION("IF(OR(E902="""",F902&lt;&gt;""Barang Datang""), """",
  IFERROR(
    INDEX(
      SORT(
        FILTER(Jadwal!F:F, Jadwal!C:C=E902),
        FILTER(Jadwal!E:E, Jadwal!C:C=E902),
        FALSE
      ),
      1
    ),
    ""TIDAK ADA JADWAL""
  )
)"),"")</f>
        <v/>
      </c>
      <c r="H902" s="7" t="str">
        <f t="shared" si="2"/>
        <v/>
      </c>
      <c r="L902" s="13"/>
      <c r="M902" s="13"/>
    </row>
    <row r="903" ht="15.75" customHeight="1">
      <c r="A903" s="14" t="str">
        <f t="shared" si="1"/>
        <v/>
      </c>
      <c r="B903" s="17" t="str">
        <f t="shared" si="3"/>
        <v/>
      </c>
      <c r="C903" s="18" t="str">
        <f t="shared" si="4"/>
        <v/>
      </c>
      <c r="D903" s="7"/>
      <c r="F903" s="7"/>
      <c r="G903" s="19" t="str">
        <f>IFERROR(__xludf.DUMMYFUNCTION("IF(OR(E903="""",F903&lt;&gt;""Barang Datang""), """",
  IFERROR(
    INDEX(
      SORT(
        FILTER(Jadwal!F:F, Jadwal!C:C=E903),
        FILTER(Jadwal!E:E, Jadwal!C:C=E903),
        FALSE
      ),
      1
    ),
    ""TIDAK ADA JADWAL""
  )
)"),"")</f>
        <v/>
      </c>
      <c r="H903" s="7" t="str">
        <f t="shared" si="2"/>
        <v/>
      </c>
      <c r="L903" s="13"/>
      <c r="M903" s="13"/>
    </row>
    <row r="904" ht="15.75" customHeight="1">
      <c r="A904" s="14" t="str">
        <f t="shared" si="1"/>
        <v/>
      </c>
      <c r="B904" s="17" t="str">
        <f t="shared" si="3"/>
        <v/>
      </c>
      <c r="C904" s="18" t="str">
        <f t="shared" si="4"/>
        <v/>
      </c>
      <c r="D904" s="7"/>
      <c r="F904" s="7"/>
      <c r="G904" s="19" t="str">
        <f>IFERROR(__xludf.DUMMYFUNCTION("IF(OR(E904="""",F904&lt;&gt;""Barang Datang""), """",
  IFERROR(
    INDEX(
      SORT(
        FILTER(Jadwal!F:F, Jadwal!C:C=E904),
        FILTER(Jadwal!E:E, Jadwal!C:C=E904),
        FALSE
      ),
      1
    ),
    ""TIDAK ADA JADWAL""
  )
)"),"")</f>
        <v/>
      </c>
      <c r="H904" s="7" t="str">
        <f t="shared" si="2"/>
        <v/>
      </c>
      <c r="L904" s="13"/>
      <c r="M904" s="13"/>
    </row>
    <row r="905" ht="15.75" customHeight="1">
      <c r="A905" s="14" t="str">
        <f t="shared" si="1"/>
        <v/>
      </c>
      <c r="B905" s="17" t="str">
        <f t="shared" si="3"/>
        <v/>
      </c>
      <c r="C905" s="18" t="str">
        <f t="shared" si="4"/>
        <v/>
      </c>
      <c r="D905" s="7"/>
      <c r="F905" s="7"/>
      <c r="G905" s="19" t="str">
        <f>IFERROR(__xludf.DUMMYFUNCTION("IF(OR(E905="""",F905&lt;&gt;""Barang Datang""), """",
  IFERROR(
    INDEX(
      SORT(
        FILTER(Jadwal!F:F, Jadwal!C:C=E905),
        FILTER(Jadwal!E:E, Jadwal!C:C=E905),
        FALSE
      ),
      1
    ),
    ""TIDAK ADA JADWAL""
  )
)"),"")</f>
        <v/>
      </c>
      <c r="H905" s="7" t="str">
        <f t="shared" si="2"/>
        <v/>
      </c>
      <c r="L905" s="13"/>
      <c r="M905" s="13"/>
    </row>
    <row r="906" ht="15.75" customHeight="1">
      <c r="A906" s="14" t="str">
        <f t="shared" si="1"/>
        <v/>
      </c>
      <c r="B906" s="17" t="str">
        <f t="shared" si="3"/>
        <v/>
      </c>
      <c r="C906" s="18" t="str">
        <f t="shared" si="4"/>
        <v/>
      </c>
      <c r="D906" s="7"/>
      <c r="F906" s="7"/>
      <c r="G906" s="19" t="str">
        <f>IFERROR(__xludf.DUMMYFUNCTION("IF(OR(E906="""",F906&lt;&gt;""Barang Datang""), """",
  IFERROR(
    INDEX(
      SORT(
        FILTER(Jadwal!F:F, Jadwal!C:C=E906),
        FILTER(Jadwal!E:E, Jadwal!C:C=E906),
        FALSE
      ),
      1
    ),
    ""TIDAK ADA JADWAL""
  )
)"),"")</f>
        <v/>
      </c>
      <c r="H906" s="7" t="str">
        <f t="shared" si="2"/>
        <v/>
      </c>
      <c r="L906" s="13"/>
      <c r="M906" s="13"/>
    </row>
    <row r="907" ht="15.75" customHeight="1">
      <c r="A907" s="14" t="str">
        <f t="shared" si="1"/>
        <v/>
      </c>
      <c r="B907" s="17" t="str">
        <f t="shared" si="3"/>
        <v/>
      </c>
      <c r="C907" s="18" t="str">
        <f t="shared" si="4"/>
        <v/>
      </c>
      <c r="D907" s="7"/>
      <c r="F907" s="7"/>
      <c r="G907" s="19" t="str">
        <f>IFERROR(__xludf.DUMMYFUNCTION("IF(OR(E907="""",F907&lt;&gt;""Barang Datang""), """",
  IFERROR(
    INDEX(
      SORT(
        FILTER(Jadwal!F:F, Jadwal!C:C=E907),
        FILTER(Jadwal!E:E, Jadwal!C:C=E907),
        FALSE
      ),
      1
    ),
    ""TIDAK ADA JADWAL""
  )
)"),"")</f>
        <v/>
      </c>
      <c r="H907" s="7" t="str">
        <f t="shared" si="2"/>
        <v/>
      </c>
      <c r="L907" s="13"/>
      <c r="M907" s="13"/>
    </row>
    <row r="908" ht="15.75" customHeight="1">
      <c r="A908" s="14" t="str">
        <f t="shared" si="1"/>
        <v/>
      </c>
      <c r="B908" s="17" t="str">
        <f t="shared" si="3"/>
        <v/>
      </c>
      <c r="C908" s="18" t="str">
        <f t="shared" si="4"/>
        <v/>
      </c>
      <c r="D908" s="7"/>
      <c r="F908" s="7"/>
      <c r="G908" s="19" t="str">
        <f>IFERROR(__xludf.DUMMYFUNCTION("IF(OR(E908="""",F908&lt;&gt;""Barang Datang""), """",
  IFERROR(
    INDEX(
      SORT(
        FILTER(Jadwal!F:F, Jadwal!C:C=E908),
        FILTER(Jadwal!E:E, Jadwal!C:C=E908),
        FALSE
      ),
      1
    ),
    ""TIDAK ADA JADWAL""
  )
)"),"")</f>
        <v/>
      </c>
      <c r="H908" s="7" t="str">
        <f t="shared" si="2"/>
        <v/>
      </c>
      <c r="L908" s="13"/>
      <c r="M908" s="13"/>
    </row>
    <row r="909" ht="15.75" customHeight="1">
      <c r="A909" s="14" t="str">
        <f t="shared" si="1"/>
        <v/>
      </c>
      <c r="B909" s="17" t="str">
        <f t="shared" si="3"/>
        <v/>
      </c>
      <c r="C909" s="18" t="str">
        <f t="shared" si="4"/>
        <v/>
      </c>
      <c r="D909" s="7"/>
      <c r="F909" s="7"/>
      <c r="G909" s="19" t="str">
        <f>IFERROR(__xludf.DUMMYFUNCTION("IF(OR(E909="""",F909&lt;&gt;""Barang Datang""), """",
  IFERROR(
    INDEX(
      SORT(
        FILTER(Jadwal!F:F, Jadwal!C:C=E909),
        FILTER(Jadwal!E:E, Jadwal!C:C=E909),
        FALSE
      ),
      1
    ),
    ""TIDAK ADA JADWAL""
  )
)"),"")</f>
        <v/>
      </c>
      <c r="H909" s="7" t="str">
        <f t="shared" si="2"/>
        <v/>
      </c>
      <c r="L909" s="13"/>
      <c r="M909" s="13"/>
    </row>
    <row r="910" ht="15.75" customHeight="1">
      <c r="A910" s="14" t="str">
        <f t="shared" si="1"/>
        <v/>
      </c>
      <c r="B910" s="17" t="str">
        <f t="shared" si="3"/>
        <v/>
      </c>
      <c r="C910" s="18" t="str">
        <f t="shared" si="4"/>
        <v/>
      </c>
      <c r="D910" s="7"/>
      <c r="F910" s="7"/>
      <c r="G910" s="19" t="str">
        <f>IFERROR(__xludf.DUMMYFUNCTION("IF(OR(E910="""",F910&lt;&gt;""Barang Datang""), """",
  IFERROR(
    INDEX(
      SORT(
        FILTER(Jadwal!F:F, Jadwal!C:C=E910),
        FILTER(Jadwal!E:E, Jadwal!C:C=E910),
        FALSE
      ),
      1
    ),
    ""TIDAK ADA JADWAL""
  )
)"),"")</f>
        <v/>
      </c>
      <c r="H910" s="7" t="str">
        <f t="shared" si="2"/>
        <v/>
      </c>
      <c r="L910" s="13"/>
      <c r="M910" s="13"/>
    </row>
    <row r="911" ht="15.75" customHeight="1">
      <c r="A911" s="14" t="str">
        <f t="shared" si="1"/>
        <v/>
      </c>
      <c r="B911" s="17" t="str">
        <f t="shared" si="3"/>
        <v/>
      </c>
      <c r="C911" s="18" t="str">
        <f t="shared" si="4"/>
        <v/>
      </c>
      <c r="D911" s="7"/>
      <c r="F911" s="7"/>
      <c r="G911" s="19" t="str">
        <f>IFERROR(__xludf.DUMMYFUNCTION("IF(OR(E911="""",F911&lt;&gt;""Barang Datang""), """",
  IFERROR(
    INDEX(
      SORT(
        FILTER(Jadwal!F:F, Jadwal!C:C=E911),
        FILTER(Jadwal!E:E, Jadwal!C:C=E911),
        FALSE
      ),
      1
    ),
    ""TIDAK ADA JADWAL""
  )
)"),"")</f>
        <v/>
      </c>
      <c r="H911" s="7" t="str">
        <f t="shared" si="2"/>
        <v/>
      </c>
      <c r="L911" s="13"/>
      <c r="M911" s="13"/>
    </row>
    <row r="912" ht="15.75" customHeight="1">
      <c r="A912" s="14" t="str">
        <f t="shared" si="1"/>
        <v/>
      </c>
      <c r="B912" s="17" t="str">
        <f t="shared" si="3"/>
        <v/>
      </c>
      <c r="C912" s="18" t="str">
        <f t="shared" si="4"/>
        <v/>
      </c>
      <c r="D912" s="7"/>
      <c r="F912" s="7"/>
      <c r="G912" s="19" t="str">
        <f>IFERROR(__xludf.DUMMYFUNCTION("IF(OR(E912="""",F912&lt;&gt;""Barang Datang""), """",
  IFERROR(
    INDEX(
      SORT(
        FILTER(Jadwal!F:F, Jadwal!C:C=E912),
        FILTER(Jadwal!E:E, Jadwal!C:C=E912),
        FALSE
      ),
      1
    ),
    ""TIDAK ADA JADWAL""
  )
)"),"")</f>
        <v/>
      </c>
      <c r="H912" s="7" t="str">
        <f t="shared" si="2"/>
        <v/>
      </c>
      <c r="L912" s="13"/>
      <c r="M912" s="13"/>
    </row>
    <row r="913" ht="15.75" customHeight="1">
      <c r="A913" s="14" t="str">
        <f t="shared" si="1"/>
        <v/>
      </c>
      <c r="B913" s="17" t="str">
        <f t="shared" si="3"/>
        <v/>
      </c>
      <c r="C913" s="18" t="str">
        <f t="shared" si="4"/>
        <v/>
      </c>
      <c r="D913" s="7"/>
      <c r="F913" s="7"/>
      <c r="G913" s="19" t="str">
        <f>IFERROR(__xludf.DUMMYFUNCTION("IF(OR(E913="""",F913&lt;&gt;""Barang Datang""), """",
  IFERROR(
    INDEX(
      SORT(
        FILTER(Jadwal!F:F, Jadwal!C:C=E913),
        FILTER(Jadwal!E:E, Jadwal!C:C=E913),
        FALSE
      ),
      1
    ),
    ""TIDAK ADA JADWAL""
  )
)"),"")</f>
        <v/>
      </c>
      <c r="H913" s="7" t="str">
        <f t="shared" si="2"/>
        <v/>
      </c>
      <c r="L913" s="13"/>
      <c r="M913" s="13"/>
    </row>
    <row r="914" ht="15.75" customHeight="1">
      <c r="A914" s="14" t="str">
        <f t="shared" si="1"/>
        <v/>
      </c>
      <c r="B914" s="17" t="str">
        <f t="shared" si="3"/>
        <v/>
      </c>
      <c r="C914" s="18" t="str">
        <f t="shared" si="4"/>
        <v/>
      </c>
      <c r="D914" s="7"/>
      <c r="F914" s="7"/>
      <c r="G914" s="19" t="str">
        <f>IFERROR(__xludf.DUMMYFUNCTION("IF(OR(E914="""",F914&lt;&gt;""Barang Datang""), """",
  IFERROR(
    INDEX(
      SORT(
        FILTER(Jadwal!F:F, Jadwal!C:C=E914),
        FILTER(Jadwal!E:E, Jadwal!C:C=E914),
        FALSE
      ),
      1
    ),
    ""TIDAK ADA JADWAL""
  )
)"),"")</f>
        <v/>
      </c>
      <c r="H914" s="7" t="str">
        <f t="shared" si="2"/>
        <v/>
      </c>
      <c r="L914" s="13"/>
      <c r="M914" s="13"/>
    </row>
    <row r="915" ht="15.75" customHeight="1">
      <c r="A915" s="14" t="str">
        <f t="shared" si="1"/>
        <v/>
      </c>
      <c r="B915" s="17" t="str">
        <f t="shared" si="3"/>
        <v/>
      </c>
      <c r="C915" s="18" t="str">
        <f t="shared" si="4"/>
        <v/>
      </c>
      <c r="D915" s="7"/>
      <c r="F915" s="7"/>
      <c r="G915" s="19" t="str">
        <f>IFERROR(__xludf.DUMMYFUNCTION("IF(OR(E915="""",F915&lt;&gt;""Barang Datang""), """",
  IFERROR(
    INDEX(
      SORT(
        FILTER(Jadwal!F:F, Jadwal!C:C=E915),
        FILTER(Jadwal!E:E, Jadwal!C:C=E915),
        FALSE
      ),
      1
    ),
    ""TIDAK ADA JADWAL""
  )
)"),"")</f>
        <v/>
      </c>
      <c r="H915" s="7" t="str">
        <f t="shared" si="2"/>
        <v/>
      </c>
      <c r="L915" s="13"/>
      <c r="M915" s="13"/>
    </row>
    <row r="916" ht="15.75" customHeight="1">
      <c r="A916" s="14" t="str">
        <f t="shared" si="1"/>
        <v/>
      </c>
      <c r="B916" s="17" t="str">
        <f t="shared" si="3"/>
        <v/>
      </c>
      <c r="C916" s="18" t="str">
        <f t="shared" si="4"/>
        <v/>
      </c>
      <c r="D916" s="7"/>
      <c r="F916" s="7"/>
      <c r="G916" s="19" t="str">
        <f>IFERROR(__xludf.DUMMYFUNCTION("IF(OR(E916="""",F916&lt;&gt;""Barang Datang""), """",
  IFERROR(
    INDEX(
      SORT(
        FILTER(Jadwal!F:F, Jadwal!C:C=E916),
        FILTER(Jadwal!E:E, Jadwal!C:C=E916),
        FALSE
      ),
      1
    ),
    ""TIDAK ADA JADWAL""
  )
)"),"")</f>
        <v/>
      </c>
      <c r="H916" s="7" t="str">
        <f t="shared" si="2"/>
        <v/>
      </c>
      <c r="L916" s="13"/>
      <c r="M916" s="13"/>
    </row>
    <row r="917" ht="15.75" customHeight="1">
      <c r="A917" s="14" t="str">
        <f t="shared" si="1"/>
        <v/>
      </c>
      <c r="B917" s="17" t="str">
        <f t="shared" si="3"/>
        <v/>
      </c>
      <c r="C917" s="18" t="str">
        <f t="shared" si="4"/>
        <v/>
      </c>
      <c r="D917" s="7"/>
      <c r="F917" s="7"/>
      <c r="G917" s="19" t="str">
        <f>IFERROR(__xludf.DUMMYFUNCTION("IF(OR(E917="""",F917&lt;&gt;""Barang Datang""), """",
  IFERROR(
    INDEX(
      SORT(
        FILTER(Jadwal!F:F, Jadwal!C:C=E917),
        FILTER(Jadwal!E:E, Jadwal!C:C=E917),
        FALSE
      ),
      1
    ),
    ""TIDAK ADA JADWAL""
  )
)"),"")</f>
        <v/>
      </c>
      <c r="H917" s="7" t="str">
        <f t="shared" si="2"/>
        <v/>
      </c>
      <c r="L917" s="13"/>
      <c r="M917" s="13"/>
    </row>
    <row r="918" ht="15.75" customHeight="1">
      <c r="A918" s="14" t="str">
        <f t="shared" si="1"/>
        <v/>
      </c>
      <c r="B918" s="17" t="str">
        <f t="shared" si="3"/>
        <v/>
      </c>
      <c r="C918" s="18" t="str">
        <f t="shared" si="4"/>
        <v/>
      </c>
      <c r="D918" s="7"/>
      <c r="F918" s="7"/>
      <c r="G918" s="19" t="str">
        <f>IFERROR(__xludf.DUMMYFUNCTION("IF(OR(E918="""",F918&lt;&gt;""Barang Datang""), """",
  IFERROR(
    INDEX(
      SORT(
        FILTER(Jadwal!F:F, Jadwal!C:C=E918),
        FILTER(Jadwal!E:E, Jadwal!C:C=E918),
        FALSE
      ),
      1
    ),
    ""TIDAK ADA JADWAL""
  )
)"),"")</f>
        <v/>
      </c>
      <c r="H918" s="7" t="str">
        <f t="shared" si="2"/>
        <v/>
      </c>
      <c r="L918" s="13"/>
      <c r="M918" s="13"/>
    </row>
    <row r="919" ht="15.75" customHeight="1">
      <c r="A919" s="14" t="str">
        <f t="shared" si="1"/>
        <v/>
      </c>
      <c r="B919" s="17" t="str">
        <f t="shared" si="3"/>
        <v/>
      </c>
      <c r="C919" s="18" t="str">
        <f t="shared" si="4"/>
        <v/>
      </c>
      <c r="D919" s="7"/>
      <c r="F919" s="7"/>
      <c r="G919" s="19" t="str">
        <f>IFERROR(__xludf.DUMMYFUNCTION("IF(OR(E919="""",F919&lt;&gt;""Barang Datang""), """",
  IFERROR(
    INDEX(
      SORT(
        FILTER(Jadwal!F:F, Jadwal!C:C=E919),
        FILTER(Jadwal!E:E, Jadwal!C:C=E919),
        FALSE
      ),
      1
    ),
    ""TIDAK ADA JADWAL""
  )
)"),"")</f>
        <v/>
      </c>
      <c r="H919" s="7" t="str">
        <f t="shared" si="2"/>
        <v/>
      </c>
      <c r="L919" s="13"/>
      <c r="M919" s="13"/>
    </row>
    <row r="920" ht="15.75" customHeight="1">
      <c r="A920" s="14" t="str">
        <f t="shared" si="1"/>
        <v/>
      </c>
      <c r="B920" s="17" t="str">
        <f t="shared" si="3"/>
        <v/>
      </c>
      <c r="C920" s="18" t="str">
        <f t="shared" si="4"/>
        <v/>
      </c>
      <c r="D920" s="7"/>
      <c r="F920" s="7"/>
      <c r="G920" s="19" t="str">
        <f>IFERROR(__xludf.DUMMYFUNCTION("IF(OR(E920="""",F920&lt;&gt;""Barang Datang""), """",
  IFERROR(
    INDEX(
      SORT(
        FILTER(Jadwal!F:F, Jadwal!C:C=E920),
        FILTER(Jadwal!E:E, Jadwal!C:C=E920),
        FALSE
      ),
      1
    ),
    ""TIDAK ADA JADWAL""
  )
)"),"")</f>
        <v/>
      </c>
      <c r="H920" s="7" t="str">
        <f t="shared" si="2"/>
        <v/>
      </c>
      <c r="L920" s="13"/>
      <c r="M920" s="13"/>
    </row>
    <row r="921" ht="15.75" customHeight="1">
      <c r="A921" s="14" t="str">
        <f t="shared" si="1"/>
        <v/>
      </c>
      <c r="B921" s="17" t="str">
        <f t="shared" si="3"/>
        <v/>
      </c>
      <c r="C921" s="18" t="str">
        <f t="shared" si="4"/>
        <v/>
      </c>
      <c r="D921" s="7"/>
      <c r="F921" s="7"/>
      <c r="G921" s="19" t="str">
        <f>IFERROR(__xludf.DUMMYFUNCTION("IF(OR(E921="""",F921&lt;&gt;""Barang Datang""), """",
  IFERROR(
    INDEX(
      SORT(
        FILTER(Jadwal!F:F, Jadwal!C:C=E921),
        FILTER(Jadwal!E:E, Jadwal!C:C=E921),
        FALSE
      ),
      1
    ),
    ""TIDAK ADA JADWAL""
  )
)"),"")</f>
        <v/>
      </c>
      <c r="H921" s="7" t="str">
        <f t="shared" si="2"/>
        <v/>
      </c>
      <c r="L921" s="13"/>
      <c r="M921" s="13"/>
    </row>
    <row r="922" ht="15.75" customHeight="1">
      <c r="A922" s="14" t="str">
        <f t="shared" si="1"/>
        <v/>
      </c>
      <c r="B922" s="17" t="str">
        <f t="shared" si="3"/>
        <v/>
      </c>
      <c r="C922" s="18" t="str">
        <f t="shared" si="4"/>
        <v/>
      </c>
      <c r="D922" s="7"/>
      <c r="F922" s="7"/>
      <c r="G922" s="19" t="str">
        <f>IFERROR(__xludf.DUMMYFUNCTION("IF(OR(E922="""",F922&lt;&gt;""Barang Datang""), """",
  IFERROR(
    INDEX(
      SORT(
        FILTER(Jadwal!F:F, Jadwal!C:C=E922),
        FILTER(Jadwal!E:E, Jadwal!C:C=E922),
        FALSE
      ),
      1
    ),
    ""TIDAK ADA JADWAL""
  )
)"),"")</f>
        <v/>
      </c>
      <c r="H922" s="7" t="str">
        <f t="shared" si="2"/>
        <v/>
      </c>
      <c r="L922" s="13"/>
      <c r="M922" s="13"/>
    </row>
    <row r="923" ht="15.75" customHeight="1">
      <c r="A923" s="14" t="str">
        <f t="shared" si="1"/>
        <v/>
      </c>
      <c r="B923" s="17" t="str">
        <f t="shared" si="3"/>
        <v/>
      </c>
      <c r="C923" s="18" t="str">
        <f t="shared" si="4"/>
        <v/>
      </c>
      <c r="D923" s="7"/>
      <c r="F923" s="7"/>
      <c r="G923" s="19" t="str">
        <f>IFERROR(__xludf.DUMMYFUNCTION("IF(OR(E923="""",F923&lt;&gt;""Barang Datang""), """",
  IFERROR(
    INDEX(
      SORT(
        FILTER(Jadwal!F:F, Jadwal!C:C=E923),
        FILTER(Jadwal!E:E, Jadwal!C:C=E923),
        FALSE
      ),
      1
    ),
    ""TIDAK ADA JADWAL""
  )
)"),"")</f>
        <v/>
      </c>
      <c r="H923" s="7" t="str">
        <f t="shared" si="2"/>
        <v/>
      </c>
      <c r="L923" s="13"/>
      <c r="M923" s="13"/>
    </row>
    <row r="924" ht="15.75" customHeight="1">
      <c r="A924" s="14" t="str">
        <f t="shared" si="1"/>
        <v/>
      </c>
      <c r="B924" s="17" t="str">
        <f t="shared" si="3"/>
        <v/>
      </c>
      <c r="C924" s="18" t="str">
        <f t="shared" si="4"/>
        <v/>
      </c>
      <c r="D924" s="7"/>
      <c r="F924" s="7"/>
      <c r="G924" s="19" t="str">
        <f>IFERROR(__xludf.DUMMYFUNCTION("IF(OR(E924="""",F924&lt;&gt;""Barang Datang""), """",
  IFERROR(
    INDEX(
      SORT(
        FILTER(Jadwal!F:F, Jadwal!C:C=E924),
        FILTER(Jadwal!E:E, Jadwal!C:C=E924),
        FALSE
      ),
      1
    ),
    ""TIDAK ADA JADWAL""
  )
)"),"")</f>
        <v/>
      </c>
      <c r="H924" s="7" t="str">
        <f t="shared" si="2"/>
        <v/>
      </c>
      <c r="L924" s="13"/>
      <c r="M924" s="13"/>
    </row>
    <row r="925" ht="15.75" customHeight="1">
      <c r="A925" s="14" t="str">
        <f t="shared" si="1"/>
        <v/>
      </c>
      <c r="B925" s="17" t="str">
        <f t="shared" si="3"/>
        <v/>
      </c>
      <c r="C925" s="18" t="str">
        <f t="shared" si="4"/>
        <v/>
      </c>
      <c r="D925" s="7"/>
      <c r="F925" s="7"/>
      <c r="G925" s="19" t="str">
        <f>IFERROR(__xludf.DUMMYFUNCTION("IF(OR(E925="""",F925&lt;&gt;""Barang Datang""), """",
  IFERROR(
    INDEX(
      SORT(
        FILTER(Jadwal!F:F, Jadwal!C:C=E925),
        FILTER(Jadwal!E:E, Jadwal!C:C=E925),
        FALSE
      ),
      1
    ),
    ""TIDAK ADA JADWAL""
  )
)"),"")</f>
        <v/>
      </c>
      <c r="H925" s="7" t="str">
        <f t="shared" si="2"/>
        <v/>
      </c>
      <c r="L925" s="13"/>
      <c r="M925" s="13"/>
    </row>
    <row r="926" ht="15.75" customHeight="1">
      <c r="A926" s="14" t="str">
        <f t="shared" si="1"/>
        <v/>
      </c>
      <c r="B926" s="17" t="str">
        <f t="shared" si="3"/>
        <v/>
      </c>
      <c r="C926" s="18" t="str">
        <f t="shared" si="4"/>
        <v/>
      </c>
      <c r="D926" s="7"/>
      <c r="F926" s="7"/>
      <c r="G926" s="19" t="str">
        <f>IFERROR(__xludf.DUMMYFUNCTION("IF(OR(E926="""",F926&lt;&gt;""Barang Datang""), """",
  IFERROR(
    INDEX(
      SORT(
        FILTER(Jadwal!F:F, Jadwal!C:C=E926),
        FILTER(Jadwal!E:E, Jadwal!C:C=E926),
        FALSE
      ),
      1
    ),
    ""TIDAK ADA JADWAL""
  )
)"),"")</f>
        <v/>
      </c>
      <c r="H926" s="7" t="str">
        <f t="shared" si="2"/>
        <v/>
      </c>
      <c r="L926" s="13"/>
      <c r="M926" s="13"/>
    </row>
    <row r="927" ht="15.75" customHeight="1">
      <c r="A927" s="14" t="str">
        <f t="shared" si="1"/>
        <v/>
      </c>
      <c r="B927" s="17" t="str">
        <f t="shared" si="3"/>
        <v/>
      </c>
      <c r="C927" s="18" t="str">
        <f t="shared" si="4"/>
        <v/>
      </c>
      <c r="D927" s="7"/>
      <c r="F927" s="7"/>
      <c r="G927" s="19" t="str">
        <f>IFERROR(__xludf.DUMMYFUNCTION("IF(OR(E927="""",F927&lt;&gt;""Barang Datang""), """",
  IFERROR(
    INDEX(
      SORT(
        FILTER(Jadwal!F:F, Jadwal!C:C=E927),
        FILTER(Jadwal!E:E, Jadwal!C:C=E927),
        FALSE
      ),
      1
    ),
    ""TIDAK ADA JADWAL""
  )
)"),"")</f>
        <v/>
      </c>
      <c r="H927" s="7" t="str">
        <f t="shared" si="2"/>
        <v/>
      </c>
      <c r="L927" s="13"/>
      <c r="M927" s="13"/>
    </row>
    <row r="928" ht="15.75" customHeight="1">
      <c r="A928" s="14" t="str">
        <f t="shared" si="1"/>
        <v/>
      </c>
      <c r="B928" s="17" t="str">
        <f t="shared" si="3"/>
        <v/>
      </c>
      <c r="C928" s="18" t="str">
        <f t="shared" si="4"/>
        <v/>
      </c>
      <c r="D928" s="7"/>
      <c r="F928" s="7"/>
      <c r="G928" s="19" t="str">
        <f>IFERROR(__xludf.DUMMYFUNCTION("IF(OR(E928="""",F928&lt;&gt;""Barang Datang""), """",
  IFERROR(
    INDEX(
      SORT(
        FILTER(Jadwal!F:F, Jadwal!C:C=E928),
        FILTER(Jadwal!E:E, Jadwal!C:C=E928),
        FALSE
      ),
      1
    ),
    ""TIDAK ADA JADWAL""
  )
)"),"")</f>
        <v/>
      </c>
      <c r="H928" s="7" t="str">
        <f t="shared" si="2"/>
        <v/>
      </c>
      <c r="L928" s="13"/>
      <c r="M928" s="13"/>
    </row>
    <row r="929" ht="15.75" customHeight="1">
      <c r="A929" s="14" t="str">
        <f t="shared" si="1"/>
        <v/>
      </c>
      <c r="B929" s="17" t="str">
        <f t="shared" si="3"/>
        <v/>
      </c>
      <c r="C929" s="18" t="str">
        <f t="shared" si="4"/>
        <v/>
      </c>
      <c r="D929" s="7"/>
      <c r="F929" s="7"/>
      <c r="G929" s="19" t="str">
        <f>IFERROR(__xludf.DUMMYFUNCTION("IF(OR(E929="""",F929&lt;&gt;""Barang Datang""), """",
  IFERROR(
    INDEX(
      SORT(
        FILTER(Jadwal!F:F, Jadwal!C:C=E929),
        FILTER(Jadwal!E:E, Jadwal!C:C=E929),
        FALSE
      ),
      1
    ),
    ""TIDAK ADA JADWAL""
  )
)"),"")</f>
        <v/>
      </c>
      <c r="H929" s="7" t="str">
        <f t="shared" si="2"/>
        <v/>
      </c>
      <c r="L929" s="13"/>
      <c r="M929" s="13"/>
    </row>
    <row r="930" ht="15.75" customHeight="1">
      <c r="A930" s="14" t="str">
        <f t="shared" si="1"/>
        <v/>
      </c>
      <c r="B930" s="17" t="str">
        <f t="shared" si="3"/>
        <v/>
      </c>
      <c r="C930" s="18" t="str">
        <f t="shared" si="4"/>
        <v/>
      </c>
      <c r="D930" s="7"/>
      <c r="F930" s="7"/>
      <c r="G930" s="19" t="str">
        <f>IFERROR(__xludf.DUMMYFUNCTION("IF(OR(E930="""",F930&lt;&gt;""Barang Datang""), """",
  IFERROR(
    INDEX(
      SORT(
        FILTER(Jadwal!F:F, Jadwal!C:C=E930),
        FILTER(Jadwal!E:E, Jadwal!C:C=E930),
        FALSE
      ),
      1
    ),
    ""TIDAK ADA JADWAL""
  )
)"),"")</f>
        <v/>
      </c>
      <c r="H930" s="7" t="str">
        <f t="shared" si="2"/>
        <v/>
      </c>
      <c r="L930" s="13"/>
      <c r="M930" s="13"/>
    </row>
    <row r="931" ht="15.75" customHeight="1">
      <c r="A931" s="14" t="str">
        <f t="shared" si="1"/>
        <v/>
      </c>
      <c r="B931" s="17" t="str">
        <f t="shared" si="3"/>
        <v/>
      </c>
      <c r="C931" s="18" t="str">
        <f t="shared" si="4"/>
        <v/>
      </c>
      <c r="D931" s="7"/>
      <c r="F931" s="7"/>
      <c r="G931" s="19" t="str">
        <f>IFERROR(__xludf.DUMMYFUNCTION("IF(OR(E931="""",F931&lt;&gt;""Barang Datang""), """",
  IFERROR(
    INDEX(
      SORT(
        FILTER(Jadwal!F:F, Jadwal!C:C=E931),
        FILTER(Jadwal!E:E, Jadwal!C:C=E931),
        FALSE
      ),
      1
    ),
    ""TIDAK ADA JADWAL""
  )
)"),"")</f>
        <v/>
      </c>
      <c r="H931" s="7" t="str">
        <f t="shared" si="2"/>
        <v/>
      </c>
      <c r="L931" s="13"/>
      <c r="M931" s="13"/>
    </row>
    <row r="932" ht="15.75" customHeight="1">
      <c r="A932" s="14" t="str">
        <f t="shared" si="1"/>
        <v/>
      </c>
      <c r="B932" s="17" t="str">
        <f t="shared" si="3"/>
        <v/>
      </c>
      <c r="C932" s="18" t="str">
        <f t="shared" si="4"/>
        <v/>
      </c>
      <c r="D932" s="7"/>
      <c r="F932" s="7"/>
      <c r="G932" s="19" t="str">
        <f>IFERROR(__xludf.DUMMYFUNCTION("IF(OR(E932="""",F932&lt;&gt;""Barang Datang""), """",
  IFERROR(
    INDEX(
      SORT(
        FILTER(Jadwal!F:F, Jadwal!C:C=E932),
        FILTER(Jadwal!E:E, Jadwal!C:C=E932),
        FALSE
      ),
      1
    ),
    ""TIDAK ADA JADWAL""
  )
)"),"")</f>
        <v/>
      </c>
      <c r="H932" s="7" t="str">
        <f t="shared" si="2"/>
        <v/>
      </c>
      <c r="L932" s="13"/>
      <c r="M932" s="13"/>
    </row>
    <row r="933" ht="15.75" customHeight="1">
      <c r="A933" s="14" t="str">
        <f t="shared" si="1"/>
        <v/>
      </c>
      <c r="B933" s="17" t="str">
        <f t="shared" si="3"/>
        <v/>
      </c>
      <c r="C933" s="18" t="str">
        <f t="shared" si="4"/>
        <v/>
      </c>
      <c r="D933" s="7"/>
      <c r="F933" s="7"/>
      <c r="G933" s="19" t="str">
        <f>IFERROR(__xludf.DUMMYFUNCTION("IF(OR(E933="""",F933&lt;&gt;""Barang Datang""), """",
  IFERROR(
    INDEX(
      SORT(
        FILTER(Jadwal!F:F, Jadwal!C:C=E933),
        FILTER(Jadwal!E:E, Jadwal!C:C=E933),
        FALSE
      ),
      1
    ),
    ""TIDAK ADA JADWAL""
  )
)"),"")</f>
        <v/>
      </c>
      <c r="H933" s="7" t="str">
        <f t="shared" si="2"/>
        <v/>
      </c>
      <c r="L933" s="13"/>
      <c r="M933" s="13"/>
    </row>
    <row r="934" ht="15.75" customHeight="1">
      <c r="A934" s="14" t="str">
        <f t="shared" si="1"/>
        <v/>
      </c>
      <c r="B934" s="17" t="str">
        <f t="shared" si="3"/>
        <v/>
      </c>
      <c r="C934" s="18" t="str">
        <f t="shared" si="4"/>
        <v/>
      </c>
      <c r="D934" s="7"/>
      <c r="F934" s="7"/>
      <c r="G934" s="19" t="str">
        <f>IFERROR(__xludf.DUMMYFUNCTION("IF(OR(E934="""",F934&lt;&gt;""Barang Datang""), """",
  IFERROR(
    INDEX(
      SORT(
        FILTER(Jadwal!F:F, Jadwal!C:C=E934),
        FILTER(Jadwal!E:E, Jadwal!C:C=E934),
        FALSE
      ),
      1
    ),
    ""TIDAK ADA JADWAL""
  )
)"),"")</f>
        <v/>
      </c>
      <c r="H934" s="7" t="str">
        <f t="shared" si="2"/>
        <v/>
      </c>
      <c r="L934" s="13"/>
      <c r="M934" s="13"/>
    </row>
    <row r="935" ht="15.75" customHeight="1">
      <c r="A935" s="14" t="str">
        <f t="shared" si="1"/>
        <v/>
      </c>
      <c r="B935" s="17" t="str">
        <f t="shared" si="3"/>
        <v/>
      </c>
      <c r="C935" s="18" t="str">
        <f t="shared" si="4"/>
        <v/>
      </c>
      <c r="D935" s="7"/>
      <c r="F935" s="7"/>
      <c r="G935" s="19" t="str">
        <f>IFERROR(__xludf.DUMMYFUNCTION("IF(OR(E935="""",F935&lt;&gt;""Barang Datang""), """",
  IFERROR(
    INDEX(
      SORT(
        FILTER(Jadwal!F:F, Jadwal!C:C=E935),
        FILTER(Jadwal!E:E, Jadwal!C:C=E935),
        FALSE
      ),
      1
    ),
    ""TIDAK ADA JADWAL""
  )
)"),"")</f>
        <v/>
      </c>
      <c r="H935" s="7" t="str">
        <f t="shared" si="2"/>
        <v/>
      </c>
      <c r="L935" s="13"/>
      <c r="M935" s="13"/>
    </row>
    <row r="936" ht="15.75" customHeight="1">
      <c r="A936" s="14" t="str">
        <f t="shared" si="1"/>
        <v/>
      </c>
      <c r="B936" s="17" t="str">
        <f t="shared" si="3"/>
        <v/>
      </c>
      <c r="C936" s="18" t="str">
        <f t="shared" si="4"/>
        <v/>
      </c>
      <c r="D936" s="7"/>
      <c r="F936" s="7"/>
      <c r="G936" s="19" t="str">
        <f>IFERROR(__xludf.DUMMYFUNCTION("IF(OR(E936="""",F936&lt;&gt;""Barang Datang""), """",
  IFERROR(
    INDEX(
      SORT(
        FILTER(Jadwal!F:F, Jadwal!C:C=E936),
        FILTER(Jadwal!E:E, Jadwal!C:C=E936),
        FALSE
      ),
      1
    ),
    ""TIDAK ADA JADWAL""
  )
)"),"")</f>
        <v/>
      </c>
      <c r="H936" s="7" t="str">
        <f t="shared" si="2"/>
        <v/>
      </c>
      <c r="L936" s="13"/>
      <c r="M936" s="13"/>
    </row>
    <row r="937" ht="15.75" customHeight="1">
      <c r="A937" s="14" t="str">
        <f t="shared" si="1"/>
        <v/>
      </c>
      <c r="B937" s="17" t="str">
        <f t="shared" si="3"/>
        <v/>
      </c>
      <c r="C937" s="18" t="str">
        <f t="shared" si="4"/>
        <v/>
      </c>
      <c r="D937" s="7"/>
      <c r="F937" s="7"/>
      <c r="G937" s="19" t="str">
        <f>IFERROR(__xludf.DUMMYFUNCTION("IF(OR(E937="""",F937&lt;&gt;""Barang Datang""), """",
  IFERROR(
    INDEX(
      SORT(
        FILTER(Jadwal!F:F, Jadwal!C:C=E937),
        FILTER(Jadwal!E:E, Jadwal!C:C=E937),
        FALSE
      ),
      1
    ),
    ""TIDAK ADA JADWAL""
  )
)"),"")</f>
        <v/>
      </c>
      <c r="H937" s="7" t="str">
        <f t="shared" si="2"/>
        <v/>
      </c>
      <c r="L937" s="13"/>
      <c r="M937" s="13"/>
    </row>
    <row r="938" ht="15.75" customHeight="1">
      <c r="A938" s="14" t="str">
        <f t="shared" si="1"/>
        <v/>
      </c>
      <c r="B938" s="17" t="str">
        <f t="shared" si="3"/>
        <v/>
      </c>
      <c r="C938" s="18" t="str">
        <f t="shared" si="4"/>
        <v/>
      </c>
      <c r="D938" s="7"/>
      <c r="F938" s="7"/>
      <c r="G938" s="19" t="str">
        <f>IFERROR(__xludf.DUMMYFUNCTION("IF(OR(E938="""",F938&lt;&gt;""Barang Datang""), """",
  IFERROR(
    INDEX(
      SORT(
        FILTER(Jadwal!F:F, Jadwal!C:C=E938),
        FILTER(Jadwal!E:E, Jadwal!C:C=E938),
        FALSE
      ),
      1
    ),
    ""TIDAK ADA JADWAL""
  )
)"),"")</f>
        <v/>
      </c>
      <c r="H938" s="7" t="str">
        <f t="shared" si="2"/>
        <v/>
      </c>
      <c r="L938" s="13"/>
      <c r="M938" s="13"/>
    </row>
    <row r="939" ht="15.75" customHeight="1">
      <c r="A939" s="14" t="str">
        <f t="shared" si="1"/>
        <v/>
      </c>
      <c r="B939" s="17" t="str">
        <f t="shared" si="3"/>
        <v/>
      </c>
      <c r="C939" s="18" t="str">
        <f t="shared" si="4"/>
        <v/>
      </c>
      <c r="D939" s="7"/>
      <c r="F939" s="7"/>
      <c r="G939" s="19" t="str">
        <f>IFERROR(__xludf.DUMMYFUNCTION("IF(OR(E939="""",F939&lt;&gt;""Barang Datang""), """",
  IFERROR(
    INDEX(
      SORT(
        FILTER(Jadwal!F:F, Jadwal!C:C=E939),
        FILTER(Jadwal!E:E, Jadwal!C:C=E939),
        FALSE
      ),
      1
    ),
    ""TIDAK ADA JADWAL""
  )
)"),"")</f>
        <v/>
      </c>
      <c r="H939" s="7" t="str">
        <f t="shared" si="2"/>
        <v/>
      </c>
      <c r="L939" s="13"/>
      <c r="M939" s="13"/>
    </row>
    <row r="940" ht="15.75" customHeight="1">
      <c r="A940" s="14" t="str">
        <f t="shared" si="1"/>
        <v/>
      </c>
      <c r="B940" s="17" t="str">
        <f t="shared" si="3"/>
        <v/>
      </c>
      <c r="C940" s="18" t="str">
        <f t="shared" si="4"/>
        <v/>
      </c>
      <c r="D940" s="7"/>
      <c r="F940" s="7"/>
      <c r="G940" s="19" t="str">
        <f>IFERROR(__xludf.DUMMYFUNCTION("IF(OR(E940="""",F940&lt;&gt;""Barang Datang""), """",
  IFERROR(
    INDEX(
      SORT(
        FILTER(Jadwal!F:F, Jadwal!C:C=E940),
        FILTER(Jadwal!E:E, Jadwal!C:C=E940),
        FALSE
      ),
      1
    ),
    ""TIDAK ADA JADWAL""
  )
)"),"")</f>
        <v/>
      </c>
      <c r="H940" s="7" t="str">
        <f t="shared" si="2"/>
        <v/>
      </c>
      <c r="L940" s="13"/>
      <c r="M940" s="13"/>
    </row>
    <row r="941" ht="15.75" customHeight="1">
      <c r="A941" s="14" t="str">
        <f t="shared" si="1"/>
        <v/>
      </c>
      <c r="B941" s="17" t="str">
        <f t="shared" si="3"/>
        <v/>
      </c>
      <c r="C941" s="18" t="str">
        <f t="shared" si="4"/>
        <v/>
      </c>
      <c r="D941" s="7"/>
      <c r="F941" s="7"/>
      <c r="G941" s="19" t="str">
        <f>IFERROR(__xludf.DUMMYFUNCTION("IF(OR(E941="""",F941&lt;&gt;""Barang Datang""), """",
  IFERROR(
    INDEX(
      SORT(
        FILTER(Jadwal!F:F, Jadwal!C:C=E941),
        FILTER(Jadwal!E:E, Jadwal!C:C=E941),
        FALSE
      ),
      1
    ),
    ""TIDAK ADA JADWAL""
  )
)"),"")</f>
        <v/>
      </c>
      <c r="H941" s="7" t="str">
        <f t="shared" si="2"/>
        <v/>
      </c>
      <c r="L941" s="13"/>
      <c r="M941" s="13"/>
    </row>
    <row r="942" ht="15.75" customHeight="1">
      <c r="A942" s="14" t="str">
        <f t="shared" si="1"/>
        <v/>
      </c>
      <c r="B942" s="17" t="str">
        <f t="shared" si="3"/>
        <v/>
      </c>
      <c r="C942" s="18" t="str">
        <f t="shared" si="4"/>
        <v/>
      </c>
      <c r="D942" s="7"/>
      <c r="F942" s="7"/>
      <c r="G942" s="19" t="str">
        <f>IFERROR(__xludf.DUMMYFUNCTION("IF(OR(E942="""",F942&lt;&gt;""Barang Datang""), """",
  IFERROR(
    INDEX(
      SORT(
        FILTER(Jadwal!F:F, Jadwal!C:C=E942),
        FILTER(Jadwal!E:E, Jadwal!C:C=E942),
        FALSE
      ),
      1
    ),
    ""TIDAK ADA JADWAL""
  )
)"),"")</f>
        <v/>
      </c>
      <c r="H942" s="7" t="str">
        <f t="shared" si="2"/>
        <v/>
      </c>
      <c r="L942" s="13"/>
      <c r="M942" s="13"/>
    </row>
    <row r="943" ht="15.75" customHeight="1">
      <c r="A943" s="14" t="str">
        <f t="shared" si="1"/>
        <v/>
      </c>
      <c r="B943" s="17" t="str">
        <f t="shared" si="3"/>
        <v/>
      </c>
      <c r="C943" s="18" t="str">
        <f t="shared" si="4"/>
        <v/>
      </c>
      <c r="D943" s="7"/>
      <c r="F943" s="7"/>
      <c r="G943" s="19" t="str">
        <f>IFERROR(__xludf.DUMMYFUNCTION("IF(OR(E943="""",F943&lt;&gt;""Barang Datang""), """",
  IFERROR(
    INDEX(
      SORT(
        FILTER(Jadwal!F:F, Jadwal!C:C=E943),
        FILTER(Jadwal!E:E, Jadwal!C:C=E943),
        FALSE
      ),
      1
    ),
    ""TIDAK ADA JADWAL""
  )
)"),"")</f>
        <v/>
      </c>
      <c r="H943" s="7" t="str">
        <f t="shared" si="2"/>
        <v/>
      </c>
      <c r="L943" s="13"/>
      <c r="M943" s="13"/>
    </row>
    <row r="944" ht="15.75" customHeight="1">
      <c r="A944" s="14" t="str">
        <f t="shared" si="1"/>
        <v/>
      </c>
      <c r="B944" s="17" t="str">
        <f t="shared" si="3"/>
        <v/>
      </c>
      <c r="C944" s="18" t="str">
        <f t="shared" si="4"/>
        <v/>
      </c>
      <c r="D944" s="7"/>
      <c r="F944" s="7"/>
      <c r="G944" s="19" t="str">
        <f>IFERROR(__xludf.DUMMYFUNCTION("IF(OR(E944="""",F944&lt;&gt;""Barang Datang""), """",
  IFERROR(
    INDEX(
      SORT(
        FILTER(Jadwal!F:F, Jadwal!C:C=E944),
        FILTER(Jadwal!E:E, Jadwal!C:C=E944),
        FALSE
      ),
      1
    ),
    ""TIDAK ADA JADWAL""
  )
)"),"")</f>
        <v/>
      </c>
      <c r="H944" s="7" t="str">
        <f t="shared" si="2"/>
        <v/>
      </c>
      <c r="L944" s="13"/>
      <c r="M944" s="13"/>
    </row>
    <row r="945" ht="15.75" customHeight="1">
      <c r="A945" s="14" t="str">
        <f t="shared" si="1"/>
        <v/>
      </c>
      <c r="B945" s="17" t="str">
        <f t="shared" si="3"/>
        <v/>
      </c>
      <c r="C945" s="18" t="str">
        <f t="shared" si="4"/>
        <v/>
      </c>
      <c r="D945" s="7"/>
      <c r="F945" s="7"/>
      <c r="G945" s="19" t="str">
        <f>IFERROR(__xludf.DUMMYFUNCTION("IF(OR(E945="""",F945&lt;&gt;""Barang Datang""), """",
  IFERROR(
    INDEX(
      SORT(
        FILTER(Jadwal!F:F, Jadwal!C:C=E945),
        FILTER(Jadwal!E:E, Jadwal!C:C=E945),
        FALSE
      ),
      1
    ),
    ""TIDAK ADA JADWAL""
  )
)"),"")</f>
        <v/>
      </c>
      <c r="H945" s="7" t="str">
        <f t="shared" si="2"/>
        <v/>
      </c>
      <c r="L945" s="13"/>
      <c r="M945" s="13"/>
    </row>
    <row r="946" ht="15.75" customHeight="1">
      <c r="A946" s="14" t="str">
        <f t="shared" si="1"/>
        <v/>
      </c>
      <c r="B946" s="17" t="str">
        <f t="shared" si="3"/>
        <v/>
      </c>
      <c r="C946" s="18" t="str">
        <f t="shared" si="4"/>
        <v/>
      </c>
      <c r="D946" s="7"/>
      <c r="F946" s="7"/>
      <c r="G946" s="19" t="str">
        <f>IFERROR(__xludf.DUMMYFUNCTION("IF(OR(E946="""",F946&lt;&gt;""Barang Datang""), """",
  IFERROR(
    INDEX(
      SORT(
        FILTER(Jadwal!F:F, Jadwal!C:C=E946),
        FILTER(Jadwal!E:E, Jadwal!C:C=E946),
        FALSE
      ),
      1
    ),
    ""TIDAK ADA JADWAL""
  )
)"),"")</f>
        <v/>
      </c>
      <c r="H946" s="7" t="str">
        <f t="shared" si="2"/>
        <v/>
      </c>
      <c r="L946" s="13"/>
      <c r="M946" s="13"/>
    </row>
    <row r="947" ht="15.75" customHeight="1">
      <c r="A947" s="14" t="str">
        <f t="shared" si="1"/>
        <v/>
      </c>
      <c r="B947" s="17" t="str">
        <f t="shared" si="3"/>
        <v/>
      </c>
      <c r="C947" s="18" t="str">
        <f t="shared" si="4"/>
        <v/>
      </c>
      <c r="D947" s="7"/>
      <c r="F947" s="7"/>
      <c r="G947" s="19" t="str">
        <f>IFERROR(__xludf.DUMMYFUNCTION("IF(OR(E947="""",F947&lt;&gt;""Barang Datang""), """",
  IFERROR(
    INDEX(
      SORT(
        FILTER(Jadwal!F:F, Jadwal!C:C=E947),
        FILTER(Jadwal!E:E, Jadwal!C:C=E947),
        FALSE
      ),
      1
    ),
    ""TIDAK ADA JADWAL""
  )
)"),"")</f>
        <v/>
      </c>
      <c r="H947" s="7" t="str">
        <f t="shared" si="2"/>
        <v/>
      </c>
      <c r="L947" s="13"/>
      <c r="M947" s="13"/>
    </row>
    <row r="948" ht="15.75" customHeight="1">
      <c r="A948" s="14" t="str">
        <f t="shared" si="1"/>
        <v/>
      </c>
      <c r="B948" s="17" t="str">
        <f t="shared" si="3"/>
        <v/>
      </c>
      <c r="C948" s="18" t="str">
        <f t="shared" si="4"/>
        <v/>
      </c>
      <c r="D948" s="7"/>
      <c r="F948" s="7"/>
      <c r="G948" s="19" t="str">
        <f>IFERROR(__xludf.DUMMYFUNCTION("IF(OR(E948="""",F948&lt;&gt;""Barang Datang""), """",
  IFERROR(
    INDEX(
      SORT(
        FILTER(Jadwal!F:F, Jadwal!C:C=E948),
        FILTER(Jadwal!E:E, Jadwal!C:C=E948),
        FALSE
      ),
      1
    ),
    ""TIDAK ADA JADWAL""
  )
)"),"")</f>
        <v/>
      </c>
      <c r="H948" s="7" t="str">
        <f t="shared" si="2"/>
        <v/>
      </c>
      <c r="L948" s="13"/>
      <c r="M948" s="13"/>
    </row>
    <row r="949" ht="15.75" customHeight="1">
      <c r="A949" s="14" t="str">
        <f t="shared" si="1"/>
        <v/>
      </c>
      <c r="B949" s="17" t="str">
        <f t="shared" si="3"/>
        <v/>
      </c>
      <c r="C949" s="18" t="str">
        <f t="shared" si="4"/>
        <v/>
      </c>
      <c r="D949" s="7"/>
      <c r="F949" s="7"/>
      <c r="G949" s="19" t="str">
        <f>IFERROR(__xludf.DUMMYFUNCTION("IF(OR(E949="""",F949&lt;&gt;""Barang Datang""), """",
  IFERROR(
    INDEX(
      SORT(
        FILTER(Jadwal!F:F, Jadwal!C:C=E949),
        FILTER(Jadwal!E:E, Jadwal!C:C=E949),
        FALSE
      ),
      1
    ),
    ""TIDAK ADA JADWAL""
  )
)"),"")</f>
        <v/>
      </c>
      <c r="H949" s="7" t="str">
        <f t="shared" si="2"/>
        <v/>
      </c>
      <c r="L949" s="13"/>
      <c r="M949" s="13"/>
    </row>
    <row r="950" ht="15.75" customHeight="1">
      <c r="A950" s="14" t="str">
        <f t="shared" si="1"/>
        <v/>
      </c>
      <c r="B950" s="17" t="str">
        <f t="shared" si="3"/>
        <v/>
      </c>
      <c r="C950" s="18" t="str">
        <f t="shared" si="4"/>
        <v/>
      </c>
      <c r="D950" s="7"/>
      <c r="F950" s="7"/>
      <c r="G950" s="19" t="str">
        <f>IFERROR(__xludf.DUMMYFUNCTION("IF(OR(E950="""",F950&lt;&gt;""Barang Datang""), """",
  IFERROR(
    INDEX(
      SORT(
        FILTER(Jadwal!F:F, Jadwal!C:C=E950),
        FILTER(Jadwal!E:E, Jadwal!C:C=E950),
        FALSE
      ),
      1
    ),
    ""TIDAK ADA JADWAL""
  )
)"),"")</f>
        <v/>
      </c>
      <c r="H950" s="7" t="str">
        <f t="shared" si="2"/>
        <v/>
      </c>
      <c r="L950" s="13"/>
      <c r="M950" s="13"/>
    </row>
    <row r="951" ht="15.75" customHeight="1">
      <c r="A951" s="14" t="str">
        <f t="shared" si="1"/>
        <v/>
      </c>
      <c r="B951" s="17" t="str">
        <f t="shared" si="3"/>
        <v/>
      </c>
      <c r="C951" s="18" t="str">
        <f t="shared" si="4"/>
        <v/>
      </c>
      <c r="D951" s="7"/>
      <c r="F951" s="7"/>
      <c r="G951" s="19" t="str">
        <f>IFERROR(__xludf.DUMMYFUNCTION("IF(OR(E951="""",F951&lt;&gt;""Barang Datang""), """",
  IFERROR(
    INDEX(
      SORT(
        FILTER(Jadwal!F:F, Jadwal!C:C=E951),
        FILTER(Jadwal!E:E, Jadwal!C:C=E951),
        FALSE
      ),
      1
    ),
    ""TIDAK ADA JADWAL""
  )
)"),"")</f>
        <v/>
      </c>
      <c r="H951" s="7" t="str">
        <f t="shared" si="2"/>
        <v/>
      </c>
      <c r="L951" s="13"/>
      <c r="M951" s="13"/>
    </row>
    <row r="952" ht="15.75" customHeight="1">
      <c r="A952" s="14" t="str">
        <f t="shared" si="1"/>
        <v/>
      </c>
      <c r="B952" s="17" t="str">
        <f t="shared" si="3"/>
        <v/>
      </c>
      <c r="C952" s="18" t="str">
        <f t="shared" si="4"/>
        <v/>
      </c>
      <c r="D952" s="7"/>
      <c r="F952" s="7"/>
      <c r="G952" s="19" t="str">
        <f>IFERROR(__xludf.DUMMYFUNCTION("IF(OR(E952="""",F952&lt;&gt;""Barang Datang""), """",
  IFERROR(
    INDEX(
      SORT(
        FILTER(Jadwal!F:F, Jadwal!C:C=E952),
        FILTER(Jadwal!E:E, Jadwal!C:C=E952),
        FALSE
      ),
      1
    ),
    ""TIDAK ADA JADWAL""
  )
)"),"")</f>
        <v/>
      </c>
      <c r="H952" s="7" t="str">
        <f t="shared" si="2"/>
        <v/>
      </c>
      <c r="L952" s="13"/>
      <c r="M952" s="13"/>
    </row>
    <row r="953" ht="15.75" customHeight="1">
      <c r="A953" s="14" t="str">
        <f t="shared" si="1"/>
        <v/>
      </c>
      <c r="B953" s="17" t="str">
        <f t="shared" si="3"/>
        <v/>
      </c>
      <c r="C953" s="18" t="str">
        <f t="shared" si="4"/>
        <v/>
      </c>
      <c r="D953" s="7"/>
      <c r="F953" s="7"/>
      <c r="G953" s="19" t="str">
        <f>IFERROR(__xludf.DUMMYFUNCTION("IF(OR(E953="""",F953&lt;&gt;""Barang Datang""), """",
  IFERROR(
    INDEX(
      SORT(
        FILTER(Jadwal!F:F, Jadwal!C:C=E953),
        FILTER(Jadwal!E:E, Jadwal!C:C=E953),
        FALSE
      ),
      1
    ),
    ""TIDAK ADA JADWAL""
  )
)"),"")</f>
        <v/>
      </c>
      <c r="H953" s="7" t="str">
        <f t="shared" si="2"/>
        <v/>
      </c>
      <c r="L953" s="13"/>
      <c r="M953" s="13"/>
    </row>
    <row r="954" ht="15.75" customHeight="1">
      <c r="A954" s="14" t="str">
        <f t="shared" si="1"/>
        <v/>
      </c>
      <c r="B954" s="17" t="str">
        <f t="shared" si="3"/>
        <v/>
      </c>
      <c r="C954" s="18" t="str">
        <f t="shared" si="4"/>
        <v/>
      </c>
      <c r="D954" s="7"/>
      <c r="F954" s="7"/>
      <c r="G954" s="19" t="str">
        <f>IFERROR(__xludf.DUMMYFUNCTION("IF(OR(E954="""",F954&lt;&gt;""Barang Datang""), """",
  IFERROR(
    INDEX(
      SORT(
        FILTER(Jadwal!F:F, Jadwal!C:C=E954),
        FILTER(Jadwal!E:E, Jadwal!C:C=E954),
        FALSE
      ),
      1
    ),
    ""TIDAK ADA JADWAL""
  )
)"),"")</f>
        <v/>
      </c>
      <c r="H954" s="7" t="str">
        <f t="shared" si="2"/>
        <v/>
      </c>
      <c r="L954" s="13"/>
      <c r="M954" s="13"/>
    </row>
    <row r="955" ht="15.75" customHeight="1">
      <c r="A955" s="14" t="str">
        <f t="shared" si="1"/>
        <v/>
      </c>
      <c r="B955" s="17" t="str">
        <f t="shared" si="3"/>
        <v/>
      </c>
      <c r="C955" s="18" t="str">
        <f t="shared" si="4"/>
        <v/>
      </c>
      <c r="D955" s="7"/>
      <c r="F955" s="7"/>
      <c r="G955" s="19" t="str">
        <f>IFERROR(__xludf.DUMMYFUNCTION("IF(OR(E955="""",F955&lt;&gt;""Barang Datang""), """",
  IFERROR(
    INDEX(
      SORT(
        FILTER(Jadwal!F:F, Jadwal!C:C=E955),
        FILTER(Jadwal!E:E, Jadwal!C:C=E955),
        FALSE
      ),
      1
    ),
    ""TIDAK ADA JADWAL""
  )
)"),"")</f>
        <v/>
      </c>
      <c r="H955" s="7" t="str">
        <f t="shared" si="2"/>
        <v/>
      </c>
      <c r="L955" s="13"/>
      <c r="M955" s="13"/>
    </row>
    <row r="956" ht="15.75" customHeight="1">
      <c r="A956" s="14" t="str">
        <f t="shared" si="1"/>
        <v/>
      </c>
      <c r="B956" s="17" t="str">
        <f t="shared" si="3"/>
        <v/>
      </c>
      <c r="C956" s="18" t="str">
        <f t="shared" si="4"/>
        <v/>
      </c>
      <c r="D956" s="7"/>
      <c r="F956" s="7"/>
      <c r="G956" s="19" t="str">
        <f>IFERROR(__xludf.DUMMYFUNCTION("IF(OR(E956="""",F956&lt;&gt;""Barang Datang""), """",
  IFERROR(
    INDEX(
      SORT(
        FILTER(Jadwal!F:F, Jadwal!C:C=E956),
        FILTER(Jadwal!E:E, Jadwal!C:C=E956),
        FALSE
      ),
      1
    ),
    ""TIDAK ADA JADWAL""
  )
)"),"")</f>
        <v/>
      </c>
      <c r="H956" s="7" t="str">
        <f t="shared" si="2"/>
        <v/>
      </c>
      <c r="L956" s="13"/>
      <c r="M956" s="13"/>
    </row>
    <row r="957" ht="15.75" customHeight="1">
      <c r="A957" s="14" t="str">
        <f t="shared" si="1"/>
        <v/>
      </c>
      <c r="B957" s="17" t="str">
        <f t="shared" si="3"/>
        <v/>
      </c>
      <c r="C957" s="18" t="str">
        <f t="shared" si="4"/>
        <v/>
      </c>
      <c r="D957" s="7"/>
      <c r="F957" s="7"/>
      <c r="G957" s="19" t="str">
        <f>IFERROR(__xludf.DUMMYFUNCTION("IF(OR(E957="""",F957&lt;&gt;""Barang Datang""), """",
  IFERROR(
    INDEX(
      SORT(
        FILTER(Jadwal!F:F, Jadwal!C:C=E957),
        FILTER(Jadwal!E:E, Jadwal!C:C=E957),
        FALSE
      ),
      1
    ),
    ""TIDAK ADA JADWAL""
  )
)"),"")</f>
        <v/>
      </c>
      <c r="H957" s="7" t="str">
        <f t="shared" si="2"/>
        <v/>
      </c>
      <c r="L957" s="13"/>
      <c r="M957" s="13"/>
    </row>
    <row r="958" ht="15.75" customHeight="1">
      <c r="A958" s="14" t="str">
        <f t="shared" si="1"/>
        <v/>
      </c>
      <c r="B958" s="17" t="str">
        <f t="shared" si="3"/>
        <v/>
      </c>
      <c r="C958" s="18" t="str">
        <f t="shared" si="4"/>
        <v/>
      </c>
      <c r="D958" s="7"/>
      <c r="F958" s="7"/>
      <c r="G958" s="19" t="str">
        <f>IFERROR(__xludf.DUMMYFUNCTION("IF(OR(E958="""",F958&lt;&gt;""Barang Datang""), """",
  IFERROR(
    INDEX(
      SORT(
        FILTER(Jadwal!F:F, Jadwal!C:C=E958),
        FILTER(Jadwal!E:E, Jadwal!C:C=E958),
        FALSE
      ),
      1
    ),
    ""TIDAK ADA JADWAL""
  )
)"),"")</f>
        <v/>
      </c>
      <c r="H958" s="7" t="str">
        <f t="shared" si="2"/>
        <v/>
      </c>
      <c r="L958" s="13"/>
      <c r="M958" s="13"/>
    </row>
    <row r="959" ht="15.75" customHeight="1">
      <c r="A959" s="14" t="str">
        <f t="shared" si="1"/>
        <v/>
      </c>
      <c r="B959" s="17" t="str">
        <f t="shared" si="3"/>
        <v/>
      </c>
      <c r="C959" s="18" t="str">
        <f t="shared" si="4"/>
        <v/>
      </c>
      <c r="D959" s="7"/>
      <c r="F959" s="7"/>
      <c r="G959" s="19" t="str">
        <f>IFERROR(__xludf.DUMMYFUNCTION("IF(OR(E959="""",F959&lt;&gt;""Barang Datang""), """",
  IFERROR(
    INDEX(
      SORT(
        FILTER(Jadwal!F:F, Jadwal!C:C=E959),
        FILTER(Jadwal!E:E, Jadwal!C:C=E959),
        FALSE
      ),
      1
    ),
    ""TIDAK ADA JADWAL""
  )
)"),"")</f>
        <v/>
      </c>
      <c r="H959" s="7" t="str">
        <f t="shared" si="2"/>
        <v/>
      </c>
      <c r="L959" s="13"/>
      <c r="M959" s="13"/>
    </row>
    <row r="960" ht="15.75" customHeight="1">
      <c r="A960" s="14" t="str">
        <f t="shared" si="1"/>
        <v/>
      </c>
      <c r="B960" s="17" t="str">
        <f t="shared" si="3"/>
        <v/>
      </c>
      <c r="C960" s="18" t="str">
        <f t="shared" si="4"/>
        <v/>
      </c>
      <c r="D960" s="7"/>
      <c r="F960" s="7"/>
      <c r="G960" s="19" t="str">
        <f>IFERROR(__xludf.DUMMYFUNCTION("IF(OR(E960="""",F960&lt;&gt;""Barang Datang""), """",
  IFERROR(
    INDEX(
      SORT(
        FILTER(Jadwal!F:F, Jadwal!C:C=E960),
        FILTER(Jadwal!E:E, Jadwal!C:C=E960),
        FALSE
      ),
      1
    ),
    ""TIDAK ADA JADWAL""
  )
)"),"")</f>
        <v/>
      </c>
      <c r="H960" s="7" t="str">
        <f t="shared" si="2"/>
        <v/>
      </c>
      <c r="L960" s="13"/>
      <c r="M960" s="13"/>
    </row>
    <row r="961" ht="15.75" customHeight="1">
      <c r="A961" s="14" t="str">
        <f t="shared" si="1"/>
        <v/>
      </c>
      <c r="B961" s="17" t="str">
        <f t="shared" si="3"/>
        <v/>
      </c>
      <c r="C961" s="18" t="str">
        <f t="shared" si="4"/>
        <v/>
      </c>
      <c r="D961" s="7"/>
      <c r="F961" s="7"/>
      <c r="G961" s="19" t="str">
        <f>IFERROR(__xludf.DUMMYFUNCTION("IF(OR(E961="""",F961&lt;&gt;""Barang Datang""), """",
  IFERROR(
    INDEX(
      SORT(
        FILTER(Jadwal!F:F, Jadwal!C:C=E961),
        FILTER(Jadwal!E:E, Jadwal!C:C=E961),
        FALSE
      ),
      1
    ),
    ""TIDAK ADA JADWAL""
  )
)"),"")</f>
        <v/>
      </c>
      <c r="H961" s="7" t="str">
        <f t="shared" si="2"/>
        <v/>
      </c>
      <c r="L961" s="13"/>
      <c r="M961" s="13"/>
    </row>
    <row r="962" ht="15.75" customHeight="1">
      <c r="A962" s="14" t="str">
        <f t="shared" si="1"/>
        <v/>
      </c>
      <c r="B962" s="17" t="str">
        <f t="shared" si="3"/>
        <v/>
      </c>
      <c r="C962" s="18" t="str">
        <f t="shared" si="4"/>
        <v/>
      </c>
      <c r="D962" s="7"/>
      <c r="F962" s="7"/>
      <c r="G962" s="19" t="str">
        <f>IFERROR(__xludf.DUMMYFUNCTION("IF(OR(E962="""",F962&lt;&gt;""Barang Datang""), """",
  IFERROR(
    INDEX(
      SORT(
        FILTER(Jadwal!F:F, Jadwal!C:C=E962),
        FILTER(Jadwal!E:E, Jadwal!C:C=E962),
        FALSE
      ),
      1
    ),
    ""TIDAK ADA JADWAL""
  )
)"),"")</f>
        <v/>
      </c>
      <c r="H962" s="7" t="str">
        <f t="shared" si="2"/>
        <v/>
      </c>
      <c r="L962" s="13"/>
      <c r="M962" s="13"/>
    </row>
    <row r="963" ht="15.75" customHeight="1">
      <c r="A963" s="14" t="str">
        <f t="shared" si="1"/>
        <v/>
      </c>
      <c r="B963" s="17" t="str">
        <f t="shared" si="3"/>
        <v/>
      </c>
      <c r="C963" s="18" t="str">
        <f t="shared" si="4"/>
        <v/>
      </c>
      <c r="D963" s="7"/>
      <c r="F963" s="7"/>
      <c r="G963" s="19" t="str">
        <f>IFERROR(__xludf.DUMMYFUNCTION("IF(OR(E963="""",F963&lt;&gt;""Barang Datang""), """",
  IFERROR(
    INDEX(
      SORT(
        FILTER(Jadwal!F:F, Jadwal!C:C=E963),
        FILTER(Jadwal!E:E, Jadwal!C:C=E963),
        FALSE
      ),
      1
    ),
    ""TIDAK ADA JADWAL""
  )
)"),"")</f>
        <v/>
      </c>
      <c r="H963" s="7" t="str">
        <f t="shared" si="2"/>
        <v/>
      </c>
      <c r="L963" s="13"/>
      <c r="M963" s="13"/>
    </row>
    <row r="964" ht="15.75" customHeight="1">
      <c r="A964" s="14" t="str">
        <f t="shared" si="1"/>
        <v/>
      </c>
      <c r="B964" s="17" t="str">
        <f t="shared" si="3"/>
        <v/>
      </c>
      <c r="C964" s="18" t="str">
        <f t="shared" si="4"/>
        <v/>
      </c>
      <c r="D964" s="7"/>
      <c r="F964" s="7"/>
      <c r="G964" s="19" t="str">
        <f>IFERROR(__xludf.DUMMYFUNCTION("IF(OR(E964="""",F964&lt;&gt;""Barang Datang""), """",
  IFERROR(
    INDEX(
      SORT(
        FILTER(Jadwal!F:F, Jadwal!C:C=E964),
        FILTER(Jadwal!E:E, Jadwal!C:C=E964),
        FALSE
      ),
      1
    ),
    ""TIDAK ADA JADWAL""
  )
)"),"")</f>
        <v/>
      </c>
      <c r="H964" s="7" t="str">
        <f t="shared" si="2"/>
        <v/>
      </c>
      <c r="L964" s="13"/>
      <c r="M964" s="13"/>
    </row>
    <row r="965" ht="15.75" customHeight="1">
      <c r="A965" s="14" t="str">
        <f t="shared" si="1"/>
        <v/>
      </c>
      <c r="B965" s="17" t="str">
        <f t="shared" si="3"/>
        <v/>
      </c>
      <c r="C965" s="18" t="str">
        <f t="shared" si="4"/>
        <v/>
      </c>
      <c r="D965" s="7"/>
      <c r="F965" s="7"/>
      <c r="G965" s="19" t="str">
        <f>IFERROR(__xludf.DUMMYFUNCTION("IF(OR(E965="""",F965&lt;&gt;""Barang Datang""), """",
  IFERROR(
    INDEX(
      SORT(
        FILTER(Jadwal!F:F, Jadwal!C:C=E965),
        FILTER(Jadwal!E:E, Jadwal!C:C=E965),
        FALSE
      ),
      1
    ),
    ""TIDAK ADA JADWAL""
  )
)"),"")</f>
        <v/>
      </c>
      <c r="H965" s="7" t="str">
        <f t="shared" si="2"/>
        <v/>
      </c>
      <c r="L965" s="13"/>
      <c r="M965" s="13"/>
    </row>
    <row r="966" ht="15.75" customHeight="1">
      <c r="A966" s="14" t="str">
        <f t="shared" si="1"/>
        <v/>
      </c>
      <c r="B966" s="17" t="str">
        <f t="shared" si="3"/>
        <v/>
      </c>
      <c r="C966" s="18" t="str">
        <f t="shared" si="4"/>
        <v/>
      </c>
      <c r="D966" s="7"/>
      <c r="F966" s="7"/>
      <c r="G966" s="19" t="str">
        <f>IFERROR(__xludf.DUMMYFUNCTION("IF(OR(E966="""",F966&lt;&gt;""Barang Datang""), """",
  IFERROR(
    INDEX(
      SORT(
        FILTER(Jadwal!F:F, Jadwal!C:C=E966),
        FILTER(Jadwal!E:E, Jadwal!C:C=E966),
        FALSE
      ),
      1
    ),
    ""TIDAK ADA JADWAL""
  )
)"),"")</f>
        <v/>
      </c>
      <c r="H966" s="7" t="str">
        <f t="shared" si="2"/>
        <v/>
      </c>
      <c r="L966" s="13"/>
      <c r="M966" s="13"/>
    </row>
    <row r="967" ht="15.75" customHeight="1">
      <c r="A967" s="14" t="str">
        <f t="shared" si="1"/>
        <v/>
      </c>
      <c r="B967" s="17" t="str">
        <f t="shared" si="3"/>
        <v/>
      </c>
      <c r="C967" s="18" t="str">
        <f t="shared" si="4"/>
        <v/>
      </c>
      <c r="D967" s="7"/>
      <c r="F967" s="7"/>
      <c r="G967" s="19" t="str">
        <f>IFERROR(__xludf.DUMMYFUNCTION("IF(OR(E967="""",F967&lt;&gt;""Barang Datang""), """",
  IFERROR(
    INDEX(
      SORT(
        FILTER(Jadwal!F:F, Jadwal!C:C=E967),
        FILTER(Jadwal!E:E, Jadwal!C:C=E967),
        FALSE
      ),
      1
    ),
    ""TIDAK ADA JADWAL""
  )
)"),"")</f>
        <v/>
      </c>
      <c r="H967" s="7" t="str">
        <f t="shared" si="2"/>
        <v/>
      </c>
      <c r="L967" s="13"/>
      <c r="M967" s="13"/>
    </row>
    <row r="968" ht="15.75" customHeight="1">
      <c r="A968" s="14" t="str">
        <f t="shared" si="1"/>
        <v/>
      </c>
      <c r="B968" s="17" t="str">
        <f t="shared" si="3"/>
        <v/>
      </c>
      <c r="C968" s="18" t="str">
        <f t="shared" si="4"/>
        <v/>
      </c>
      <c r="D968" s="7"/>
      <c r="F968" s="7"/>
      <c r="G968" s="19" t="str">
        <f>IFERROR(__xludf.DUMMYFUNCTION("IF(OR(E968="""",F968&lt;&gt;""Barang Datang""), """",
  IFERROR(
    INDEX(
      SORT(
        FILTER(Jadwal!F:F, Jadwal!C:C=E968),
        FILTER(Jadwal!E:E, Jadwal!C:C=E968),
        FALSE
      ),
      1
    ),
    ""TIDAK ADA JADWAL""
  )
)"),"")</f>
        <v/>
      </c>
      <c r="H968" s="7" t="str">
        <f t="shared" si="2"/>
        <v/>
      </c>
      <c r="L968" s="13"/>
      <c r="M968" s="13"/>
    </row>
    <row r="969" ht="15.75" customHeight="1">
      <c r="A969" s="14" t="str">
        <f t="shared" si="1"/>
        <v/>
      </c>
      <c r="B969" s="17" t="str">
        <f t="shared" si="3"/>
        <v/>
      </c>
      <c r="C969" s="18" t="str">
        <f t="shared" si="4"/>
        <v/>
      </c>
      <c r="D969" s="7"/>
      <c r="F969" s="7"/>
      <c r="G969" s="19" t="str">
        <f>IFERROR(__xludf.DUMMYFUNCTION("IF(OR(E969="""",F969&lt;&gt;""Barang Datang""), """",
  IFERROR(
    INDEX(
      SORT(
        FILTER(Jadwal!F:F, Jadwal!C:C=E969),
        FILTER(Jadwal!E:E, Jadwal!C:C=E969),
        FALSE
      ),
      1
    ),
    ""TIDAK ADA JADWAL""
  )
)"),"")</f>
        <v/>
      </c>
      <c r="H969" s="7" t="str">
        <f t="shared" si="2"/>
        <v/>
      </c>
      <c r="L969" s="13"/>
      <c r="M969" s="13"/>
    </row>
    <row r="970" ht="15.75" customHeight="1">
      <c r="A970" s="14" t="str">
        <f t="shared" si="1"/>
        <v/>
      </c>
      <c r="B970" s="17" t="str">
        <f t="shared" si="3"/>
        <v/>
      </c>
      <c r="C970" s="18" t="str">
        <f t="shared" si="4"/>
        <v/>
      </c>
      <c r="D970" s="7"/>
      <c r="F970" s="7"/>
      <c r="G970" s="19" t="str">
        <f>IFERROR(__xludf.DUMMYFUNCTION("IF(OR(E970="""",F970&lt;&gt;""Barang Datang""), """",
  IFERROR(
    INDEX(
      SORT(
        FILTER(Jadwal!F:F, Jadwal!C:C=E970),
        FILTER(Jadwal!E:E, Jadwal!C:C=E970),
        FALSE
      ),
      1
    ),
    ""TIDAK ADA JADWAL""
  )
)"),"")</f>
        <v/>
      </c>
      <c r="H970" s="7" t="str">
        <f t="shared" si="2"/>
        <v/>
      </c>
      <c r="L970" s="13"/>
      <c r="M970" s="13"/>
    </row>
    <row r="971" ht="15.75" customHeight="1">
      <c r="A971" s="14" t="str">
        <f t="shared" si="1"/>
        <v/>
      </c>
      <c r="B971" s="17" t="str">
        <f t="shared" si="3"/>
        <v/>
      </c>
      <c r="C971" s="18" t="str">
        <f t="shared" si="4"/>
        <v/>
      </c>
      <c r="D971" s="7"/>
      <c r="F971" s="7"/>
      <c r="G971" s="19" t="str">
        <f>IFERROR(__xludf.DUMMYFUNCTION("IF(OR(E971="""",F971&lt;&gt;""Barang Datang""), """",
  IFERROR(
    INDEX(
      SORT(
        FILTER(Jadwal!F:F, Jadwal!C:C=E971),
        FILTER(Jadwal!E:E, Jadwal!C:C=E971),
        FALSE
      ),
      1
    ),
    ""TIDAK ADA JADWAL""
  )
)"),"")</f>
        <v/>
      </c>
      <c r="H971" s="7" t="str">
        <f t="shared" si="2"/>
        <v/>
      </c>
      <c r="L971" s="13"/>
      <c r="M971" s="13"/>
    </row>
    <row r="972" ht="15.75" customHeight="1">
      <c r="A972" s="14" t="str">
        <f t="shared" si="1"/>
        <v/>
      </c>
      <c r="B972" s="17" t="str">
        <f t="shared" si="3"/>
        <v/>
      </c>
      <c r="C972" s="18" t="str">
        <f t="shared" si="4"/>
        <v/>
      </c>
      <c r="D972" s="7"/>
      <c r="F972" s="7"/>
      <c r="G972" s="19" t="str">
        <f>IFERROR(__xludf.DUMMYFUNCTION("IF(OR(E972="""",F972&lt;&gt;""Barang Datang""), """",
  IFERROR(
    INDEX(
      SORT(
        FILTER(Jadwal!F:F, Jadwal!C:C=E972),
        FILTER(Jadwal!E:E, Jadwal!C:C=E972),
        FALSE
      ),
      1
    ),
    ""TIDAK ADA JADWAL""
  )
)"),"")</f>
        <v/>
      </c>
      <c r="H972" s="7" t="str">
        <f t="shared" si="2"/>
        <v/>
      </c>
      <c r="L972" s="13"/>
      <c r="M972" s="13"/>
    </row>
    <row r="973" ht="15.75" customHeight="1">
      <c r="A973" s="14" t="str">
        <f t="shared" si="1"/>
        <v/>
      </c>
      <c r="B973" s="17" t="str">
        <f t="shared" si="3"/>
        <v/>
      </c>
      <c r="C973" s="18" t="str">
        <f t="shared" si="4"/>
        <v/>
      </c>
      <c r="D973" s="7"/>
      <c r="F973" s="7"/>
      <c r="G973" s="19" t="str">
        <f>IFERROR(__xludf.DUMMYFUNCTION("IF(OR(E973="""",F973&lt;&gt;""Barang Datang""), """",
  IFERROR(
    INDEX(
      SORT(
        FILTER(Jadwal!F:F, Jadwal!C:C=E973),
        FILTER(Jadwal!E:E, Jadwal!C:C=E973),
        FALSE
      ),
      1
    ),
    ""TIDAK ADA JADWAL""
  )
)"),"")</f>
        <v/>
      </c>
      <c r="H973" s="7" t="str">
        <f t="shared" si="2"/>
        <v/>
      </c>
      <c r="L973" s="13"/>
      <c r="M973" s="13"/>
    </row>
    <row r="974" ht="15.75" customHeight="1">
      <c r="A974" s="14" t="str">
        <f t="shared" si="1"/>
        <v/>
      </c>
      <c r="B974" s="17" t="str">
        <f t="shared" si="3"/>
        <v/>
      </c>
      <c r="C974" s="18" t="str">
        <f t="shared" si="4"/>
        <v/>
      </c>
      <c r="D974" s="7"/>
      <c r="F974" s="7"/>
      <c r="G974" s="19" t="str">
        <f>IFERROR(__xludf.DUMMYFUNCTION("IF(OR(E974="""",F974&lt;&gt;""Barang Datang""), """",
  IFERROR(
    INDEX(
      SORT(
        FILTER(Jadwal!F:F, Jadwal!C:C=E974),
        FILTER(Jadwal!E:E, Jadwal!C:C=E974),
        FALSE
      ),
      1
    ),
    ""TIDAK ADA JADWAL""
  )
)"),"")</f>
        <v/>
      </c>
      <c r="H974" s="7" t="str">
        <f t="shared" si="2"/>
        <v/>
      </c>
      <c r="L974" s="13"/>
      <c r="M974" s="13"/>
    </row>
    <row r="975" ht="15.75" customHeight="1">
      <c r="A975" s="14" t="str">
        <f t="shared" si="1"/>
        <v/>
      </c>
      <c r="B975" s="17" t="str">
        <f t="shared" si="3"/>
        <v/>
      </c>
      <c r="C975" s="18" t="str">
        <f t="shared" si="4"/>
        <v/>
      </c>
      <c r="D975" s="7"/>
      <c r="F975" s="7"/>
      <c r="G975" s="19" t="str">
        <f>IFERROR(__xludf.DUMMYFUNCTION("IF(OR(E975="""",F975&lt;&gt;""Barang Datang""), """",
  IFERROR(
    INDEX(
      SORT(
        FILTER(Jadwal!F:F, Jadwal!C:C=E975),
        FILTER(Jadwal!E:E, Jadwal!C:C=E975),
        FALSE
      ),
      1
    ),
    ""TIDAK ADA JADWAL""
  )
)"),"")</f>
        <v/>
      </c>
      <c r="H975" s="7" t="str">
        <f t="shared" si="2"/>
        <v/>
      </c>
      <c r="L975" s="13"/>
      <c r="M975" s="13"/>
    </row>
    <row r="976" ht="15.75" customHeight="1">
      <c r="A976" s="14" t="str">
        <f t="shared" si="1"/>
        <v/>
      </c>
      <c r="B976" s="17" t="str">
        <f t="shared" si="3"/>
        <v/>
      </c>
      <c r="C976" s="18" t="str">
        <f t="shared" si="4"/>
        <v/>
      </c>
      <c r="D976" s="7"/>
      <c r="F976" s="7"/>
      <c r="G976" s="19" t="str">
        <f>IFERROR(__xludf.DUMMYFUNCTION("IF(OR(E976="""",F976&lt;&gt;""Barang Datang""), """",
  IFERROR(
    INDEX(
      SORT(
        FILTER(Jadwal!F:F, Jadwal!C:C=E976),
        FILTER(Jadwal!E:E, Jadwal!C:C=E976),
        FALSE
      ),
      1
    ),
    ""TIDAK ADA JADWAL""
  )
)"),"")</f>
        <v/>
      </c>
      <c r="H976" s="7" t="str">
        <f t="shared" si="2"/>
        <v/>
      </c>
      <c r="L976" s="13"/>
      <c r="M976" s="13"/>
    </row>
    <row r="977" ht="15.75" customHeight="1">
      <c r="A977" s="14" t="str">
        <f t="shared" si="1"/>
        <v/>
      </c>
      <c r="B977" s="17" t="str">
        <f t="shared" si="3"/>
        <v/>
      </c>
      <c r="C977" s="18" t="str">
        <f t="shared" si="4"/>
        <v/>
      </c>
      <c r="D977" s="7"/>
      <c r="F977" s="7"/>
      <c r="G977" s="19" t="str">
        <f>IFERROR(__xludf.DUMMYFUNCTION("IF(OR(E977="""",F977&lt;&gt;""Barang Datang""), """",
  IFERROR(
    INDEX(
      SORT(
        FILTER(Jadwal!F:F, Jadwal!C:C=E977),
        FILTER(Jadwal!E:E, Jadwal!C:C=E977),
        FALSE
      ),
      1
    ),
    ""TIDAK ADA JADWAL""
  )
)"),"")</f>
        <v/>
      </c>
      <c r="H977" s="7" t="str">
        <f t="shared" si="2"/>
        <v/>
      </c>
      <c r="L977" s="13"/>
      <c r="M977" s="13"/>
    </row>
    <row r="978" ht="15.75" customHeight="1">
      <c r="A978" s="14" t="str">
        <f t="shared" si="1"/>
        <v/>
      </c>
      <c r="B978" s="17" t="str">
        <f t="shared" si="3"/>
        <v/>
      </c>
      <c r="C978" s="18" t="str">
        <f t="shared" si="4"/>
        <v/>
      </c>
      <c r="D978" s="7"/>
      <c r="F978" s="7"/>
      <c r="G978" s="19" t="str">
        <f>IFERROR(__xludf.DUMMYFUNCTION("IF(OR(E978="""",F978&lt;&gt;""Barang Datang""), """",
  IFERROR(
    INDEX(
      SORT(
        FILTER(Jadwal!F:F, Jadwal!C:C=E978),
        FILTER(Jadwal!E:E, Jadwal!C:C=E978),
        FALSE
      ),
      1
    ),
    ""TIDAK ADA JADWAL""
  )
)"),"")</f>
        <v/>
      </c>
      <c r="H978" s="7" t="str">
        <f t="shared" si="2"/>
        <v/>
      </c>
      <c r="L978" s="13"/>
      <c r="M978" s="13"/>
    </row>
    <row r="979" ht="15.75" customHeight="1">
      <c r="A979" s="14" t="str">
        <f t="shared" si="1"/>
        <v/>
      </c>
      <c r="B979" s="17" t="str">
        <f t="shared" si="3"/>
        <v/>
      </c>
      <c r="C979" s="18" t="str">
        <f t="shared" si="4"/>
        <v/>
      </c>
      <c r="D979" s="7"/>
      <c r="F979" s="7"/>
      <c r="G979" s="19" t="str">
        <f>IFERROR(__xludf.DUMMYFUNCTION("IF(OR(E979="""",F979&lt;&gt;""Barang Datang""), """",
  IFERROR(
    INDEX(
      SORT(
        FILTER(Jadwal!F:F, Jadwal!C:C=E979),
        FILTER(Jadwal!E:E, Jadwal!C:C=E979),
        FALSE
      ),
      1
    ),
    ""TIDAK ADA JADWAL""
  )
)"),"")</f>
        <v/>
      </c>
      <c r="H979" s="7" t="str">
        <f t="shared" si="2"/>
        <v/>
      </c>
      <c r="L979" s="13"/>
      <c r="M979" s="13"/>
    </row>
    <row r="980" ht="15.75" customHeight="1">
      <c r="A980" s="14" t="str">
        <f t="shared" si="1"/>
        <v/>
      </c>
      <c r="B980" s="17" t="str">
        <f t="shared" si="3"/>
        <v/>
      </c>
      <c r="C980" s="18" t="str">
        <f t="shared" si="4"/>
        <v/>
      </c>
      <c r="D980" s="7"/>
      <c r="F980" s="7"/>
      <c r="G980" s="19" t="str">
        <f>IFERROR(__xludf.DUMMYFUNCTION("IF(OR(E980="""",F980&lt;&gt;""Barang Datang""), """",
  IFERROR(
    INDEX(
      SORT(
        FILTER(Jadwal!F:F, Jadwal!C:C=E980),
        FILTER(Jadwal!E:E, Jadwal!C:C=E980),
        FALSE
      ),
      1
    ),
    ""TIDAK ADA JADWAL""
  )
)"),"")</f>
        <v/>
      </c>
      <c r="H980" s="7" t="str">
        <f t="shared" si="2"/>
        <v/>
      </c>
      <c r="L980" s="13"/>
      <c r="M980" s="13"/>
    </row>
    <row r="981" ht="15.75" customHeight="1">
      <c r="A981" s="14" t="str">
        <f t="shared" si="1"/>
        <v/>
      </c>
      <c r="B981" s="17" t="str">
        <f t="shared" si="3"/>
        <v/>
      </c>
      <c r="C981" s="18" t="str">
        <f t="shared" si="4"/>
        <v/>
      </c>
      <c r="D981" s="7"/>
      <c r="F981" s="7"/>
      <c r="G981" s="19" t="str">
        <f>IFERROR(__xludf.DUMMYFUNCTION("IF(OR(E981="""",F981&lt;&gt;""Barang Datang""), """",
  IFERROR(
    INDEX(
      SORT(
        FILTER(Jadwal!F:F, Jadwal!C:C=E981),
        FILTER(Jadwal!E:E, Jadwal!C:C=E981),
        FALSE
      ),
      1
    ),
    ""TIDAK ADA JADWAL""
  )
)"),"")</f>
        <v/>
      </c>
      <c r="H981" s="7" t="str">
        <f t="shared" si="2"/>
        <v/>
      </c>
      <c r="L981" s="13"/>
      <c r="M981" s="13"/>
    </row>
    <row r="982" ht="15.75" customHeight="1">
      <c r="A982" s="14" t="str">
        <f t="shared" si="1"/>
        <v/>
      </c>
      <c r="B982" s="17" t="str">
        <f t="shared" si="3"/>
        <v/>
      </c>
      <c r="C982" s="18" t="str">
        <f t="shared" si="4"/>
        <v/>
      </c>
      <c r="D982" s="7"/>
      <c r="F982" s="7"/>
      <c r="G982" s="19" t="str">
        <f>IFERROR(__xludf.DUMMYFUNCTION("IF(OR(E982="""",F982&lt;&gt;""Barang Datang""), """",
  IFERROR(
    INDEX(
      SORT(
        FILTER(Jadwal!F:F, Jadwal!C:C=E982),
        FILTER(Jadwal!E:E, Jadwal!C:C=E982),
        FALSE
      ),
      1
    ),
    ""TIDAK ADA JADWAL""
  )
)"),"")</f>
        <v/>
      </c>
      <c r="H982" s="7" t="str">
        <f t="shared" si="2"/>
        <v/>
      </c>
      <c r="L982" s="13"/>
      <c r="M982" s="13"/>
    </row>
    <row r="983" ht="15.75" customHeight="1">
      <c r="A983" s="14" t="str">
        <f t="shared" si="1"/>
        <v/>
      </c>
      <c r="B983" s="17" t="str">
        <f t="shared" si="3"/>
        <v/>
      </c>
      <c r="C983" s="18" t="str">
        <f t="shared" si="4"/>
        <v/>
      </c>
      <c r="D983" s="7"/>
      <c r="F983" s="7"/>
      <c r="G983" s="19" t="str">
        <f>IFERROR(__xludf.DUMMYFUNCTION("IF(OR(E983="""",F983&lt;&gt;""Barang Datang""), """",
  IFERROR(
    INDEX(
      SORT(
        FILTER(Jadwal!F:F, Jadwal!C:C=E983),
        FILTER(Jadwal!E:E, Jadwal!C:C=E983),
        FALSE
      ),
      1
    ),
    ""TIDAK ADA JADWAL""
  )
)"),"")</f>
        <v/>
      </c>
      <c r="H983" s="7" t="str">
        <f t="shared" si="2"/>
        <v/>
      </c>
      <c r="L983" s="13"/>
      <c r="M983" s="13"/>
    </row>
    <row r="984" ht="15.75" customHeight="1">
      <c r="A984" s="14" t="str">
        <f t="shared" si="1"/>
        <v/>
      </c>
      <c r="B984" s="17" t="str">
        <f t="shared" si="3"/>
        <v/>
      </c>
      <c r="C984" s="18" t="str">
        <f t="shared" si="4"/>
        <v/>
      </c>
      <c r="D984" s="7"/>
      <c r="F984" s="7"/>
      <c r="G984" s="19" t="str">
        <f>IFERROR(__xludf.DUMMYFUNCTION("IF(OR(E984="""",F984&lt;&gt;""Barang Datang""), """",
  IFERROR(
    INDEX(
      SORT(
        FILTER(Jadwal!F:F, Jadwal!C:C=E984),
        FILTER(Jadwal!E:E, Jadwal!C:C=E984),
        FALSE
      ),
      1
    ),
    ""TIDAK ADA JADWAL""
  )
)"),"")</f>
        <v/>
      </c>
      <c r="H984" s="7" t="str">
        <f t="shared" si="2"/>
        <v/>
      </c>
      <c r="L984" s="13"/>
      <c r="M984" s="13"/>
    </row>
    <row r="985" ht="15.75" customHeight="1">
      <c r="A985" s="14" t="str">
        <f t="shared" si="1"/>
        <v/>
      </c>
      <c r="B985" s="17" t="str">
        <f t="shared" si="3"/>
        <v/>
      </c>
      <c r="C985" s="18" t="str">
        <f t="shared" si="4"/>
        <v/>
      </c>
      <c r="D985" s="7"/>
      <c r="F985" s="7"/>
      <c r="G985" s="19" t="str">
        <f>IFERROR(__xludf.DUMMYFUNCTION("IF(OR(E985="""",F985&lt;&gt;""Barang Datang""), """",
  IFERROR(
    INDEX(
      SORT(
        FILTER(Jadwal!F:F, Jadwal!C:C=E985),
        FILTER(Jadwal!E:E, Jadwal!C:C=E985),
        FALSE
      ),
      1
    ),
    ""TIDAK ADA JADWAL""
  )
)"),"")</f>
        <v/>
      </c>
      <c r="H985" s="7" t="str">
        <f t="shared" si="2"/>
        <v/>
      </c>
      <c r="L985" s="13"/>
      <c r="M985" s="13"/>
    </row>
    <row r="986" ht="15.75" customHeight="1">
      <c r="A986" s="14" t="str">
        <f t="shared" si="1"/>
        <v/>
      </c>
      <c r="B986" s="17" t="str">
        <f t="shared" si="3"/>
        <v/>
      </c>
      <c r="C986" s="18" t="str">
        <f t="shared" si="4"/>
        <v/>
      </c>
      <c r="D986" s="7"/>
      <c r="F986" s="7"/>
      <c r="G986" s="19" t="str">
        <f>IFERROR(__xludf.DUMMYFUNCTION("IF(OR(E986="""",F986&lt;&gt;""Barang Datang""), """",
  IFERROR(
    INDEX(
      SORT(
        FILTER(Jadwal!F:F, Jadwal!C:C=E986),
        FILTER(Jadwal!E:E, Jadwal!C:C=E986),
        FALSE
      ),
      1
    ),
    ""TIDAK ADA JADWAL""
  )
)"),"")</f>
        <v/>
      </c>
      <c r="H986" s="7" t="str">
        <f t="shared" si="2"/>
        <v/>
      </c>
      <c r="L986" s="13"/>
      <c r="M986" s="13"/>
    </row>
    <row r="987" ht="15.75" customHeight="1">
      <c r="A987" s="14" t="str">
        <f t="shared" si="1"/>
        <v/>
      </c>
      <c r="B987" s="17" t="str">
        <f t="shared" si="3"/>
        <v/>
      </c>
      <c r="C987" s="18" t="str">
        <f t="shared" si="4"/>
        <v/>
      </c>
      <c r="D987" s="7"/>
      <c r="F987" s="7"/>
      <c r="G987" s="19" t="str">
        <f>IFERROR(__xludf.DUMMYFUNCTION("IF(OR(E987="""",F987&lt;&gt;""Barang Datang""), """",
  IFERROR(
    INDEX(
      SORT(
        FILTER(Jadwal!F:F, Jadwal!C:C=E987),
        FILTER(Jadwal!E:E, Jadwal!C:C=E987),
        FALSE
      ),
      1
    ),
    ""TIDAK ADA JADWAL""
  )
)"),"")</f>
        <v/>
      </c>
      <c r="H987" s="7" t="str">
        <f t="shared" si="2"/>
        <v/>
      </c>
      <c r="L987" s="13"/>
      <c r="M987" s="13"/>
    </row>
    <row r="988" ht="15.75" customHeight="1">
      <c r="A988" s="14" t="str">
        <f t="shared" si="1"/>
        <v/>
      </c>
      <c r="B988" s="17" t="str">
        <f t="shared" si="3"/>
        <v/>
      </c>
      <c r="C988" s="18" t="str">
        <f t="shared" si="4"/>
        <v/>
      </c>
      <c r="D988" s="7"/>
      <c r="F988" s="7"/>
      <c r="G988" s="19" t="str">
        <f>IFERROR(__xludf.DUMMYFUNCTION("IF(OR(E988="""",F988&lt;&gt;""Barang Datang""), """",
  IFERROR(
    INDEX(
      SORT(
        FILTER(Jadwal!F:F, Jadwal!C:C=E988),
        FILTER(Jadwal!E:E, Jadwal!C:C=E988),
        FALSE
      ),
      1
    ),
    ""TIDAK ADA JADWAL""
  )
)"),"")</f>
        <v/>
      </c>
      <c r="H988" s="7" t="str">
        <f t="shared" si="2"/>
        <v/>
      </c>
      <c r="L988" s="13"/>
      <c r="M988" s="13"/>
    </row>
    <row r="989" ht="15.75" customHeight="1">
      <c r="A989" s="14" t="str">
        <f t="shared" si="1"/>
        <v/>
      </c>
      <c r="B989" s="17" t="str">
        <f t="shared" si="3"/>
        <v/>
      </c>
      <c r="C989" s="18" t="str">
        <f t="shared" si="4"/>
        <v/>
      </c>
      <c r="D989" s="7"/>
      <c r="F989" s="7"/>
      <c r="G989" s="19" t="str">
        <f>IFERROR(__xludf.DUMMYFUNCTION("IF(OR(E989="""",F989&lt;&gt;""Barang Datang""), """",
  IFERROR(
    INDEX(
      SORT(
        FILTER(Jadwal!F:F, Jadwal!C:C=E989),
        FILTER(Jadwal!E:E, Jadwal!C:C=E989),
        FALSE
      ),
      1
    ),
    ""TIDAK ADA JADWAL""
  )
)"),"")</f>
        <v/>
      </c>
      <c r="H989" s="7" t="str">
        <f t="shared" si="2"/>
        <v/>
      </c>
      <c r="L989" s="13"/>
      <c r="M989" s="13"/>
    </row>
    <row r="990" ht="15.75" customHeight="1">
      <c r="A990" s="14" t="str">
        <f t="shared" si="1"/>
        <v/>
      </c>
      <c r="B990" s="17" t="str">
        <f t="shared" si="3"/>
        <v/>
      </c>
      <c r="C990" s="18" t="str">
        <f t="shared" si="4"/>
        <v/>
      </c>
      <c r="D990" s="7"/>
      <c r="F990" s="7"/>
      <c r="G990" s="19" t="str">
        <f>IFERROR(__xludf.DUMMYFUNCTION("IF(OR(E990="""",F990&lt;&gt;""Barang Datang""), """",
  IFERROR(
    INDEX(
      SORT(
        FILTER(Jadwal!F:F, Jadwal!C:C=E990),
        FILTER(Jadwal!E:E, Jadwal!C:C=E990),
        FALSE
      ),
      1
    ),
    ""TIDAK ADA JADWAL""
  )
)"),"")</f>
        <v/>
      </c>
      <c r="H990" s="7" t="str">
        <f t="shared" si="2"/>
        <v/>
      </c>
      <c r="L990" s="13"/>
      <c r="M990" s="13"/>
    </row>
    <row r="991" ht="15.75" customHeight="1">
      <c r="A991" s="14" t="str">
        <f t="shared" si="1"/>
        <v/>
      </c>
      <c r="B991" s="17" t="str">
        <f t="shared" si="3"/>
        <v/>
      </c>
      <c r="C991" s="18" t="str">
        <f t="shared" si="4"/>
        <v/>
      </c>
      <c r="D991" s="7"/>
      <c r="F991" s="7"/>
      <c r="G991" s="19" t="str">
        <f>IFERROR(__xludf.DUMMYFUNCTION("IF(OR(E991="""",F991&lt;&gt;""Barang Datang""), """",
  IFERROR(
    INDEX(
      SORT(
        FILTER(Jadwal!F:F, Jadwal!C:C=E991),
        FILTER(Jadwal!E:E, Jadwal!C:C=E991),
        FALSE
      ),
      1
    ),
    ""TIDAK ADA JADWAL""
  )
)"),"")</f>
        <v/>
      </c>
      <c r="H991" s="7" t="str">
        <f t="shared" si="2"/>
        <v/>
      </c>
      <c r="L991" s="13"/>
      <c r="M991" s="13"/>
    </row>
    <row r="992" ht="15.75" customHeight="1">
      <c r="A992" s="14" t="str">
        <f t="shared" si="1"/>
        <v/>
      </c>
      <c r="B992" s="17" t="str">
        <f t="shared" si="3"/>
        <v/>
      </c>
      <c r="C992" s="18" t="str">
        <f t="shared" si="4"/>
        <v/>
      </c>
      <c r="D992" s="7"/>
      <c r="F992" s="7"/>
      <c r="G992" s="19" t="str">
        <f>IFERROR(__xludf.DUMMYFUNCTION("IF(OR(E992="""",F992&lt;&gt;""Barang Datang""), """",
  IFERROR(
    INDEX(
      SORT(
        FILTER(Jadwal!F:F, Jadwal!C:C=E992),
        FILTER(Jadwal!E:E, Jadwal!C:C=E992),
        FALSE
      ),
      1
    ),
    ""TIDAK ADA JADWAL""
  )
)"),"")</f>
        <v/>
      </c>
      <c r="H992" s="7" t="str">
        <f t="shared" si="2"/>
        <v/>
      </c>
      <c r="L992" s="13"/>
      <c r="M992" s="13"/>
    </row>
    <row r="993" ht="15.75" customHeight="1">
      <c r="A993" s="14" t="str">
        <f t="shared" si="1"/>
        <v/>
      </c>
      <c r="B993" s="17" t="str">
        <f t="shared" si="3"/>
        <v/>
      </c>
      <c r="C993" s="18" t="str">
        <f t="shared" si="4"/>
        <v/>
      </c>
      <c r="D993" s="7"/>
      <c r="F993" s="7"/>
      <c r="G993" s="19" t="str">
        <f>IFERROR(__xludf.DUMMYFUNCTION("IF(OR(E993="""",F993&lt;&gt;""Barang Datang""), """",
  IFERROR(
    INDEX(
      SORT(
        FILTER(Jadwal!F:F, Jadwal!C:C=E993),
        FILTER(Jadwal!E:E, Jadwal!C:C=E993),
        FALSE
      ),
      1
    ),
    ""TIDAK ADA JADWAL""
  )
)"),"")</f>
        <v/>
      </c>
      <c r="H993" s="7" t="str">
        <f t="shared" si="2"/>
        <v/>
      </c>
      <c r="L993" s="13"/>
      <c r="M993" s="13"/>
    </row>
    <row r="994" ht="15.75" customHeight="1">
      <c r="A994" s="14" t="str">
        <f t="shared" si="1"/>
        <v/>
      </c>
      <c r="B994" s="17" t="str">
        <f t="shared" si="3"/>
        <v/>
      </c>
      <c r="C994" s="18" t="str">
        <f t="shared" si="4"/>
        <v/>
      </c>
      <c r="D994" s="7"/>
      <c r="F994" s="7"/>
      <c r="G994" s="19" t="str">
        <f>IFERROR(__xludf.DUMMYFUNCTION("IF(OR(E994="""",F994&lt;&gt;""Barang Datang""), """",
  IFERROR(
    INDEX(
      SORT(
        FILTER(Jadwal!F:F, Jadwal!C:C=E994),
        FILTER(Jadwal!E:E, Jadwal!C:C=E994),
        FALSE
      ),
      1
    ),
    ""TIDAK ADA JADWAL""
  )
)"),"")</f>
        <v/>
      </c>
      <c r="H994" s="7" t="str">
        <f t="shared" si="2"/>
        <v/>
      </c>
      <c r="L994" s="13"/>
      <c r="M994" s="13"/>
    </row>
    <row r="995" ht="15.75" customHeight="1">
      <c r="A995" s="14" t="str">
        <f t="shared" si="1"/>
        <v/>
      </c>
      <c r="B995" s="17" t="str">
        <f t="shared" si="3"/>
        <v/>
      </c>
      <c r="C995" s="18" t="str">
        <f t="shared" si="4"/>
        <v/>
      </c>
      <c r="D995" s="7"/>
      <c r="F995" s="7"/>
      <c r="G995" s="19" t="str">
        <f>IFERROR(__xludf.DUMMYFUNCTION("IF(OR(E995="""",F995&lt;&gt;""Barang Datang""), """",
  IFERROR(
    INDEX(
      SORT(
        FILTER(Jadwal!F:F, Jadwal!C:C=E995),
        FILTER(Jadwal!E:E, Jadwal!C:C=E995),
        FALSE
      ),
      1
    ),
    ""TIDAK ADA JADWAL""
  )
)"),"")</f>
        <v/>
      </c>
      <c r="H995" s="7" t="str">
        <f t="shared" si="2"/>
        <v/>
      </c>
      <c r="L995" s="13"/>
      <c r="M995" s="13"/>
    </row>
    <row r="996" ht="15.75" customHeight="1">
      <c r="A996" s="14" t="str">
        <f t="shared" si="1"/>
        <v/>
      </c>
      <c r="B996" s="17" t="str">
        <f t="shared" si="3"/>
        <v/>
      </c>
      <c r="C996" s="18" t="str">
        <f t="shared" si="4"/>
        <v/>
      </c>
      <c r="D996" s="7"/>
      <c r="F996" s="7"/>
      <c r="G996" s="19" t="str">
        <f>IFERROR(__xludf.DUMMYFUNCTION("IF(OR(E996="""",F996&lt;&gt;""Barang Datang""), """",
  IFERROR(
    INDEX(
      SORT(
        FILTER(Jadwal!F:F, Jadwal!C:C=E996),
        FILTER(Jadwal!E:E, Jadwal!C:C=E996),
        FALSE
      ),
      1
    ),
    ""TIDAK ADA JADWAL""
  )
)"),"")</f>
        <v/>
      </c>
      <c r="H996" s="7" t="str">
        <f t="shared" si="2"/>
        <v/>
      </c>
      <c r="L996" s="13"/>
      <c r="M996" s="13"/>
    </row>
    <row r="997" ht="15.75" customHeight="1">
      <c r="A997" s="14" t="str">
        <f t="shared" si="1"/>
        <v/>
      </c>
      <c r="B997" s="17" t="str">
        <f t="shared" si="3"/>
        <v/>
      </c>
      <c r="C997" s="18" t="str">
        <f t="shared" si="4"/>
        <v/>
      </c>
      <c r="D997" s="7"/>
      <c r="F997" s="7"/>
      <c r="G997" s="19" t="str">
        <f>IFERROR(__xludf.DUMMYFUNCTION("IF(OR(E997="""",F997&lt;&gt;""Barang Datang""), """",
  IFERROR(
    INDEX(
      SORT(
        FILTER(Jadwal!F:F, Jadwal!C:C=E997),
        FILTER(Jadwal!E:E, Jadwal!C:C=E997),
        FALSE
      ),
      1
    ),
    ""TIDAK ADA JADWAL""
  )
)"),"")</f>
        <v/>
      </c>
      <c r="H997" s="7" t="str">
        <f t="shared" si="2"/>
        <v/>
      </c>
      <c r="L997" s="13"/>
      <c r="M997" s="13"/>
    </row>
    <row r="998" ht="15.75" customHeight="1">
      <c r="A998" s="14" t="str">
        <f t="shared" si="1"/>
        <v/>
      </c>
      <c r="B998" s="17" t="str">
        <f t="shared" si="3"/>
        <v/>
      </c>
      <c r="C998" s="18" t="str">
        <f t="shared" si="4"/>
        <v/>
      </c>
      <c r="D998" s="7"/>
      <c r="F998" s="7"/>
      <c r="G998" s="19" t="str">
        <f>IFERROR(__xludf.DUMMYFUNCTION("IF(OR(E998="""",F998&lt;&gt;""Barang Datang""), """",
  IFERROR(
    INDEX(
      SORT(
        FILTER(Jadwal!F:F, Jadwal!C:C=E998),
        FILTER(Jadwal!E:E, Jadwal!C:C=E998),
        FALSE
      ),
      1
    ),
    ""TIDAK ADA JADWAL""
  )
)"),"")</f>
        <v/>
      </c>
      <c r="H998" s="7" t="str">
        <f t="shared" si="2"/>
        <v/>
      </c>
      <c r="L998" s="13"/>
      <c r="M998" s="13"/>
    </row>
    <row r="999" ht="15.75" customHeight="1">
      <c r="A999" s="14" t="str">
        <f t="shared" si="1"/>
        <v/>
      </c>
      <c r="B999" s="17" t="str">
        <f t="shared" si="3"/>
        <v/>
      </c>
      <c r="C999" s="18" t="str">
        <f t="shared" si="4"/>
        <v/>
      </c>
      <c r="D999" s="7"/>
      <c r="F999" s="7"/>
      <c r="G999" s="19" t="str">
        <f>IFERROR(__xludf.DUMMYFUNCTION("IF(OR(E999="""",F999&lt;&gt;""Barang Datang""), """",
  IFERROR(
    INDEX(
      SORT(
        FILTER(Jadwal!F:F, Jadwal!C:C=E999),
        FILTER(Jadwal!E:E, Jadwal!C:C=E999),
        FALSE
      ),
      1
    ),
    ""TIDAK ADA JADWAL""
  )
)"),"")</f>
        <v/>
      </c>
      <c r="H999" s="7" t="str">
        <f t="shared" si="2"/>
        <v/>
      </c>
      <c r="L999" s="13"/>
      <c r="M999" s="13"/>
    </row>
    <row r="1000" ht="15.75" customHeight="1">
      <c r="A1000" s="14" t="str">
        <f t="shared" si="1"/>
        <v/>
      </c>
      <c r="B1000" s="17" t="str">
        <f t="shared" si="3"/>
        <v/>
      </c>
      <c r="C1000" s="18" t="str">
        <f t="shared" si="4"/>
        <v/>
      </c>
      <c r="D1000" s="7"/>
      <c r="F1000" s="7"/>
      <c r="G1000" s="19" t="str">
        <f>IFERROR(__xludf.DUMMYFUNCTION("IF(OR(E1000="""",F1000&lt;&gt;""Barang Datang""), """",
  IFERROR(
    INDEX(
      SORT(
        FILTER(Jadwal!F:F, Jadwal!C:C=E1000),
        FILTER(Jadwal!E:E, Jadwal!C:C=E1000),
        FALSE
      ),
      1
    ),
    ""TIDAK ADA JADWAL""
  )
)"),"")</f>
        <v/>
      </c>
      <c r="H1000" s="7" t="str">
        <f t="shared" si="2"/>
        <v/>
      </c>
      <c r="L1000" s="13"/>
      <c r="M1000" s="13"/>
    </row>
    <row r="1001" ht="15.75" customHeight="1">
      <c r="A1001" s="14" t="str">
        <f t="shared" si="1"/>
        <v/>
      </c>
      <c r="B1001" s="17" t="str">
        <f t="shared" si="3"/>
        <v/>
      </c>
      <c r="C1001" s="18" t="str">
        <f t="shared" si="4"/>
        <v/>
      </c>
      <c r="D1001" s="7"/>
      <c r="F1001" s="7"/>
      <c r="G1001" s="19" t="str">
        <f>IFERROR(__xludf.DUMMYFUNCTION("IF(OR(E1001="""",F1001&lt;&gt;""Barang Datang""), """",
  IFERROR(
    INDEX(
      SORT(
        FILTER(Jadwal!F:F, Jadwal!C:C=E1001),
        FILTER(Jadwal!E:E, Jadwal!C:C=E1001),
        FALSE
      ),
      1
    ),
    ""TIDAK ADA JADWAL""
  )
)"),"")</f>
        <v/>
      </c>
      <c r="H1001" s="7" t="str">
        <f t="shared" si="2"/>
        <v/>
      </c>
      <c r="L1001" s="13"/>
      <c r="M1001" s="13"/>
    </row>
  </sheetData>
  <conditionalFormatting sqref="J2:K1001">
    <cfRule type="expression" dxfId="0" priority="1">
      <formula>AND($G2&lt;&gt;"", $J2+$K2&lt;&gt;$G2)
</formula>
    </cfRule>
  </conditionalFormatting>
  <dataValidations>
    <dataValidation type="list" allowBlank="1" showErrorMessage="1" sqref="F3:F1001">
      <formula1>"Barang Datang,Terjual,Retur Pembelian,Retur Penjualan,Rusak Internal,Dipakai Sendiri,Adjusment"</formula1>
    </dataValidation>
    <dataValidation type="list" allowBlank="1" showErrorMessage="1" sqref="D25:D1001">
      <formula1>'Master Barang'!B22:B1001</formula1>
    </dataValidation>
    <dataValidation type="list" allowBlank="1" showErrorMessage="1" sqref="F2">
      <formula1>"Barang Datang,Terjual,Retur Pembelian,Retur Penjualan,Rusak Internal,Dipakai Sendiri"</formula1>
    </dataValidation>
    <dataValidation type="list" allowBlank="1" showErrorMessage="1" sqref="D14:D24">
      <formula1>'Master Barang'!B12:B1001</formula1>
    </dataValidation>
    <dataValidation type="list" allowBlank="1" showErrorMessage="1" sqref="D2:D13">
      <formula1>'Master Barang'!B1:B1001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1.29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