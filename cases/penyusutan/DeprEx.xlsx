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utorial" sheetId="1" r:id="rId4"/>
    <sheet state="visible" name="SLM" sheetId="2" r:id="rId5"/>
    <sheet state="visible" name="DBM" sheetId="3" r:id="rId6"/>
    <sheet state="visible" name="DDM" sheetId="4" r:id="rId7"/>
    <sheet state="visible" name="UPM" sheetId="5" r:id="rId8"/>
    <sheet state="visible" name="SYM" sheetId="6" r:id="rId9"/>
  </sheets>
  <definedNames/>
  <calcPr/>
</workbook>
</file>

<file path=xl/sharedStrings.xml><?xml version="1.0" encoding="utf-8"?>
<sst xmlns="http://schemas.openxmlformats.org/spreadsheetml/2006/main" count="108" uniqueCount="50">
  <si>
    <t xml:space="preserve">TATA CARA PENGGUNAAN CHEAT SHEET PENYUSUTAN </t>
  </si>
  <si>
    <t>Tentukan Metode Apa Yang Akan Digunakan</t>
  </si>
  <si>
    <t>SLM</t>
  </si>
  <si>
    <t>Straight Line Method</t>
  </si>
  <si>
    <t>Metode Garis Lurus</t>
  </si>
  <si>
    <t>DBM</t>
  </si>
  <si>
    <t>Declining Balance Method</t>
  </si>
  <si>
    <t>Metode Saldo Menurun</t>
  </si>
  <si>
    <t>DDM</t>
  </si>
  <si>
    <t>Double Declining Method</t>
  </si>
  <si>
    <t>Metode Saldo Menurun Ganda</t>
  </si>
  <si>
    <t>UPM</t>
  </si>
  <si>
    <t>Unit Producted Method</t>
  </si>
  <si>
    <t>Metode Produksi Unit</t>
  </si>
  <si>
    <t>SYM</t>
  </si>
  <si>
    <t>Sum of Year Digit Method</t>
  </si>
  <si>
    <t>Metode Jumlah Digit Tahun</t>
  </si>
  <si>
    <t>Isikan Informasi Terkait Aktiva Tetap Pada Baris Yang Diberi Border Tebal Dan Tidak Ada Warna Di Sel nya</t>
  </si>
  <si>
    <t>Tabel Ini Disusun Secara Mandiri dan Sesuai Dengan PSAK Yang Berlaku di Indonesia</t>
  </si>
  <si>
    <t>Perhitungan Dilakukan Secara Otomatis Dengan Rumus, Dimohon Tidak Merubah Apapun Kecuali Di Tempat yang Diizinkan, Jika Ingin Mengetahui Bagaimana Perhitungan Manualnya, Silahkan Hubungi Penyusun, Atau Tanya Langsung ke Google, Gemini, Auto pilot, Atau Chatgpt, Informasi Sudah Tersedia Luas</t>
  </si>
  <si>
    <t>Gunakan Google Spreadsheets Jika Tersedia, Penyusun Khawatir jika Menggunakan Microsoft Excel Akan Terjadi Error dan Bug dikarenakan ada beberapa Rumus yang tidak terdapat di Ms. Excel</t>
  </si>
  <si>
    <t>Terimakasih Atas Perhatian Anda, Semoga Sukses😁😁</t>
  </si>
  <si>
    <t>Cheat Sheet Penyusutan
Metode Garis Lurus</t>
  </si>
  <si>
    <t>NILAI PEROLEHAN</t>
  </si>
  <si>
    <t>ASET DIGUNAKAN PADA</t>
  </si>
  <si>
    <t>AKHIR PERIODE AKUNTANSI</t>
  </si>
  <si>
    <t>UMUR</t>
  </si>
  <si>
    <t>ESTIMASI NILAI SISA</t>
  </si>
  <si>
    <t>PENYUSUTAN PER TAHUN</t>
  </si>
  <si>
    <t>TAHUN</t>
  </si>
  <si>
    <t>TANGGAL</t>
  </si>
  <si>
    <t>Hari</t>
  </si>
  <si>
    <t>Hari
Dalam Setahun</t>
  </si>
  <si>
    <t xml:space="preserve">Nilai
Penyusutan </t>
  </si>
  <si>
    <t>AKUMULASI
PENUYUSUTAN</t>
  </si>
  <si>
    <t>NILAI BUKU</t>
  </si>
  <si>
    <t>Cheat Sheet Penyusutan
Metode Saldo Menurun</t>
  </si>
  <si>
    <t>31/12/2022</t>
  </si>
  <si>
    <t>TINGKAT PENYUSUTAN</t>
  </si>
  <si>
    <t>Cheat Sheet Penyusutan
Metode Saldo Menurun Ganda</t>
  </si>
  <si>
    <t>31/12/2023</t>
  </si>
  <si>
    <t>Cheat Sheet Penyusutan
Metode Unit Produksi</t>
  </si>
  <si>
    <t>31/12/2020</t>
  </si>
  <si>
    <t>KAPASITAS PRODUKSI</t>
  </si>
  <si>
    <t>Produksi
Tahun Ini</t>
  </si>
  <si>
    <t>Cheat Sheet Penyusutan
Metode Jumlah Angka Tahun</t>
  </si>
  <si>
    <t>JUMLAH ANGKA TAHUN</t>
  </si>
  <si>
    <t>TRUE UP</t>
  </si>
  <si>
    <t>Denominator</t>
  </si>
  <si>
    <t>FULL YEAR FRACTION</t>
  </si>
</sst>
</file>

<file path=xl/styles.xml><?xml version="1.0" encoding="utf-8"?>
<styleSheet xmlns="http://schemas.openxmlformats.org/spreadsheetml/2006/main" xmlns:x14ac="http://schemas.microsoft.com/office/spreadsheetml/2009/9/ac" xmlns:mc="http://schemas.openxmlformats.org/markup-compatibility/2006">
  <numFmts count="8">
    <numFmt numFmtId="164" formatCode="_-[$Rp-421]* #,##0_-;_-[$Rp-421]* \-#,##0_-;_-[$Rp-421]* &quot;-&quot;??_-;_-@"/>
    <numFmt numFmtId="165" formatCode="mm/dd/yyyy"/>
    <numFmt numFmtId="166" formatCode="[$Rp-421]#,##0"/>
    <numFmt numFmtId="167" formatCode="_-[$Rp-421]* #,##0.00_-;_-[$Rp-421]* \-#,##0.00_-;_-[$Rp-421]* &quot;-&quot;??_-;_-@"/>
    <numFmt numFmtId="168" formatCode="m/d/yyyy"/>
    <numFmt numFmtId="169" formatCode="mm/dd/yy"/>
    <numFmt numFmtId="170" formatCode="0.0000%"/>
    <numFmt numFmtId="171" formatCode="d-MMM-yyyy"/>
  </numFmts>
  <fonts count="12">
    <font>
      <sz val="10.0"/>
      <color rgb="FF000000"/>
      <name val="Arial"/>
      <scheme val="minor"/>
    </font>
    <font>
      <b/>
      <sz val="12.0"/>
      <name val="Calibri"/>
    </font>
    <font>
      <sz val="10.0"/>
      <name val="Calibri"/>
    </font>
    <font>
      <sz val="10.0"/>
      <color rgb="FF000000"/>
      <name val="Calibri"/>
    </font>
    <font>
      <b/>
      <sz val="10.0"/>
      <name val="Calibri"/>
    </font>
    <font>
      <b/>
      <sz val="10.0"/>
      <name val="Arial"/>
    </font>
    <font/>
    <font>
      <sz val="10.0"/>
      <name val="Arial"/>
    </font>
    <font>
      <sz val="11.0"/>
      <name val="Arial"/>
    </font>
    <font>
      <sz val="11.0"/>
      <color rgb="FF000000"/>
      <name val="Arial"/>
    </font>
    <font>
      <sz val="10.0"/>
      <color rgb="FF000000"/>
      <name val="Arial"/>
    </font>
    <font>
      <b/>
      <sz val="24.0"/>
    </font>
  </fonts>
  <fills count="3">
    <fill>
      <patternFill patternType="none"/>
    </fill>
    <fill>
      <patternFill patternType="lightGray"/>
    </fill>
    <fill>
      <patternFill patternType="solid">
        <fgColor rgb="FFFF0000"/>
        <bgColor rgb="FFFF0000"/>
      </patternFill>
    </fill>
  </fills>
  <borders count="10">
    <border/>
    <border>
      <left style="thick">
        <color rgb="FF000000"/>
      </left>
      <top style="thick">
        <color rgb="FF000000"/>
      </top>
      <bottom style="thick">
        <color rgb="FF000000"/>
      </bottom>
    </border>
    <border>
      <right style="thick">
        <color rgb="FF000000"/>
      </right>
      <top style="thick">
        <color rgb="FF000000"/>
      </top>
      <bottom style="thick">
        <color rgb="FF000000"/>
      </bottom>
    </border>
    <border>
      <left style="thick">
        <color rgb="FF000000"/>
      </left>
      <right style="thick">
        <color rgb="FF000000"/>
      </right>
      <top style="thick">
        <color rgb="FF000000"/>
      </top>
      <bottom style="thick">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bottom style="thin">
        <color rgb="FF000000"/>
      </bottom>
    </border>
  </borders>
  <cellStyleXfs count="1">
    <xf borderId="0" fillId="0" fontId="0" numFmtId="0" applyAlignment="1" applyFont="1"/>
  </cellStyleXfs>
  <cellXfs count="64">
    <xf borderId="0" fillId="0" fontId="0" numFmtId="0" xfId="0" applyAlignment="1" applyFont="1">
      <alignment readingOrder="0" shrinkToFit="0" vertical="bottom" wrapText="0"/>
    </xf>
    <xf borderId="0" fillId="0" fontId="1" numFmtId="0" xfId="0" applyAlignment="1" applyFont="1">
      <alignment horizontal="center" vertical="center"/>
    </xf>
    <xf borderId="0" fillId="0" fontId="1" numFmtId="0" xfId="0" applyAlignment="1" applyFont="1">
      <alignment horizontal="center" shrinkToFit="0" vertical="center" wrapText="1"/>
    </xf>
    <xf borderId="0" fillId="0" fontId="2" numFmtId="0" xfId="0" applyAlignment="1" applyFont="1">
      <alignment horizontal="center" vertical="center"/>
    </xf>
    <xf borderId="0" fillId="0" fontId="2" numFmtId="0" xfId="0" applyAlignment="1" applyFont="1">
      <alignment horizontal="center"/>
    </xf>
    <xf borderId="0" fillId="0" fontId="2" numFmtId="0" xfId="0" applyAlignment="1" applyFont="1">
      <alignment horizontal="left"/>
    </xf>
    <xf borderId="0" fillId="0" fontId="2" numFmtId="0" xfId="0" applyAlignment="1" applyFont="1">
      <alignment vertical="center"/>
    </xf>
    <xf borderId="0" fillId="0" fontId="3" numFmtId="0" xfId="0" applyAlignment="1" applyFont="1">
      <alignment vertical="center"/>
    </xf>
    <xf borderId="0" fillId="0" fontId="3" numFmtId="0" xfId="0" applyAlignment="1" applyFont="1">
      <alignment horizontal="left" shrinkToFit="0" vertical="center" wrapText="1"/>
    </xf>
    <xf borderId="0" fillId="0" fontId="3" numFmtId="0" xfId="0" applyAlignment="1" applyFont="1">
      <alignment shrinkToFit="0" vertical="center" wrapText="1"/>
    </xf>
    <xf borderId="0" fillId="0" fontId="2" numFmtId="0" xfId="0" applyAlignment="1" applyFont="1">
      <alignment horizontal="left" shrinkToFit="0" wrapText="1"/>
    </xf>
    <xf borderId="0" fillId="0" fontId="2" numFmtId="0" xfId="0" applyAlignment="1" applyFont="1">
      <alignment horizontal="left" shrinkToFit="0" vertical="center" wrapText="1"/>
    </xf>
    <xf borderId="0" fillId="0" fontId="4" numFmtId="0" xfId="0" applyAlignment="1" applyFont="1">
      <alignment horizontal="center" vertical="center"/>
    </xf>
    <xf borderId="1" fillId="0" fontId="5" numFmtId="0" xfId="0" applyBorder="1" applyFont="1"/>
    <xf borderId="2" fillId="0" fontId="6" numFmtId="0" xfId="0" applyBorder="1" applyFont="1"/>
    <xf borderId="3" fillId="0" fontId="5" numFmtId="164" xfId="0" applyAlignment="1" applyBorder="1" applyFont="1" applyNumberFormat="1">
      <alignment horizontal="right" readingOrder="0"/>
    </xf>
    <xf borderId="0" fillId="0" fontId="7" numFmtId="0" xfId="0" applyFont="1"/>
    <xf borderId="3" fillId="0" fontId="5" numFmtId="165" xfId="0" applyAlignment="1" applyBorder="1" applyFont="1" applyNumberFormat="1">
      <alignment horizontal="right" readingOrder="0"/>
    </xf>
    <xf borderId="3" fillId="0" fontId="5" numFmtId="14" xfId="0" applyAlignment="1" applyBorder="1" applyFont="1" applyNumberFormat="1">
      <alignment horizontal="right" readingOrder="0"/>
    </xf>
    <xf borderId="3" fillId="0" fontId="5" numFmtId="0" xfId="0" applyAlignment="1" applyBorder="1" applyFont="1">
      <alignment horizontal="right" readingOrder="0"/>
    </xf>
    <xf borderId="3" fillId="0" fontId="5" numFmtId="166" xfId="0" applyAlignment="1" applyBorder="1" applyFont="1" applyNumberFormat="1">
      <alignment horizontal="right" readingOrder="0"/>
    </xf>
    <xf borderId="1" fillId="2" fontId="5" numFmtId="9" xfId="0" applyBorder="1" applyFill="1" applyFont="1" applyNumberFormat="1"/>
    <xf borderId="3" fillId="2" fontId="5" numFmtId="3" xfId="0" applyAlignment="1" applyBorder="1" applyFont="1" applyNumberFormat="1">
      <alignment horizontal="right"/>
    </xf>
    <xf borderId="0" fillId="0" fontId="7" numFmtId="164" xfId="0" applyAlignment="1" applyFont="1" applyNumberFormat="1">
      <alignment horizontal="right"/>
    </xf>
    <xf borderId="4" fillId="0" fontId="7" numFmtId="0" xfId="0" applyAlignment="1" applyBorder="1" applyFont="1">
      <alignment horizontal="center" vertical="center"/>
    </xf>
    <xf borderId="5" fillId="0" fontId="7" numFmtId="0" xfId="0" applyAlignment="1" applyBorder="1" applyFont="1">
      <alignment horizontal="center" vertical="center"/>
    </xf>
    <xf borderId="6" fillId="0" fontId="6" numFmtId="0" xfId="0" applyBorder="1" applyFont="1"/>
    <xf borderId="7" fillId="0" fontId="7" numFmtId="0" xfId="0" applyAlignment="1" applyBorder="1" applyFont="1">
      <alignment horizontal="center"/>
    </xf>
    <xf borderId="8" fillId="0" fontId="7" numFmtId="14" xfId="0" applyAlignment="1" applyBorder="1" applyFont="1" applyNumberFormat="1">
      <alignment horizontal="right"/>
    </xf>
    <xf borderId="8" fillId="0" fontId="7" numFmtId="0" xfId="0" applyAlignment="1" applyBorder="1" applyFont="1">
      <alignment horizontal="right"/>
    </xf>
    <xf borderId="9" fillId="0" fontId="7" numFmtId="0" xfId="0" applyAlignment="1" applyBorder="1" applyFont="1">
      <alignment horizontal="right"/>
    </xf>
    <xf borderId="7" fillId="0" fontId="7" numFmtId="167" xfId="0" applyAlignment="1" applyBorder="1" applyFont="1" applyNumberFormat="1">
      <alignment horizontal="right"/>
    </xf>
    <xf borderId="8" fillId="0" fontId="7" numFmtId="167" xfId="0" applyAlignment="1" applyBorder="1" applyFont="1" applyNumberFormat="1">
      <alignment horizontal="right"/>
    </xf>
    <xf borderId="7" fillId="0" fontId="7" numFmtId="164" xfId="0" applyAlignment="1" applyBorder="1" applyFont="1" applyNumberFormat="1">
      <alignment horizontal="right"/>
    </xf>
    <xf borderId="8" fillId="0" fontId="7" numFmtId="168" xfId="0" applyAlignment="1" applyBorder="1" applyFont="1" applyNumberFormat="1">
      <alignment horizontal="right"/>
    </xf>
    <xf borderId="4" fillId="0" fontId="7" numFmtId="167" xfId="0" applyAlignment="1" applyBorder="1" applyFont="1" applyNumberFormat="1">
      <alignment horizontal="right"/>
    </xf>
    <xf borderId="8" fillId="0" fontId="7" numFmtId="164" xfId="0" applyAlignment="1" applyBorder="1" applyFont="1" applyNumberFormat="1">
      <alignment horizontal="right"/>
    </xf>
    <xf borderId="1" fillId="2" fontId="5" numFmtId="0" xfId="0" applyBorder="1" applyFont="1"/>
    <xf borderId="3" fillId="2" fontId="5" numFmtId="9" xfId="0" applyAlignment="1" applyBorder="1" applyFont="1" applyNumberFormat="1">
      <alignment horizontal="right"/>
    </xf>
    <xf borderId="0" fillId="0" fontId="7" numFmtId="9" xfId="0" applyAlignment="1" applyFont="1" applyNumberFormat="1">
      <alignment horizontal="right"/>
    </xf>
    <xf borderId="9" fillId="0" fontId="7" numFmtId="167" xfId="0" applyAlignment="1" applyBorder="1" applyFont="1" applyNumberFormat="1">
      <alignment horizontal="right"/>
    </xf>
    <xf borderId="7" fillId="0" fontId="8" numFmtId="164" xfId="0" applyAlignment="1" applyBorder="1" applyFont="1" applyNumberFormat="1">
      <alignment horizontal="right"/>
    </xf>
    <xf borderId="4" fillId="0" fontId="9" numFmtId="164" xfId="0" applyBorder="1" applyFont="1" applyNumberFormat="1"/>
    <xf borderId="3" fillId="0" fontId="5" numFmtId="169" xfId="0" applyAlignment="1" applyBorder="1" applyFont="1" applyNumberFormat="1">
      <alignment horizontal="right" readingOrder="0"/>
    </xf>
    <xf borderId="3" fillId="0" fontId="5" numFmtId="0" xfId="0" applyAlignment="1" applyBorder="1" applyFont="1">
      <alignment horizontal="right"/>
    </xf>
    <xf borderId="3" fillId="2" fontId="5" numFmtId="170" xfId="0" applyAlignment="1" applyBorder="1" applyFont="1" applyNumberFormat="1">
      <alignment horizontal="right"/>
    </xf>
    <xf borderId="4" fillId="0" fontId="7" numFmtId="0" xfId="0" applyAlignment="1" applyBorder="1" applyFont="1">
      <alignment horizontal="center" shrinkToFit="0" vertical="center" wrapText="1"/>
    </xf>
    <xf borderId="0" fillId="0" fontId="7" numFmtId="166" xfId="0" applyAlignment="1" applyFont="1" applyNumberFormat="1">
      <alignment horizontal="right"/>
    </xf>
    <xf borderId="5" fillId="0" fontId="7" numFmtId="0" xfId="0" applyAlignment="1" applyBorder="1" applyFont="1">
      <alignment horizontal="center" vertical="center"/>
    </xf>
    <xf borderId="6" fillId="0" fontId="6" numFmtId="0" xfId="0" applyBorder="1" applyFont="1"/>
    <xf borderId="4" fillId="0" fontId="7" numFmtId="0" xfId="0" applyAlignment="1" applyBorder="1" applyFont="1">
      <alignment horizontal="center" vertical="center"/>
    </xf>
    <xf borderId="6" fillId="0" fontId="7" numFmtId="0" xfId="0" applyAlignment="1" applyBorder="1" applyFont="1">
      <alignment horizontal="center" shrinkToFit="0" vertical="center" wrapText="1"/>
    </xf>
    <xf borderId="8" fillId="0" fontId="7" numFmtId="171" xfId="0" applyAlignment="1" applyBorder="1" applyFont="1" applyNumberFormat="1">
      <alignment horizontal="right"/>
    </xf>
    <xf borderId="4" fillId="0" fontId="7" numFmtId="3" xfId="0" applyAlignment="1" applyBorder="1" applyFont="1" applyNumberFormat="1">
      <alignment horizontal="right" readingOrder="0"/>
    </xf>
    <xf borderId="6" fillId="0" fontId="7" numFmtId="167" xfId="0" applyAlignment="1" applyBorder="1" applyFont="1" applyNumberFormat="1">
      <alignment horizontal="right"/>
    </xf>
    <xf borderId="4" fillId="0" fontId="7" numFmtId="164" xfId="0" applyAlignment="1" applyBorder="1" applyFont="1" applyNumberFormat="1">
      <alignment horizontal="right"/>
    </xf>
    <xf borderId="4" fillId="0" fontId="10" numFmtId="164" xfId="0" applyBorder="1" applyFont="1" applyNumberFormat="1"/>
    <xf borderId="4" fillId="0" fontId="7" numFmtId="3" xfId="0" applyAlignment="1" applyBorder="1" applyFont="1" applyNumberFormat="1">
      <alignment horizontal="right"/>
    </xf>
    <xf borderId="3" fillId="2" fontId="5" numFmtId="0" xfId="0" applyAlignment="1" applyBorder="1" applyFont="1">
      <alignment horizontal="right"/>
    </xf>
    <xf borderId="0" fillId="0" fontId="11" numFmtId="0" xfId="0" applyAlignment="1" applyFont="1">
      <alignment horizontal="center" readingOrder="0" vertical="center"/>
    </xf>
    <xf borderId="4" fillId="0" fontId="7" numFmtId="2" xfId="0" applyAlignment="1" applyBorder="1" applyFont="1" applyNumberFormat="1">
      <alignment horizontal="right"/>
    </xf>
    <xf borderId="4" fillId="0" fontId="7" numFmtId="171" xfId="0" applyAlignment="1" applyBorder="1" applyFont="1" applyNumberFormat="1">
      <alignment horizontal="right"/>
    </xf>
    <xf borderId="6" fillId="0" fontId="7" numFmtId="171" xfId="0" applyAlignment="1" applyBorder="1" applyFont="1" applyNumberFormat="1">
      <alignment horizontal="right"/>
    </xf>
    <xf borderId="0" fillId="0" fontId="6" numFmtId="2"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cap="flat" cmpd="sng" w="6350" algn="ctr">
          <a:solidFill>
            <a:schemeClr val="phClr"/>
          </a:solidFill>
          <a:prstDash val="solid"/>
          <a:miter lim="800000"/>
        </a:ln>
        <a:ln cap="flat" cmpd="sng" w="12700" algn="ctr">
          <a:solidFill>
            <a:schemeClr val="phClr"/>
          </a:solidFill>
          <a:prstDash val="solid"/>
          <a:miter lim="800000"/>
        </a:ln>
        <a:ln cap="flat" cmpd="sng" w="19050" algn="ctr">
          <a:solidFill>
            <a:schemeClr val="phClr"/>
          </a:solidFill>
          <a:prstDash val="solid"/>
          <a:miter lim="800000"/>
        </a:ln>
      </a:lnStyleLst>
      <a:effectStyleLst>
        <a:effectStyle>
          <a:effectLst/>
        </a:effectStyle>
        <a:effectStyle>
          <a:effectLst/>
        </a:effectStyle>
        <a:effectStyle>
          <a:effectLst>
            <a:outerShdw blurRad="57150" rotWithShape="0" algn="ctr" dir="5400000" dist="1905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2" width="5.43"/>
    <col customWidth="1" min="3" max="3" width="5.29"/>
    <col customWidth="1" min="4" max="4" width="23.71"/>
    <col customWidth="1" min="5" max="5" width="8.0"/>
    <col customWidth="1" min="6" max="6" width="14.29"/>
  </cols>
  <sheetData>
    <row r="1">
      <c r="A1" s="1"/>
      <c r="B1" s="2" t="s">
        <v>0</v>
      </c>
    </row>
    <row r="2">
      <c r="A2" s="1"/>
    </row>
    <row r="3">
      <c r="A3" s="3"/>
      <c r="B3" s="4"/>
    </row>
    <row r="4">
      <c r="A4" s="3">
        <v>1.0</v>
      </c>
      <c r="B4" s="5" t="s">
        <v>1</v>
      </c>
    </row>
    <row r="5">
      <c r="A5" s="3"/>
      <c r="B5" s="3">
        <v>1.0</v>
      </c>
      <c r="C5" s="6" t="s">
        <v>2</v>
      </c>
      <c r="D5" s="7" t="s">
        <v>3</v>
      </c>
      <c r="E5" s="7" t="s">
        <v>4</v>
      </c>
    </row>
    <row r="6">
      <c r="A6" s="3"/>
      <c r="B6" s="3">
        <v>2.0</v>
      </c>
      <c r="C6" s="6" t="s">
        <v>5</v>
      </c>
      <c r="D6" s="7" t="s">
        <v>6</v>
      </c>
      <c r="E6" s="7" t="s">
        <v>7</v>
      </c>
    </row>
    <row r="7">
      <c r="A7" s="3"/>
      <c r="B7" s="3">
        <v>3.0</v>
      </c>
      <c r="C7" s="6" t="s">
        <v>8</v>
      </c>
      <c r="D7" s="7" t="s">
        <v>9</v>
      </c>
      <c r="E7" s="8" t="s">
        <v>10</v>
      </c>
    </row>
    <row r="8">
      <c r="A8" s="3"/>
      <c r="B8" s="3">
        <v>4.0</v>
      </c>
      <c r="C8" s="6" t="s">
        <v>11</v>
      </c>
      <c r="D8" s="7" t="s">
        <v>12</v>
      </c>
      <c r="E8" s="7" t="s">
        <v>13</v>
      </c>
    </row>
    <row r="9">
      <c r="A9" s="3"/>
      <c r="B9" s="3">
        <v>5.0</v>
      </c>
      <c r="C9" s="6" t="s">
        <v>14</v>
      </c>
      <c r="D9" s="7" t="s">
        <v>15</v>
      </c>
      <c r="E9" s="9" t="s">
        <v>16</v>
      </c>
    </row>
    <row r="10">
      <c r="A10" s="3"/>
      <c r="B10" s="4"/>
    </row>
    <row r="11">
      <c r="A11" s="3">
        <v>2.0</v>
      </c>
      <c r="B11" s="10" t="s">
        <v>17</v>
      </c>
    </row>
    <row r="12">
      <c r="A12" s="3">
        <v>3.0</v>
      </c>
      <c r="B12" s="11" t="s">
        <v>18</v>
      </c>
    </row>
    <row r="13">
      <c r="A13" s="3">
        <v>4.0</v>
      </c>
      <c r="B13" s="11" t="s">
        <v>19</v>
      </c>
    </row>
    <row r="14">
      <c r="A14" s="3">
        <v>5.0</v>
      </c>
      <c r="B14" s="11" t="s">
        <v>20</v>
      </c>
    </row>
    <row r="15">
      <c r="A15" s="3">
        <v>6.0</v>
      </c>
      <c r="B15" s="5" t="s">
        <v>21</v>
      </c>
    </row>
  </sheetData>
  <mergeCells count="12">
    <mergeCell ref="B11:F11"/>
    <mergeCell ref="B12:F12"/>
    <mergeCell ref="B4:F4"/>
    <mergeCell ref="B1:F2"/>
    <mergeCell ref="B14:F14"/>
    <mergeCell ref="B15:F15"/>
    <mergeCell ref="E5:F5"/>
    <mergeCell ref="E6:F6"/>
    <mergeCell ref="E7:F7"/>
    <mergeCell ref="E8:F8"/>
    <mergeCell ref="B13:F13"/>
    <mergeCell ref="E9:F9"/>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1.0" topLeftCell="B1" activePane="topRight" state="frozen"/>
      <selection activeCell="C2" sqref="C2" pane="topRight"/>
    </sheetView>
  </sheetViews>
  <sheetFormatPr customHeight="1" defaultColWidth="14.43" defaultRowHeight="15.0"/>
  <cols>
    <col customWidth="1" min="1" max="1" width="7.57"/>
    <col customWidth="1" min="2" max="2" width="18.43"/>
    <col customWidth="1" min="3" max="3" width="17.43"/>
    <col customWidth="1" min="4" max="4" width="16.14"/>
    <col customWidth="1" min="5" max="5" width="14.29"/>
    <col customWidth="1" min="6" max="6" width="21.14"/>
    <col customWidth="1" min="7" max="7" width="18.43"/>
    <col customWidth="1" min="8" max="8" width="14.29"/>
    <col customWidth="1" min="9" max="9" width="4.14"/>
  </cols>
  <sheetData>
    <row r="1" ht="30.0" customHeight="1">
      <c r="A1" s="3"/>
      <c r="B1" s="12" t="s">
        <v>22</v>
      </c>
      <c r="G1" s="3"/>
      <c r="H1" s="3"/>
      <c r="I1" s="3"/>
    </row>
    <row r="2">
      <c r="A2" s="3"/>
      <c r="B2" s="12"/>
      <c r="C2" s="12"/>
      <c r="D2" s="12"/>
      <c r="E2" s="12"/>
      <c r="F2" s="12"/>
      <c r="G2" s="3"/>
      <c r="H2" s="3"/>
      <c r="I2" s="3"/>
    </row>
    <row r="3" ht="15.75" customHeight="1">
      <c r="B3" s="13" t="s">
        <v>23</v>
      </c>
      <c r="C3" s="14"/>
      <c r="D3" s="15">
        <v>2.0E8</v>
      </c>
      <c r="G3" s="16"/>
      <c r="H3" s="16"/>
    </row>
    <row r="4" ht="15.75" customHeight="1">
      <c r="B4" s="13" t="s">
        <v>24</v>
      </c>
      <c r="C4" s="14"/>
      <c r="D4" s="17">
        <v>44287.0</v>
      </c>
      <c r="G4" s="16"/>
      <c r="H4" s="16"/>
    </row>
    <row r="5" ht="15.75" customHeight="1">
      <c r="B5" s="13" t="s">
        <v>25</v>
      </c>
      <c r="C5" s="14"/>
      <c r="D5" s="18">
        <v>44561.0</v>
      </c>
      <c r="G5" s="16"/>
      <c r="H5" s="16"/>
    </row>
    <row r="6" ht="15.75" customHeight="1">
      <c r="B6" s="13" t="s">
        <v>26</v>
      </c>
      <c r="C6" s="14"/>
      <c r="D6" s="19">
        <v>8.0</v>
      </c>
      <c r="G6" s="16"/>
      <c r="H6" s="16"/>
    </row>
    <row r="7" ht="15.75" customHeight="1">
      <c r="B7" s="13" t="s">
        <v>27</v>
      </c>
      <c r="C7" s="14"/>
      <c r="D7" s="20">
        <v>2000000.0</v>
      </c>
      <c r="G7" s="16"/>
      <c r="H7" s="16"/>
    </row>
    <row r="8" ht="15.75" customHeight="1">
      <c r="B8" s="21" t="s">
        <v>28</v>
      </c>
      <c r="C8" s="14"/>
      <c r="D8" s="22" t="str">
        <f>IF(D3&lt;&gt;"",(D3-D7)/D6,"")</f>
        <v>24,750,000</v>
      </c>
      <c r="G8" s="16"/>
      <c r="H8" s="16"/>
    </row>
    <row r="9" ht="15.75" customHeight="1">
      <c r="B9" s="16"/>
      <c r="C9" s="16"/>
      <c r="D9" s="23"/>
      <c r="G9" s="16"/>
      <c r="H9" s="16"/>
    </row>
    <row r="10" ht="15.75" customHeight="1">
      <c r="B10" s="16"/>
      <c r="C10" s="16"/>
      <c r="D10" s="23"/>
      <c r="G10" s="16"/>
      <c r="H10" s="16"/>
    </row>
    <row r="11" ht="15.75" customHeight="1">
      <c r="B11" s="16"/>
      <c r="C11" s="16"/>
      <c r="D11" s="23"/>
      <c r="G11" s="16"/>
      <c r="H11" s="16"/>
    </row>
    <row r="12">
      <c r="A12" s="24" t="s">
        <v>29</v>
      </c>
      <c r="B12" s="25" t="s">
        <v>30</v>
      </c>
      <c r="C12" s="26"/>
      <c r="D12" s="24" t="s">
        <v>31</v>
      </c>
      <c r="E12" s="24" t="s">
        <v>32</v>
      </c>
      <c r="F12" s="24" t="s">
        <v>33</v>
      </c>
      <c r="G12" s="24" t="s">
        <v>34</v>
      </c>
      <c r="H12" s="24" t="s">
        <v>35</v>
      </c>
    </row>
    <row r="13" ht="15.75" customHeight="1">
      <c r="A13" s="27">
        <v>1.0</v>
      </c>
      <c r="B13" s="28" t="str">
        <f>IFERROR(DATE(RIGHT(D4,4),MID(D4,4,2),LEFT(D4,2)),"")</f>
        <v>1/4/2021</v>
      </c>
      <c r="C13" s="28" t="str">
        <f>DATEVALUE(D5)</f>
        <v>12/31/2021</v>
      </c>
      <c r="D13" s="29" t="str">
        <f t="shared" ref="D13:D37" si="1">IFERROR(IF(B13="","",DATEDIF(B13,C13,"D")+1),"")</f>
        <v>362</v>
      </c>
      <c r="E13" s="30" t="str">
        <f t="shared" ref="E13:E37" si="2">IF(AND(B13="",C13=""),"",IFS(MOD(YEAR(C13),4)=0,366,MOD(YEAR(C13),100)&lt;&gt;0,365,MOD(YEAR(C13),400)=0,366))</f>
        <v>365</v>
      </c>
      <c r="F13" s="31" t="str">
        <f t="shared" ref="F13:F37" si="3">IFERROR(D13/E13*$D$8,"")</f>
        <v> Rp 24,546,575.34 </v>
      </c>
      <c r="G13" s="32" t="str">
        <f>F13</f>
        <v> Rp 24,546,575.34 </v>
      </c>
      <c r="H13" s="33" t="str">
        <f>IF(D3="","",D3-G13)</f>
        <v> Rp 175,453,425 </v>
      </c>
    </row>
    <row r="14" ht="15.75" customHeight="1">
      <c r="A14" s="27">
        <v>2.0</v>
      </c>
      <c r="B14" s="34" t="str">
        <f t="shared" ref="B14:B37" si="4">IF(A14&lt;=$D$6, IF(C13&lt;&gt;"",C13+1,""),"")</f>
        <v>1/1/2022</v>
      </c>
      <c r="C14" s="34" t="str">
        <f t="shared" ref="C14:C37" si="5">IF(A14&lt;=$D$6, IF(B14&lt;&gt;"", IF(OR(AND(MOD(YEAR(B14), 4)=0, MOD(YEAR(B14), 100)&lt;&gt;0), MOD(YEAR(B14), 400)=0), B14+365, B14+364), ""),"")</f>
        <v>12/31/2022</v>
      </c>
      <c r="D14" s="29" t="str">
        <f t="shared" si="1"/>
        <v>365</v>
      </c>
      <c r="E14" s="30" t="str">
        <f t="shared" si="2"/>
        <v>365</v>
      </c>
      <c r="F14" s="35" t="str">
        <f t="shared" si="3"/>
        <v> Rp 24,750,000.00 </v>
      </c>
      <c r="G14" s="32" t="str">
        <f t="shared" ref="G14:G37" si="6">IF(AND(A14&lt;=$D$6,G13&lt;&gt;""),G13+F14,"")</f>
        <v> Rp 49,296,575.34 </v>
      </c>
      <c r="H14" s="36" t="str">
        <f t="shared" ref="H14:H37" si="7">IF(A14&lt;=$D$6, IF(H13&lt;=$D$7, $D$7, MAX(H13-F14, $D$7)), "")</f>
        <v> Rp 150,703,425 </v>
      </c>
    </row>
    <row r="15" ht="15.75" customHeight="1">
      <c r="A15" s="27">
        <v>3.0</v>
      </c>
      <c r="B15" s="34" t="str">
        <f t="shared" si="4"/>
        <v>1/1/2023</v>
      </c>
      <c r="C15" s="34" t="str">
        <f t="shared" si="5"/>
        <v>12/31/2023</v>
      </c>
      <c r="D15" s="29" t="str">
        <f t="shared" si="1"/>
        <v>365</v>
      </c>
      <c r="E15" s="30" t="str">
        <f t="shared" si="2"/>
        <v>365</v>
      </c>
      <c r="F15" s="35" t="str">
        <f t="shared" si="3"/>
        <v> Rp 24,750,000.00 </v>
      </c>
      <c r="G15" s="32" t="str">
        <f t="shared" si="6"/>
        <v> Rp 74,046,575.34 </v>
      </c>
      <c r="H15" s="36" t="str">
        <f t="shared" si="7"/>
        <v> Rp 125,953,425 </v>
      </c>
    </row>
    <row r="16" ht="15.75" customHeight="1">
      <c r="A16" s="27">
        <v>4.0</v>
      </c>
      <c r="B16" s="34" t="str">
        <f t="shared" si="4"/>
        <v>1/1/2024</v>
      </c>
      <c r="C16" s="34" t="str">
        <f t="shared" si="5"/>
        <v>12/31/2024</v>
      </c>
      <c r="D16" s="29" t="str">
        <f t="shared" si="1"/>
        <v>366</v>
      </c>
      <c r="E16" s="30" t="str">
        <f t="shared" si="2"/>
        <v>366</v>
      </c>
      <c r="F16" s="35" t="str">
        <f t="shared" si="3"/>
        <v> Rp 24,750,000.00 </v>
      </c>
      <c r="G16" s="32" t="str">
        <f t="shared" si="6"/>
        <v> Rp 98,796,575.34 </v>
      </c>
      <c r="H16" s="36" t="str">
        <f t="shared" si="7"/>
        <v> Rp 101,203,425 </v>
      </c>
    </row>
    <row r="17" ht="15.75" customHeight="1">
      <c r="A17" s="27">
        <v>5.0</v>
      </c>
      <c r="B17" s="34" t="str">
        <f t="shared" si="4"/>
        <v>1/1/2025</v>
      </c>
      <c r="C17" s="34" t="str">
        <f t="shared" si="5"/>
        <v>12/31/2025</v>
      </c>
      <c r="D17" s="29" t="str">
        <f t="shared" si="1"/>
        <v>365</v>
      </c>
      <c r="E17" s="30" t="str">
        <f t="shared" si="2"/>
        <v>365</v>
      </c>
      <c r="F17" s="35" t="str">
        <f t="shared" si="3"/>
        <v> Rp 24,750,000.00 </v>
      </c>
      <c r="G17" s="32" t="str">
        <f t="shared" si="6"/>
        <v> Rp 123,546,575.34 </v>
      </c>
      <c r="H17" s="36" t="str">
        <f t="shared" si="7"/>
        <v> Rp 76,453,425 </v>
      </c>
    </row>
    <row r="18" ht="15.75" customHeight="1">
      <c r="A18" s="27">
        <v>6.0</v>
      </c>
      <c r="B18" s="34" t="str">
        <f t="shared" si="4"/>
        <v>1/1/2026</v>
      </c>
      <c r="C18" s="34" t="str">
        <f t="shared" si="5"/>
        <v>12/31/2026</v>
      </c>
      <c r="D18" s="29" t="str">
        <f t="shared" si="1"/>
        <v>365</v>
      </c>
      <c r="E18" s="30" t="str">
        <f t="shared" si="2"/>
        <v>365</v>
      </c>
      <c r="F18" s="35" t="str">
        <f t="shared" si="3"/>
        <v> Rp 24,750,000.00 </v>
      </c>
      <c r="G18" s="32" t="str">
        <f t="shared" si="6"/>
        <v> Rp 148,296,575.34 </v>
      </c>
      <c r="H18" s="36" t="str">
        <f t="shared" si="7"/>
        <v> Rp 51,703,425 </v>
      </c>
    </row>
    <row r="19" ht="15.75" customHeight="1">
      <c r="A19" s="27">
        <v>7.0</v>
      </c>
      <c r="B19" s="34" t="str">
        <f t="shared" si="4"/>
        <v>1/1/2027</v>
      </c>
      <c r="C19" s="34" t="str">
        <f t="shared" si="5"/>
        <v>12/31/2027</v>
      </c>
      <c r="D19" s="29" t="str">
        <f t="shared" si="1"/>
        <v>365</v>
      </c>
      <c r="E19" s="30" t="str">
        <f t="shared" si="2"/>
        <v>365</v>
      </c>
      <c r="F19" s="35" t="str">
        <f t="shared" si="3"/>
        <v> Rp 24,750,000.00 </v>
      </c>
      <c r="G19" s="32" t="str">
        <f t="shared" si="6"/>
        <v> Rp 173,046,575.34 </v>
      </c>
      <c r="H19" s="36" t="str">
        <f t="shared" si="7"/>
        <v> Rp 26,953,425 </v>
      </c>
    </row>
    <row r="20" ht="15.75" customHeight="1">
      <c r="A20" s="27">
        <v>8.0</v>
      </c>
      <c r="B20" s="34" t="str">
        <f t="shared" si="4"/>
        <v>1/1/2028</v>
      </c>
      <c r="C20" s="34" t="str">
        <f t="shared" si="5"/>
        <v>12/31/2028</v>
      </c>
      <c r="D20" s="29" t="str">
        <f t="shared" si="1"/>
        <v>366</v>
      </c>
      <c r="E20" s="30" t="str">
        <f t="shared" si="2"/>
        <v>366</v>
      </c>
      <c r="F20" s="35" t="str">
        <f t="shared" si="3"/>
        <v> Rp 24,750,000.00 </v>
      </c>
      <c r="G20" s="32" t="str">
        <f t="shared" si="6"/>
        <v> Rp 197,796,575.34 </v>
      </c>
      <c r="H20" s="36" t="str">
        <f t="shared" si="7"/>
        <v> Rp 2,203,425 </v>
      </c>
    </row>
    <row r="21" ht="15.75" customHeight="1">
      <c r="A21" s="27">
        <v>9.0</v>
      </c>
      <c r="B21" s="34" t="str">
        <f t="shared" si="4"/>
        <v/>
      </c>
      <c r="C21" s="34" t="str">
        <f t="shared" si="5"/>
        <v/>
      </c>
      <c r="D21" s="29" t="str">
        <f t="shared" si="1"/>
        <v/>
      </c>
      <c r="E21" s="30" t="str">
        <f t="shared" si="2"/>
        <v/>
      </c>
      <c r="F21" s="35" t="str">
        <f t="shared" si="3"/>
        <v> </v>
      </c>
      <c r="G21" s="32" t="str">
        <f t="shared" si="6"/>
        <v> </v>
      </c>
      <c r="H21" s="36" t="str">
        <f t="shared" si="7"/>
        <v> </v>
      </c>
    </row>
    <row r="22" ht="15.75" customHeight="1">
      <c r="A22" s="27">
        <v>10.0</v>
      </c>
      <c r="B22" s="34" t="str">
        <f t="shared" si="4"/>
        <v/>
      </c>
      <c r="C22" s="34" t="str">
        <f t="shared" si="5"/>
        <v/>
      </c>
      <c r="D22" s="29" t="str">
        <f t="shared" si="1"/>
        <v/>
      </c>
      <c r="E22" s="30" t="str">
        <f t="shared" si="2"/>
        <v/>
      </c>
      <c r="F22" s="35" t="str">
        <f t="shared" si="3"/>
        <v> </v>
      </c>
      <c r="G22" s="32" t="str">
        <f t="shared" si="6"/>
        <v> </v>
      </c>
      <c r="H22" s="36" t="str">
        <f t="shared" si="7"/>
        <v> </v>
      </c>
    </row>
    <row r="23" ht="15.75" customHeight="1">
      <c r="A23" s="27">
        <v>11.0</v>
      </c>
      <c r="B23" s="34" t="str">
        <f t="shared" si="4"/>
        <v/>
      </c>
      <c r="C23" s="34" t="str">
        <f t="shared" si="5"/>
        <v/>
      </c>
      <c r="D23" s="29" t="str">
        <f t="shared" si="1"/>
        <v/>
      </c>
      <c r="E23" s="30" t="str">
        <f t="shared" si="2"/>
        <v/>
      </c>
      <c r="F23" s="35" t="str">
        <f t="shared" si="3"/>
        <v> </v>
      </c>
      <c r="G23" s="32" t="str">
        <f t="shared" si="6"/>
        <v> </v>
      </c>
      <c r="H23" s="36" t="str">
        <f t="shared" si="7"/>
        <v> </v>
      </c>
    </row>
    <row r="24" ht="15.75" customHeight="1">
      <c r="A24" s="27">
        <v>12.0</v>
      </c>
      <c r="B24" s="34" t="str">
        <f t="shared" si="4"/>
        <v/>
      </c>
      <c r="C24" s="34" t="str">
        <f t="shared" si="5"/>
        <v/>
      </c>
      <c r="D24" s="29" t="str">
        <f t="shared" si="1"/>
        <v/>
      </c>
      <c r="E24" s="30" t="str">
        <f t="shared" si="2"/>
        <v/>
      </c>
      <c r="F24" s="35" t="str">
        <f t="shared" si="3"/>
        <v> </v>
      </c>
      <c r="G24" s="32" t="str">
        <f t="shared" si="6"/>
        <v> </v>
      </c>
      <c r="H24" s="36" t="str">
        <f t="shared" si="7"/>
        <v> </v>
      </c>
    </row>
    <row r="25" ht="15.75" customHeight="1">
      <c r="A25" s="27">
        <v>13.0</v>
      </c>
      <c r="B25" s="34" t="str">
        <f t="shared" si="4"/>
        <v/>
      </c>
      <c r="C25" s="34" t="str">
        <f t="shared" si="5"/>
        <v/>
      </c>
      <c r="D25" s="29" t="str">
        <f t="shared" si="1"/>
        <v/>
      </c>
      <c r="E25" s="30" t="str">
        <f t="shared" si="2"/>
        <v/>
      </c>
      <c r="F25" s="35" t="str">
        <f t="shared" si="3"/>
        <v> </v>
      </c>
      <c r="G25" s="32" t="str">
        <f t="shared" si="6"/>
        <v> </v>
      </c>
      <c r="H25" s="36" t="str">
        <f t="shared" si="7"/>
        <v> </v>
      </c>
    </row>
    <row r="26" ht="15.75" customHeight="1">
      <c r="A26" s="27">
        <v>14.0</v>
      </c>
      <c r="B26" s="34" t="str">
        <f t="shared" si="4"/>
        <v/>
      </c>
      <c r="C26" s="34" t="str">
        <f t="shared" si="5"/>
        <v/>
      </c>
      <c r="D26" s="29" t="str">
        <f t="shared" si="1"/>
        <v/>
      </c>
      <c r="E26" s="30" t="str">
        <f t="shared" si="2"/>
        <v/>
      </c>
      <c r="F26" s="35" t="str">
        <f t="shared" si="3"/>
        <v> </v>
      </c>
      <c r="G26" s="32" t="str">
        <f t="shared" si="6"/>
        <v> </v>
      </c>
      <c r="H26" s="36" t="str">
        <f t="shared" si="7"/>
        <v> </v>
      </c>
    </row>
    <row r="27" ht="15.75" customHeight="1">
      <c r="A27" s="27">
        <v>15.0</v>
      </c>
      <c r="B27" s="34" t="str">
        <f t="shared" si="4"/>
        <v/>
      </c>
      <c r="C27" s="34" t="str">
        <f t="shared" si="5"/>
        <v/>
      </c>
      <c r="D27" s="29" t="str">
        <f t="shared" si="1"/>
        <v/>
      </c>
      <c r="E27" s="30" t="str">
        <f t="shared" si="2"/>
        <v/>
      </c>
      <c r="F27" s="35" t="str">
        <f t="shared" si="3"/>
        <v> </v>
      </c>
      <c r="G27" s="32" t="str">
        <f t="shared" si="6"/>
        <v> </v>
      </c>
      <c r="H27" s="36" t="str">
        <f t="shared" si="7"/>
        <v> </v>
      </c>
    </row>
    <row r="28" ht="15.75" customHeight="1">
      <c r="A28" s="27">
        <v>16.0</v>
      </c>
      <c r="B28" s="34" t="str">
        <f t="shared" si="4"/>
        <v/>
      </c>
      <c r="C28" s="34" t="str">
        <f t="shared" si="5"/>
        <v/>
      </c>
      <c r="D28" s="29" t="str">
        <f t="shared" si="1"/>
        <v/>
      </c>
      <c r="E28" s="30" t="str">
        <f t="shared" si="2"/>
        <v/>
      </c>
      <c r="F28" s="35" t="str">
        <f t="shared" si="3"/>
        <v> </v>
      </c>
      <c r="G28" s="32" t="str">
        <f t="shared" si="6"/>
        <v> </v>
      </c>
      <c r="H28" s="36" t="str">
        <f t="shared" si="7"/>
        <v> </v>
      </c>
    </row>
    <row r="29" ht="15.75" customHeight="1">
      <c r="A29" s="27">
        <v>17.0</v>
      </c>
      <c r="B29" s="34" t="str">
        <f t="shared" si="4"/>
        <v/>
      </c>
      <c r="C29" s="34" t="str">
        <f t="shared" si="5"/>
        <v/>
      </c>
      <c r="D29" s="29" t="str">
        <f t="shared" si="1"/>
        <v/>
      </c>
      <c r="E29" s="30" t="str">
        <f t="shared" si="2"/>
        <v/>
      </c>
      <c r="F29" s="35" t="str">
        <f t="shared" si="3"/>
        <v> </v>
      </c>
      <c r="G29" s="32" t="str">
        <f t="shared" si="6"/>
        <v> </v>
      </c>
      <c r="H29" s="36" t="str">
        <f t="shared" si="7"/>
        <v> </v>
      </c>
    </row>
    <row r="30" ht="15.75" customHeight="1">
      <c r="A30" s="27">
        <v>18.0</v>
      </c>
      <c r="B30" s="34" t="str">
        <f t="shared" si="4"/>
        <v/>
      </c>
      <c r="C30" s="34" t="str">
        <f t="shared" si="5"/>
        <v/>
      </c>
      <c r="D30" s="29" t="str">
        <f t="shared" si="1"/>
        <v/>
      </c>
      <c r="E30" s="30" t="str">
        <f t="shared" si="2"/>
        <v/>
      </c>
      <c r="F30" s="35" t="str">
        <f t="shared" si="3"/>
        <v> </v>
      </c>
      <c r="G30" s="32" t="str">
        <f t="shared" si="6"/>
        <v> </v>
      </c>
      <c r="H30" s="36" t="str">
        <f t="shared" si="7"/>
        <v> </v>
      </c>
    </row>
    <row r="31" ht="15.75" customHeight="1">
      <c r="A31" s="27">
        <v>19.0</v>
      </c>
      <c r="B31" s="34" t="str">
        <f t="shared" si="4"/>
        <v/>
      </c>
      <c r="C31" s="34" t="str">
        <f t="shared" si="5"/>
        <v/>
      </c>
      <c r="D31" s="29" t="str">
        <f t="shared" si="1"/>
        <v/>
      </c>
      <c r="E31" s="30" t="str">
        <f t="shared" si="2"/>
        <v/>
      </c>
      <c r="F31" s="35" t="str">
        <f t="shared" si="3"/>
        <v> </v>
      </c>
      <c r="G31" s="32" t="str">
        <f t="shared" si="6"/>
        <v> </v>
      </c>
      <c r="H31" s="36" t="str">
        <f t="shared" si="7"/>
        <v> </v>
      </c>
    </row>
    <row r="32" ht="15.75" customHeight="1">
      <c r="A32" s="27">
        <v>20.0</v>
      </c>
      <c r="B32" s="34" t="str">
        <f t="shared" si="4"/>
        <v/>
      </c>
      <c r="C32" s="34" t="str">
        <f t="shared" si="5"/>
        <v/>
      </c>
      <c r="D32" s="29" t="str">
        <f t="shared" si="1"/>
        <v/>
      </c>
      <c r="E32" s="30" t="str">
        <f t="shared" si="2"/>
        <v/>
      </c>
      <c r="F32" s="35" t="str">
        <f t="shared" si="3"/>
        <v> </v>
      </c>
      <c r="G32" s="32" t="str">
        <f t="shared" si="6"/>
        <v> </v>
      </c>
      <c r="H32" s="36" t="str">
        <f t="shared" si="7"/>
        <v> </v>
      </c>
    </row>
    <row r="33" ht="15.75" customHeight="1">
      <c r="A33" s="27">
        <v>21.0</v>
      </c>
      <c r="B33" s="34" t="str">
        <f t="shared" si="4"/>
        <v/>
      </c>
      <c r="C33" s="34" t="str">
        <f t="shared" si="5"/>
        <v/>
      </c>
      <c r="D33" s="29" t="str">
        <f t="shared" si="1"/>
        <v/>
      </c>
      <c r="E33" s="30" t="str">
        <f t="shared" si="2"/>
        <v/>
      </c>
      <c r="F33" s="35" t="str">
        <f t="shared" si="3"/>
        <v> </v>
      </c>
      <c r="G33" s="32" t="str">
        <f t="shared" si="6"/>
        <v> </v>
      </c>
      <c r="H33" s="36" t="str">
        <f t="shared" si="7"/>
        <v> </v>
      </c>
    </row>
    <row r="34" ht="15.75" customHeight="1">
      <c r="A34" s="27">
        <v>22.0</v>
      </c>
      <c r="B34" s="34" t="str">
        <f t="shared" si="4"/>
        <v/>
      </c>
      <c r="C34" s="34" t="str">
        <f t="shared" si="5"/>
        <v/>
      </c>
      <c r="D34" s="29" t="str">
        <f t="shared" si="1"/>
        <v/>
      </c>
      <c r="E34" s="30" t="str">
        <f t="shared" si="2"/>
        <v/>
      </c>
      <c r="F34" s="35" t="str">
        <f t="shared" si="3"/>
        <v> </v>
      </c>
      <c r="G34" s="32" t="str">
        <f t="shared" si="6"/>
        <v> </v>
      </c>
      <c r="H34" s="36" t="str">
        <f t="shared" si="7"/>
        <v> </v>
      </c>
    </row>
    <row r="35" ht="15.75" customHeight="1">
      <c r="A35" s="27">
        <v>23.0</v>
      </c>
      <c r="B35" s="34" t="str">
        <f t="shared" si="4"/>
        <v/>
      </c>
      <c r="C35" s="34" t="str">
        <f t="shared" si="5"/>
        <v/>
      </c>
      <c r="D35" s="29" t="str">
        <f t="shared" si="1"/>
        <v/>
      </c>
      <c r="E35" s="30" t="str">
        <f t="shared" si="2"/>
        <v/>
      </c>
      <c r="F35" s="35" t="str">
        <f t="shared" si="3"/>
        <v> </v>
      </c>
      <c r="G35" s="32" t="str">
        <f t="shared" si="6"/>
        <v> </v>
      </c>
      <c r="H35" s="36" t="str">
        <f t="shared" si="7"/>
        <v> </v>
      </c>
    </row>
    <row r="36" ht="15.75" customHeight="1">
      <c r="A36" s="27">
        <v>24.0</v>
      </c>
      <c r="B36" s="34" t="str">
        <f t="shared" si="4"/>
        <v/>
      </c>
      <c r="C36" s="34" t="str">
        <f t="shared" si="5"/>
        <v/>
      </c>
      <c r="D36" s="29" t="str">
        <f t="shared" si="1"/>
        <v/>
      </c>
      <c r="E36" s="30" t="str">
        <f t="shared" si="2"/>
        <v/>
      </c>
      <c r="F36" s="35" t="str">
        <f t="shared" si="3"/>
        <v> </v>
      </c>
      <c r="G36" s="32" t="str">
        <f t="shared" si="6"/>
        <v> </v>
      </c>
      <c r="H36" s="36" t="str">
        <f t="shared" si="7"/>
        <v> </v>
      </c>
    </row>
    <row r="37" ht="15.75" customHeight="1">
      <c r="A37" s="27">
        <v>25.0</v>
      </c>
      <c r="B37" s="34" t="str">
        <f t="shared" si="4"/>
        <v/>
      </c>
      <c r="C37" s="34" t="str">
        <f t="shared" si="5"/>
        <v/>
      </c>
      <c r="D37" s="29" t="str">
        <f t="shared" si="1"/>
        <v/>
      </c>
      <c r="E37" s="30" t="str">
        <f t="shared" si="2"/>
        <v/>
      </c>
      <c r="F37" s="35" t="str">
        <f t="shared" si="3"/>
        <v> </v>
      </c>
      <c r="G37" s="32" t="str">
        <f t="shared" si="6"/>
        <v> </v>
      </c>
      <c r="H37" s="36" t="str">
        <f t="shared" si="7"/>
        <v> </v>
      </c>
    </row>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sheetData>
  <mergeCells count="8">
    <mergeCell ref="B1:F1"/>
    <mergeCell ref="B3:C3"/>
    <mergeCell ref="B4:C4"/>
    <mergeCell ref="B5:C5"/>
    <mergeCell ref="B6:C6"/>
    <mergeCell ref="B7:C7"/>
    <mergeCell ref="B8:C8"/>
    <mergeCell ref="B12:C12"/>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1.0" ySplit="8.0" topLeftCell="B9" activePane="bottomRight" state="frozen"/>
      <selection activeCell="B1" sqref="B1" pane="topRight"/>
      <selection activeCell="A9" sqref="A9" pane="bottomLeft"/>
      <selection activeCell="B9" sqref="B9" pane="bottomRight"/>
    </sheetView>
  </sheetViews>
  <sheetFormatPr customHeight="1" defaultColWidth="14.43" defaultRowHeight="15.0"/>
  <cols>
    <col customWidth="1" min="1" max="1" width="7.57"/>
    <col customWidth="1" min="2" max="3" width="14.29"/>
    <col customWidth="1" min="4" max="4" width="15.86"/>
    <col customWidth="1" min="5" max="5" width="14.29"/>
    <col customWidth="1" min="6" max="6" width="17.43"/>
    <col customWidth="1" min="7" max="7" width="18.43"/>
    <col customWidth="1" min="8" max="8" width="17.0"/>
  </cols>
  <sheetData>
    <row r="1">
      <c r="B1" s="12" t="s">
        <v>36</v>
      </c>
    </row>
    <row r="3">
      <c r="B3" s="13" t="s">
        <v>23</v>
      </c>
      <c r="C3" s="14"/>
      <c r="D3" s="15">
        <v>1.5E8</v>
      </c>
      <c r="E3" s="16"/>
      <c r="F3" s="16"/>
      <c r="H3" s="16"/>
    </row>
    <row r="4">
      <c r="B4" s="13" t="s">
        <v>24</v>
      </c>
      <c r="C4" s="14"/>
      <c r="D4" s="17">
        <v>44562.0</v>
      </c>
      <c r="E4" s="16"/>
      <c r="F4" s="16"/>
      <c r="H4" s="16"/>
    </row>
    <row r="5">
      <c r="B5" s="13" t="s">
        <v>25</v>
      </c>
      <c r="C5" s="14"/>
      <c r="D5" s="19" t="s">
        <v>37</v>
      </c>
      <c r="E5" s="16"/>
      <c r="F5" s="16"/>
      <c r="H5" s="16"/>
    </row>
    <row r="6">
      <c r="B6" s="13" t="s">
        <v>26</v>
      </c>
      <c r="C6" s="14"/>
      <c r="D6" s="19">
        <v>10.0</v>
      </c>
      <c r="E6" s="16"/>
      <c r="F6" s="16"/>
      <c r="H6" s="16"/>
    </row>
    <row r="7">
      <c r="B7" s="13" t="s">
        <v>27</v>
      </c>
      <c r="C7" s="14"/>
      <c r="D7" s="20">
        <v>6.0E7</v>
      </c>
      <c r="E7" s="16"/>
      <c r="F7" s="16"/>
      <c r="H7" s="16"/>
    </row>
    <row r="8">
      <c r="B8" s="37" t="s">
        <v>38</v>
      </c>
      <c r="C8" s="14"/>
      <c r="D8" s="38" t="str">
        <f>IFERROR(1/D6,"")</f>
        <v>10%</v>
      </c>
      <c r="E8" s="16"/>
      <c r="F8" s="16"/>
      <c r="G8" s="16"/>
      <c r="H8" s="16"/>
    </row>
    <row r="9">
      <c r="B9" s="16"/>
      <c r="C9" s="16"/>
      <c r="D9" s="39"/>
      <c r="E9" s="16"/>
      <c r="F9" s="16"/>
      <c r="G9" s="16"/>
      <c r="H9" s="16"/>
    </row>
    <row r="10">
      <c r="B10" s="16"/>
      <c r="C10" s="16"/>
      <c r="D10" s="39"/>
      <c r="E10" s="16"/>
      <c r="F10" s="16"/>
      <c r="G10" s="16"/>
      <c r="H10" s="16"/>
    </row>
    <row r="12">
      <c r="A12" s="24" t="s">
        <v>29</v>
      </c>
      <c r="B12" s="25" t="s">
        <v>30</v>
      </c>
      <c r="C12" s="26"/>
      <c r="D12" s="24" t="s">
        <v>31</v>
      </c>
      <c r="E12" s="24" t="s">
        <v>32</v>
      </c>
      <c r="F12" s="24" t="s">
        <v>33</v>
      </c>
      <c r="G12" s="24" t="s">
        <v>34</v>
      </c>
      <c r="H12" s="24" t="s">
        <v>35</v>
      </c>
    </row>
    <row r="13">
      <c r="A13" s="27">
        <v>1.0</v>
      </c>
      <c r="B13" s="28" t="str">
        <f>IFERROR(DATE(RIGHT(D4,4),MID(D4,4,2),LEFT(D4,2)),"")</f>
        <v>1/1/2022</v>
      </c>
      <c r="C13" s="28" t="str">
        <f>IFERROR(DATE(RIGHT(D5,4),MID(D5,4,2),LEFT(D5,2)),"")</f>
        <v>12/31/2022</v>
      </c>
      <c r="D13" s="29" t="str">
        <f t="shared" ref="D13:D37" si="1">IFERROR(IF(B13="","",DATEDIF(B13,C13,"D")+1),"")</f>
        <v>365</v>
      </c>
      <c r="E13" s="30" t="str">
        <f t="shared" ref="E13:E37" si="2">IF(AND(B13="",C13=""),"",IFS(MOD(YEAR(C13),4)=0,366,MOD(YEAR(C13),100)&lt;&gt;0,365,MOD(YEAR(C13),400)=0,366))</f>
        <v>365</v>
      </c>
      <c r="F13" s="31" t="str">
        <f>IF($D$8="","",$D$8*(D3-D7))</f>
        <v> Rp 9,000,000.00 </v>
      </c>
      <c r="G13" s="40" t="str">
        <f>F13</f>
        <v> Rp 9,000,000.00 </v>
      </c>
      <c r="H13" s="41" t="str">
        <f>IF(F13="","", D3-F13)</f>
        <v> Rp 141,000,000 </v>
      </c>
    </row>
    <row r="14">
      <c r="A14" s="27">
        <v>2.0</v>
      </c>
      <c r="B14" s="34" t="str">
        <f t="shared" ref="B14:B37" si="3">IF(AND(C13&lt;&gt;"",A14&lt;=$D$6),C13+1,"")</f>
        <v>1/1/2023</v>
      </c>
      <c r="C14" s="34" t="str">
        <f t="shared" ref="C14:C37" si="4">IF(AND(B14&lt;&gt;"",A14&lt;=$D$6), IF(OR(AND(MOD(YEAR(B14), 4)=0, MOD(YEAR(B14), 100)&lt;&gt;0), MOD(YEAR(B14), 400)=0), B14+365, B14+364), "")</f>
        <v>12/31/2023</v>
      </c>
      <c r="D14" s="29" t="str">
        <f t="shared" si="1"/>
        <v>365</v>
      </c>
      <c r="E14" s="30" t="str">
        <f t="shared" si="2"/>
        <v>365</v>
      </c>
      <c r="F14" s="35" t="str">
        <f t="shared" ref="F14:F37" si="5">IF(A14&lt;=$D$6, MIN(H13*$D$8, H13-$D$7), "")</f>
        <v> Rp 14,100,000.00 </v>
      </c>
      <c r="G14" s="40" t="str">
        <f t="shared" ref="G14:G37" si="6">IF(AND(A14&lt;=$D$6,G13&lt;&gt;""),G13+F14,"")</f>
        <v> Rp 23,100,000.00 </v>
      </c>
      <c r="H14" s="42" t="str">
        <f t="shared" ref="H14:H37" si="7">IF(A14&lt;=$D$6, IF(H13&lt;=$D$7, $D$7, MAX(H13-F14, $D$7)), "")</f>
        <v> Rp 126,900,000 </v>
      </c>
    </row>
    <row r="15">
      <c r="A15" s="27">
        <v>3.0</v>
      </c>
      <c r="B15" s="34" t="str">
        <f t="shared" si="3"/>
        <v>1/1/2024</v>
      </c>
      <c r="C15" s="34" t="str">
        <f t="shared" si="4"/>
        <v>12/31/2024</v>
      </c>
      <c r="D15" s="29" t="str">
        <f t="shared" si="1"/>
        <v>366</v>
      </c>
      <c r="E15" s="30" t="str">
        <f t="shared" si="2"/>
        <v>366</v>
      </c>
      <c r="F15" s="35" t="str">
        <f t="shared" si="5"/>
        <v> Rp 12,690,000.00 </v>
      </c>
      <c r="G15" s="40" t="str">
        <f t="shared" si="6"/>
        <v> Rp 35,790,000.00 </v>
      </c>
      <c r="H15" s="42" t="str">
        <f t="shared" si="7"/>
        <v> Rp 114,210,000 </v>
      </c>
    </row>
    <row r="16">
      <c r="A16" s="27">
        <v>4.0</v>
      </c>
      <c r="B16" s="34" t="str">
        <f t="shared" si="3"/>
        <v>1/1/2025</v>
      </c>
      <c r="C16" s="34" t="str">
        <f t="shared" si="4"/>
        <v>12/31/2025</v>
      </c>
      <c r="D16" s="29" t="str">
        <f t="shared" si="1"/>
        <v>365</v>
      </c>
      <c r="E16" s="30" t="str">
        <f t="shared" si="2"/>
        <v>365</v>
      </c>
      <c r="F16" s="35" t="str">
        <f t="shared" si="5"/>
        <v> Rp 11,421,000.00 </v>
      </c>
      <c r="G16" s="40" t="str">
        <f t="shared" si="6"/>
        <v> Rp 47,211,000.00 </v>
      </c>
      <c r="H16" s="42" t="str">
        <f t="shared" si="7"/>
        <v> Rp 102,789,000 </v>
      </c>
    </row>
    <row r="17">
      <c r="A17" s="27">
        <v>5.0</v>
      </c>
      <c r="B17" s="34" t="str">
        <f t="shared" si="3"/>
        <v>1/1/2026</v>
      </c>
      <c r="C17" s="34" t="str">
        <f t="shared" si="4"/>
        <v>12/31/2026</v>
      </c>
      <c r="D17" s="29" t="str">
        <f t="shared" si="1"/>
        <v>365</v>
      </c>
      <c r="E17" s="30" t="str">
        <f t="shared" si="2"/>
        <v>365</v>
      </c>
      <c r="F17" s="35" t="str">
        <f t="shared" si="5"/>
        <v> Rp 10,278,900.00 </v>
      </c>
      <c r="G17" s="40" t="str">
        <f t="shared" si="6"/>
        <v> Rp 57,489,900.00 </v>
      </c>
      <c r="H17" s="42" t="str">
        <f t="shared" si="7"/>
        <v> Rp 92,510,100 </v>
      </c>
    </row>
    <row r="18">
      <c r="A18" s="27">
        <v>6.0</v>
      </c>
      <c r="B18" s="34" t="str">
        <f t="shared" si="3"/>
        <v>1/1/2027</v>
      </c>
      <c r="C18" s="34" t="str">
        <f t="shared" si="4"/>
        <v>12/31/2027</v>
      </c>
      <c r="D18" s="29" t="str">
        <f t="shared" si="1"/>
        <v>365</v>
      </c>
      <c r="E18" s="30" t="str">
        <f t="shared" si="2"/>
        <v>365</v>
      </c>
      <c r="F18" s="35" t="str">
        <f t="shared" si="5"/>
        <v> Rp 9,251,010.00 </v>
      </c>
      <c r="G18" s="40" t="str">
        <f t="shared" si="6"/>
        <v> Rp 66,740,910.00 </v>
      </c>
      <c r="H18" s="42" t="str">
        <f t="shared" si="7"/>
        <v> Rp 83,259,090 </v>
      </c>
    </row>
    <row r="19">
      <c r="A19" s="27">
        <v>7.0</v>
      </c>
      <c r="B19" s="34" t="str">
        <f t="shared" si="3"/>
        <v>1/1/2028</v>
      </c>
      <c r="C19" s="34" t="str">
        <f t="shared" si="4"/>
        <v>12/31/2028</v>
      </c>
      <c r="D19" s="29" t="str">
        <f t="shared" si="1"/>
        <v>366</v>
      </c>
      <c r="E19" s="30" t="str">
        <f t="shared" si="2"/>
        <v>366</v>
      </c>
      <c r="F19" s="35" t="str">
        <f t="shared" si="5"/>
        <v> Rp 8,325,909.00 </v>
      </c>
      <c r="G19" s="40" t="str">
        <f t="shared" si="6"/>
        <v> Rp 75,066,819.00 </v>
      </c>
      <c r="H19" s="42" t="str">
        <f t="shared" si="7"/>
        <v> Rp 74,933,181 </v>
      </c>
    </row>
    <row r="20">
      <c r="A20" s="27">
        <v>8.0</v>
      </c>
      <c r="B20" s="34" t="str">
        <f t="shared" si="3"/>
        <v>1/1/2029</v>
      </c>
      <c r="C20" s="34" t="str">
        <f t="shared" si="4"/>
        <v>12/31/2029</v>
      </c>
      <c r="D20" s="29" t="str">
        <f t="shared" si="1"/>
        <v>365</v>
      </c>
      <c r="E20" s="30" t="str">
        <f t="shared" si="2"/>
        <v>365</v>
      </c>
      <c r="F20" s="35" t="str">
        <f t="shared" si="5"/>
        <v> Rp 7,493,318.10 </v>
      </c>
      <c r="G20" s="40" t="str">
        <f t="shared" si="6"/>
        <v> Rp 82,560,137.10 </v>
      </c>
      <c r="H20" s="42" t="str">
        <f t="shared" si="7"/>
        <v> Rp 67,439,863 </v>
      </c>
    </row>
    <row r="21" ht="15.75" customHeight="1">
      <c r="A21" s="27">
        <v>9.0</v>
      </c>
      <c r="B21" s="34" t="str">
        <f t="shared" si="3"/>
        <v>1/1/2030</v>
      </c>
      <c r="C21" s="34" t="str">
        <f t="shared" si="4"/>
        <v>12/31/2030</v>
      </c>
      <c r="D21" s="29" t="str">
        <f t="shared" si="1"/>
        <v>365</v>
      </c>
      <c r="E21" s="30" t="str">
        <f t="shared" si="2"/>
        <v>365</v>
      </c>
      <c r="F21" s="35" t="str">
        <f t="shared" si="5"/>
        <v> Rp 6,743,986.29 </v>
      </c>
      <c r="G21" s="40" t="str">
        <f t="shared" si="6"/>
        <v> Rp 89,304,123.39 </v>
      </c>
      <c r="H21" s="42" t="str">
        <f t="shared" si="7"/>
        <v> Rp 60,695,877 </v>
      </c>
    </row>
    <row r="22" ht="15.75" customHeight="1">
      <c r="A22" s="27">
        <v>10.0</v>
      </c>
      <c r="B22" s="34" t="str">
        <f t="shared" si="3"/>
        <v>1/1/2031</v>
      </c>
      <c r="C22" s="34" t="str">
        <f t="shared" si="4"/>
        <v>12/31/2031</v>
      </c>
      <c r="D22" s="29" t="str">
        <f t="shared" si="1"/>
        <v>365</v>
      </c>
      <c r="E22" s="30" t="str">
        <f t="shared" si="2"/>
        <v>365</v>
      </c>
      <c r="F22" s="35" t="str">
        <f t="shared" si="5"/>
        <v> Rp 695,876.61 </v>
      </c>
      <c r="G22" s="40" t="str">
        <f t="shared" si="6"/>
        <v> Rp 90,000,000.00 </v>
      </c>
      <c r="H22" s="42" t="str">
        <f t="shared" si="7"/>
        <v> Rp 60,000,000 </v>
      </c>
    </row>
    <row r="23" ht="15.75" customHeight="1">
      <c r="A23" s="27">
        <v>11.0</v>
      </c>
      <c r="B23" s="34" t="str">
        <f t="shared" si="3"/>
        <v/>
      </c>
      <c r="C23" s="34" t="str">
        <f t="shared" si="4"/>
        <v/>
      </c>
      <c r="D23" s="29" t="str">
        <f t="shared" si="1"/>
        <v/>
      </c>
      <c r="E23" s="30" t="str">
        <f t="shared" si="2"/>
        <v/>
      </c>
      <c r="F23" s="35" t="str">
        <f t="shared" si="5"/>
        <v> </v>
      </c>
      <c r="G23" s="40" t="str">
        <f t="shared" si="6"/>
        <v> </v>
      </c>
      <c r="H23" s="42" t="str">
        <f t="shared" si="7"/>
        <v> </v>
      </c>
    </row>
    <row r="24" ht="15.75" customHeight="1">
      <c r="A24" s="27">
        <v>12.0</v>
      </c>
      <c r="B24" s="34" t="str">
        <f t="shared" si="3"/>
        <v/>
      </c>
      <c r="C24" s="34" t="str">
        <f t="shared" si="4"/>
        <v/>
      </c>
      <c r="D24" s="29" t="str">
        <f t="shared" si="1"/>
        <v/>
      </c>
      <c r="E24" s="30" t="str">
        <f t="shared" si="2"/>
        <v/>
      </c>
      <c r="F24" s="35" t="str">
        <f t="shared" si="5"/>
        <v> </v>
      </c>
      <c r="G24" s="40" t="str">
        <f t="shared" si="6"/>
        <v> </v>
      </c>
      <c r="H24" s="42" t="str">
        <f t="shared" si="7"/>
        <v> </v>
      </c>
    </row>
    <row r="25" ht="15.75" customHeight="1">
      <c r="A25" s="27">
        <v>13.0</v>
      </c>
      <c r="B25" s="34" t="str">
        <f t="shared" si="3"/>
        <v/>
      </c>
      <c r="C25" s="34" t="str">
        <f t="shared" si="4"/>
        <v/>
      </c>
      <c r="D25" s="29" t="str">
        <f t="shared" si="1"/>
        <v/>
      </c>
      <c r="E25" s="30" t="str">
        <f t="shared" si="2"/>
        <v/>
      </c>
      <c r="F25" s="35" t="str">
        <f t="shared" si="5"/>
        <v> </v>
      </c>
      <c r="G25" s="40" t="str">
        <f t="shared" si="6"/>
        <v> </v>
      </c>
      <c r="H25" s="42" t="str">
        <f t="shared" si="7"/>
        <v> </v>
      </c>
    </row>
    <row r="26" ht="15.75" customHeight="1">
      <c r="A26" s="27">
        <v>14.0</v>
      </c>
      <c r="B26" s="34" t="str">
        <f t="shared" si="3"/>
        <v/>
      </c>
      <c r="C26" s="34" t="str">
        <f t="shared" si="4"/>
        <v/>
      </c>
      <c r="D26" s="29" t="str">
        <f t="shared" si="1"/>
        <v/>
      </c>
      <c r="E26" s="30" t="str">
        <f t="shared" si="2"/>
        <v/>
      </c>
      <c r="F26" s="35" t="str">
        <f t="shared" si="5"/>
        <v> </v>
      </c>
      <c r="G26" s="40" t="str">
        <f t="shared" si="6"/>
        <v> </v>
      </c>
      <c r="H26" s="42" t="str">
        <f t="shared" si="7"/>
        <v> </v>
      </c>
    </row>
    <row r="27" ht="15.75" customHeight="1">
      <c r="A27" s="27">
        <v>15.0</v>
      </c>
      <c r="B27" s="34" t="str">
        <f t="shared" si="3"/>
        <v/>
      </c>
      <c r="C27" s="34" t="str">
        <f t="shared" si="4"/>
        <v/>
      </c>
      <c r="D27" s="29" t="str">
        <f t="shared" si="1"/>
        <v/>
      </c>
      <c r="E27" s="30" t="str">
        <f t="shared" si="2"/>
        <v/>
      </c>
      <c r="F27" s="35" t="str">
        <f t="shared" si="5"/>
        <v> </v>
      </c>
      <c r="G27" s="40" t="str">
        <f t="shared" si="6"/>
        <v> </v>
      </c>
      <c r="H27" s="42" t="str">
        <f t="shared" si="7"/>
        <v> </v>
      </c>
    </row>
    <row r="28" ht="15.75" customHeight="1">
      <c r="A28" s="27">
        <v>16.0</v>
      </c>
      <c r="B28" s="34" t="str">
        <f t="shared" si="3"/>
        <v/>
      </c>
      <c r="C28" s="34" t="str">
        <f t="shared" si="4"/>
        <v/>
      </c>
      <c r="D28" s="29" t="str">
        <f t="shared" si="1"/>
        <v/>
      </c>
      <c r="E28" s="30" t="str">
        <f t="shared" si="2"/>
        <v/>
      </c>
      <c r="F28" s="35" t="str">
        <f t="shared" si="5"/>
        <v> </v>
      </c>
      <c r="G28" s="40" t="str">
        <f t="shared" si="6"/>
        <v> </v>
      </c>
      <c r="H28" s="42" t="str">
        <f t="shared" si="7"/>
        <v> </v>
      </c>
    </row>
    <row r="29" ht="15.75" customHeight="1">
      <c r="A29" s="27">
        <v>17.0</v>
      </c>
      <c r="B29" s="34" t="str">
        <f t="shared" si="3"/>
        <v/>
      </c>
      <c r="C29" s="34" t="str">
        <f t="shared" si="4"/>
        <v/>
      </c>
      <c r="D29" s="29" t="str">
        <f t="shared" si="1"/>
        <v/>
      </c>
      <c r="E29" s="30" t="str">
        <f t="shared" si="2"/>
        <v/>
      </c>
      <c r="F29" s="35" t="str">
        <f t="shared" si="5"/>
        <v> </v>
      </c>
      <c r="G29" s="40" t="str">
        <f t="shared" si="6"/>
        <v> </v>
      </c>
      <c r="H29" s="42" t="str">
        <f t="shared" si="7"/>
        <v> </v>
      </c>
    </row>
    <row r="30" ht="15.75" customHeight="1">
      <c r="A30" s="27">
        <v>18.0</v>
      </c>
      <c r="B30" s="34" t="str">
        <f t="shared" si="3"/>
        <v/>
      </c>
      <c r="C30" s="34" t="str">
        <f t="shared" si="4"/>
        <v/>
      </c>
      <c r="D30" s="29" t="str">
        <f t="shared" si="1"/>
        <v/>
      </c>
      <c r="E30" s="30" t="str">
        <f t="shared" si="2"/>
        <v/>
      </c>
      <c r="F30" s="35" t="str">
        <f t="shared" si="5"/>
        <v> </v>
      </c>
      <c r="G30" s="40" t="str">
        <f t="shared" si="6"/>
        <v> </v>
      </c>
      <c r="H30" s="42" t="str">
        <f t="shared" si="7"/>
        <v> </v>
      </c>
    </row>
    <row r="31" ht="15.75" customHeight="1">
      <c r="A31" s="27">
        <v>19.0</v>
      </c>
      <c r="B31" s="34" t="str">
        <f t="shared" si="3"/>
        <v/>
      </c>
      <c r="C31" s="34" t="str">
        <f t="shared" si="4"/>
        <v/>
      </c>
      <c r="D31" s="29" t="str">
        <f t="shared" si="1"/>
        <v/>
      </c>
      <c r="E31" s="30" t="str">
        <f t="shared" si="2"/>
        <v/>
      </c>
      <c r="F31" s="35" t="str">
        <f t="shared" si="5"/>
        <v> </v>
      </c>
      <c r="G31" s="40" t="str">
        <f t="shared" si="6"/>
        <v> </v>
      </c>
      <c r="H31" s="42" t="str">
        <f t="shared" si="7"/>
        <v> </v>
      </c>
    </row>
    <row r="32" ht="15.75" customHeight="1">
      <c r="A32" s="27">
        <v>20.0</v>
      </c>
      <c r="B32" s="34" t="str">
        <f t="shared" si="3"/>
        <v/>
      </c>
      <c r="C32" s="34" t="str">
        <f t="shared" si="4"/>
        <v/>
      </c>
      <c r="D32" s="29" t="str">
        <f t="shared" si="1"/>
        <v/>
      </c>
      <c r="E32" s="30" t="str">
        <f t="shared" si="2"/>
        <v/>
      </c>
      <c r="F32" s="35" t="str">
        <f t="shared" si="5"/>
        <v> </v>
      </c>
      <c r="G32" s="40" t="str">
        <f t="shared" si="6"/>
        <v> </v>
      </c>
      <c r="H32" s="42" t="str">
        <f t="shared" si="7"/>
        <v> </v>
      </c>
    </row>
    <row r="33" ht="15.75" customHeight="1">
      <c r="A33" s="27">
        <v>21.0</v>
      </c>
      <c r="B33" s="34" t="str">
        <f t="shared" si="3"/>
        <v/>
      </c>
      <c r="C33" s="34" t="str">
        <f t="shared" si="4"/>
        <v/>
      </c>
      <c r="D33" s="29" t="str">
        <f t="shared" si="1"/>
        <v/>
      </c>
      <c r="E33" s="30" t="str">
        <f t="shared" si="2"/>
        <v/>
      </c>
      <c r="F33" s="35" t="str">
        <f t="shared" si="5"/>
        <v> </v>
      </c>
      <c r="G33" s="40" t="str">
        <f t="shared" si="6"/>
        <v> </v>
      </c>
      <c r="H33" s="42" t="str">
        <f t="shared" si="7"/>
        <v> </v>
      </c>
    </row>
    <row r="34" ht="15.75" customHeight="1">
      <c r="A34" s="27">
        <v>22.0</v>
      </c>
      <c r="B34" s="34" t="str">
        <f t="shared" si="3"/>
        <v/>
      </c>
      <c r="C34" s="34" t="str">
        <f t="shared" si="4"/>
        <v/>
      </c>
      <c r="D34" s="29" t="str">
        <f t="shared" si="1"/>
        <v/>
      </c>
      <c r="E34" s="30" t="str">
        <f t="shared" si="2"/>
        <v/>
      </c>
      <c r="F34" s="35" t="str">
        <f t="shared" si="5"/>
        <v> </v>
      </c>
      <c r="G34" s="40" t="str">
        <f t="shared" si="6"/>
        <v> </v>
      </c>
      <c r="H34" s="42" t="str">
        <f t="shared" si="7"/>
        <v> </v>
      </c>
    </row>
    <row r="35" ht="15.75" customHeight="1">
      <c r="A35" s="27">
        <v>23.0</v>
      </c>
      <c r="B35" s="34" t="str">
        <f t="shared" si="3"/>
        <v/>
      </c>
      <c r="C35" s="34" t="str">
        <f t="shared" si="4"/>
        <v/>
      </c>
      <c r="D35" s="29" t="str">
        <f t="shared" si="1"/>
        <v/>
      </c>
      <c r="E35" s="30" t="str">
        <f t="shared" si="2"/>
        <v/>
      </c>
      <c r="F35" s="35" t="str">
        <f t="shared" si="5"/>
        <v> </v>
      </c>
      <c r="G35" s="40" t="str">
        <f t="shared" si="6"/>
        <v> </v>
      </c>
      <c r="H35" s="42" t="str">
        <f t="shared" si="7"/>
        <v> </v>
      </c>
    </row>
    <row r="36" ht="15.75" customHeight="1">
      <c r="A36" s="27">
        <v>24.0</v>
      </c>
      <c r="B36" s="34" t="str">
        <f t="shared" si="3"/>
        <v/>
      </c>
      <c r="C36" s="34" t="str">
        <f t="shared" si="4"/>
        <v/>
      </c>
      <c r="D36" s="29" t="str">
        <f t="shared" si="1"/>
        <v/>
      </c>
      <c r="E36" s="30" t="str">
        <f t="shared" si="2"/>
        <v/>
      </c>
      <c r="F36" s="35" t="str">
        <f t="shared" si="5"/>
        <v> </v>
      </c>
      <c r="G36" s="40" t="str">
        <f t="shared" si="6"/>
        <v> </v>
      </c>
      <c r="H36" s="42" t="str">
        <f t="shared" si="7"/>
        <v> </v>
      </c>
    </row>
    <row r="37" ht="15.75" customHeight="1">
      <c r="A37" s="27">
        <v>25.0</v>
      </c>
      <c r="B37" s="34" t="str">
        <f t="shared" si="3"/>
        <v/>
      </c>
      <c r="C37" s="34" t="str">
        <f t="shared" si="4"/>
        <v/>
      </c>
      <c r="D37" s="29" t="str">
        <f t="shared" si="1"/>
        <v/>
      </c>
      <c r="E37" s="30" t="str">
        <f t="shared" si="2"/>
        <v/>
      </c>
      <c r="F37" s="35" t="str">
        <f t="shared" si="5"/>
        <v> </v>
      </c>
      <c r="G37" s="40" t="str">
        <f t="shared" si="6"/>
        <v> </v>
      </c>
      <c r="H37" s="42" t="str">
        <f t="shared" si="7"/>
        <v> </v>
      </c>
    </row>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sheetData>
  <mergeCells count="8">
    <mergeCell ref="B1:F1"/>
    <mergeCell ref="B3:C3"/>
    <mergeCell ref="B4:C4"/>
    <mergeCell ref="B5:C5"/>
    <mergeCell ref="B6:C6"/>
    <mergeCell ref="B7:C7"/>
    <mergeCell ref="B8:C8"/>
    <mergeCell ref="B12:C12"/>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7.57"/>
    <col customWidth="1" min="2" max="2" width="14.14"/>
    <col customWidth="1" min="3" max="3" width="16.29"/>
    <col customWidth="1" min="4" max="4" width="14.0"/>
    <col customWidth="1" min="5" max="5" width="10.29"/>
    <col customWidth="1" min="6" max="7" width="18.43"/>
    <col customWidth="1" min="8" max="8" width="17.0"/>
  </cols>
  <sheetData>
    <row r="1">
      <c r="B1" s="12" t="s">
        <v>39</v>
      </c>
    </row>
    <row r="2" ht="15.75" customHeight="1"/>
    <row r="3" ht="15.75" customHeight="1">
      <c r="B3" s="13" t="s">
        <v>23</v>
      </c>
      <c r="C3" s="14"/>
      <c r="D3" s="15">
        <v>1.2E8</v>
      </c>
      <c r="E3" s="16"/>
      <c r="F3" s="16"/>
      <c r="H3" s="16"/>
    </row>
    <row r="4" ht="15.75" customHeight="1">
      <c r="B4" s="13" t="s">
        <v>24</v>
      </c>
      <c r="C4" s="14"/>
      <c r="D4" s="43">
        <v>44986.0</v>
      </c>
      <c r="E4" s="16"/>
      <c r="F4" s="16"/>
      <c r="H4" s="16"/>
    </row>
    <row r="5" ht="15.75" customHeight="1">
      <c r="B5" s="13" t="s">
        <v>25</v>
      </c>
      <c r="C5" s="14"/>
      <c r="D5" s="44" t="s">
        <v>40</v>
      </c>
      <c r="E5" s="16"/>
      <c r="F5" s="16"/>
      <c r="H5" s="16"/>
    </row>
    <row r="6" ht="15.75" customHeight="1">
      <c r="B6" s="13" t="s">
        <v>26</v>
      </c>
      <c r="C6" s="14"/>
      <c r="D6" s="19">
        <v>6.0</v>
      </c>
      <c r="E6" s="16"/>
      <c r="F6" s="16"/>
      <c r="H6" s="16"/>
    </row>
    <row r="7" ht="15.75" customHeight="1">
      <c r="B7" s="13" t="s">
        <v>27</v>
      </c>
      <c r="C7" s="14"/>
      <c r="D7" s="20">
        <v>1.0E7</v>
      </c>
      <c r="E7" s="16"/>
      <c r="F7" s="16"/>
      <c r="H7" s="16"/>
    </row>
    <row r="8" ht="15.75" customHeight="1">
      <c r="B8" s="37" t="s">
        <v>38</v>
      </c>
      <c r="C8" s="14"/>
      <c r="D8" s="45" t="str">
        <f>IFERROR(2/D6,"")</f>
        <v>33.3333%</v>
      </c>
      <c r="E8" s="16"/>
      <c r="F8" s="16"/>
      <c r="G8" s="16"/>
      <c r="H8" s="16"/>
    </row>
    <row r="9" ht="15.75" customHeight="1">
      <c r="B9" s="16"/>
      <c r="C9" s="16"/>
      <c r="D9" s="39"/>
      <c r="E9" s="16"/>
      <c r="F9" s="16"/>
      <c r="G9" s="16"/>
      <c r="H9" s="16"/>
    </row>
    <row r="10" ht="15.75" customHeight="1">
      <c r="B10" s="16"/>
      <c r="C10" s="16"/>
      <c r="D10" s="39"/>
      <c r="E10" s="16"/>
      <c r="F10" s="16"/>
      <c r="G10" s="16"/>
      <c r="H10" s="16"/>
    </row>
    <row r="11" ht="15.75" customHeight="1"/>
    <row r="12">
      <c r="A12" s="24" t="s">
        <v>29</v>
      </c>
      <c r="B12" s="25" t="s">
        <v>30</v>
      </c>
      <c r="C12" s="26"/>
      <c r="D12" s="24" t="s">
        <v>31</v>
      </c>
      <c r="E12" s="46" t="s">
        <v>32</v>
      </c>
      <c r="F12" s="24" t="s">
        <v>33</v>
      </c>
      <c r="G12" s="24" t="s">
        <v>34</v>
      </c>
      <c r="H12" s="24" t="s">
        <v>35</v>
      </c>
    </row>
    <row r="13" ht="15.75" customHeight="1">
      <c r="A13" s="27">
        <v>1.0</v>
      </c>
      <c r="B13" s="28" t="str">
        <f>DATEVALUE(D4)</f>
        <v>3/1/2023</v>
      </c>
      <c r="C13" s="28" t="str">
        <f>IFERROR(DATE(RIGHT(D5,4),MID(D5,4,2),LEFT(D5,2)),"")</f>
        <v>12/31/2023</v>
      </c>
      <c r="D13" s="29" t="str">
        <f t="shared" ref="D13:D37" si="1">IFERROR(IF(B13="","",DATEDIF(B13,C13,"D")+1),"")</f>
        <v>306</v>
      </c>
      <c r="E13" s="30" t="str">
        <f t="shared" ref="E13:E37" si="2">IF(AND(B13="",C13=""),"",IFS(MOD(YEAR(C13),4)=0,366,MOD(YEAR(C13),100)&lt;&gt;0,365,MOD(YEAR(C13),400)=0,366))</f>
        <v>365</v>
      </c>
      <c r="F13" s="31" t="str">
        <f>IF(D8="","",$D$8*(D3-D7))</f>
        <v> Rp 36,666,666.67 </v>
      </c>
      <c r="G13" s="40" t="str">
        <f>F13</f>
        <v> Rp 36,666,666.67 </v>
      </c>
      <c r="H13" s="41" t="str">
        <f>IF(D3="","",D3-F13)</f>
        <v> Rp 83,333,333 </v>
      </c>
    </row>
    <row r="14" ht="15.75" customHeight="1">
      <c r="A14" s="27">
        <v>2.0</v>
      </c>
      <c r="B14" s="34" t="str">
        <f t="shared" ref="B14:B37" si="3">IF(AND(C13&lt;&gt;"",A14&lt;=$D$6),C13+1,"")</f>
        <v>1/1/2024</v>
      </c>
      <c r="C14" s="34" t="str">
        <f t="shared" ref="C14:C37" si="4">IF(AND(B14&lt;&gt;"",A14&lt;=$D$6), IF(OR(AND(MOD(YEAR(B14), 4)=0, MOD(YEAR(B14), 100)&lt;&gt;0), MOD(YEAR(B14), 400)=0), B14+365, B14+364), "")</f>
        <v>12/31/2024</v>
      </c>
      <c r="D14" s="29" t="str">
        <f t="shared" si="1"/>
        <v>366</v>
      </c>
      <c r="E14" s="30" t="str">
        <f t="shared" si="2"/>
        <v>366</v>
      </c>
      <c r="F14" s="35" t="str">
        <f t="shared" ref="F14:F37" si="5">IF(A14&lt;=$D$6, IF(H13&lt;=$D$7, 0, MIN(H13*$D$8*(D14/E14), H13-$D$7)), "")</f>
        <v> Rp 27,777,777.78 </v>
      </c>
      <c r="G14" s="40" t="str">
        <f t="shared" ref="G14:G37" si="6">IF(A14&lt;=D$6,G13+F14,"")</f>
        <v> Rp 64,444,444.44 </v>
      </c>
      <c r="H14" s="42" t="str">
        <f t="shared" ref="H14:H37" si="7">IF(A14&lt;=$D$6, IF(A14=$D$6, $D$7, IF(H13&lt;=$D$7, $D$7, MAX(H13-F14, $D$7))), "")</f>
        <v> Rp 55,555,556 </v>
      </c>
    </row>
    <row r="15" ht="15.75" customHeight="1">
      <c r="A15" s="27">
        <v>3.0</v>
      </c>
      <c r="B15" s="34" t="str">
        <f t="shared" si="3"/>
        <v>1/1/2025</v>
      </c>
      <c r="C15" s="34" t="str">
        <f t="shared" si="4"/>
        <v>12/31/2025</v>
      </c>
      <c r="D15" s="29" t="str">
        <f t="shared" si="1"/>
        <v>365</v>
      </c>
      <c r="E15" s="30" t="str">
        <f t="shared" si="2"/>
        <v>365</v>
      </c>
      <c r="F15" s="35" t="str">
        <f t="shared" si="5"/>
        <v> Rp 18,518,518.52 </v>
      </c>
      <c r="G15" s="40" t="str">
        <f t="shared" si="6"/>
        <v> Rp 82,962,962.96 </v>
      </c>
      <c r="H15" s="42" t="str">
        <f t="shared" si="7"/>
        <v> Rp 37,037,037 </v>
      </c>
    </row>
    <row r="16" ht="15.75" customHeight="1">
      <c r="A16" s="27">
        <v>4.0</v>
      </c>
      <c r="B16" s="34" t="str">
        <f t="shared" si="3"/>
        <v>1/1/2026</v>
      </c>
      <c r="C16" s="34" t="str">
        <f t="shared" si="4"/>
        <v>12/31/2026</v>
      </c>
      <c r="D16" s="29" t="str">
        <f t="shared" si="1"/>
        <v>365</v>
      </c>
      <c r="E16" s="30" t="str">
        <f t="shared" si="2"/>
        <v>365</v>
      </c>
      <c r="F16" s="35" t="str">
        <f t="shared" si="5"/>
        <v> Rp 12,345,679.01 </v>
      </c>
      <c r="G16" s="40" t="str">
        <f t="shared" si="6"/>
        <v> Rp 95,308,641.98 </v>
      </c>
      <c r="H16" s="42" t="str">
        <f t="shared" si="7"/>
        <v> Rp 24,691,358 </v>
      </c>
    </row>
    <row r="17" ht="15.75" customHeight="1">
      <c r="A17" s="27">
        <v>5.0</v>
      </c>
      <c r="B17" s="34" t="str">
        <f t="shared" si="3"/>
        <v>1/1/2027</v>
      </c>
      <c r="C17" s="34" t="str">
        <f t="shared" si="4"/>
        <v>12/31/2027</v>
      </c>
      <c r="D17" s="29" t="str">
        <f t="shared" si="1"/>
        <v>365</v>
      </c>
      <c r="E17" s="30" t="str">
        <f t="shared" si="2"/>
        <v>365</v>
      </c>
      <c r="F17" s="35" t="str">
        <f t="shared" si="5"/>
        <v> Rp 8,230,452.67 </v>
      </c>
      <c r="G17" s="40" t="str">
        <f t="shared" si="6"/>
        <v> Rp 103,539,094.65 </v>
      </c>
      <c r="H17" s="42" t="str">
        <f t="shared" si="7"/>
        <v> Rp 16,460,905 </v>
      </c>
    </row>
    <row r="18" ht="15.75" customHeight="1">
      <c r="A18" s="27">
        <v>6.0</v>
      </c>
      <c r="B18" s="34" t="str">
        <f t="shared" si="3"/>
        <v>1/1/2028</v>
      </c>
      <c r="C18" s="34" t="str">
        <f t="shared" si="4"/>
        <v>12/31/2028</v>
      </c>
      <c r="D18" s="29" t="str">
        <f t="shared" si="1"/>
        <v>366</v>
      </c>
      <c r="E18" s="30" t="str">
        <f t="shared" si="2"/>
        <v>366</v>
      </c>
      <c r="F18" s="35" t="str">
        <f t="shared" si="5"/>
        <v> Rp 5,486,968.45 </v>
      </c>
      <c r="G18" s="40" t="str">
        <f t="shared" si="6"/>
        <v> Rp 109,026,063.10 </v>
      </c>
      <c r="H18" s="42" t="str">
        <f t="shared" si="7"/>
        <v> Rp 10,000,000 </v>
      </c>
    </row>
    <row r="19" ht="15.75" customHeight="1">
      <c r="A19" s="27">
        <v>7.0</v>
      </c>
      <c r="B19" s="34" t="str">
        <f t="shared" si="3"/>
        <v/>
      </c>
      <c r="C19" s="34" t="str">
        <f t="shared" si="4"/>
        <v/>
      </c>
      <c r="D19" s="29" t="str">
        <f t="shared" si="1"/>
        <v/>
      </c>
      <c r="E19" s="30" t="str">
        <f t="shared" si="2"/>
        <v/>
      </c>
      <c r="F19" s="35" t="str">
        <f t="shared" si="5"/>
        <v> </v>
      </c>
      <c r="G19" s="40" t="str">
        <f t="shared" si="6"/>
        <v> </v>
      </c>
      <c r="H19" s="42" t="str">
        <f t="shared" si="7"/>
        <v> </v>
      </c>
    </row>
    <row r="20" ht="15.75" customHeight="1">
      <c r="A20" s="27">
        <v>8.0</v>
      </c>
      <c r="B20" s="34" t="str">
        <f t="shared" si="3"/>
        <v/>
      </c>
      <c r="C20" s="34" t="str">
        <f t="shared" si="4"/>
        <v/>
      </c>
      <c r="D20" s="29" t="str">
        <f t="shared" si="1"/>
        <v/>
      </c>
      <c r="E20" s="30" t="str">
        <f t="shared" si="2"/>
        <v/>
      </c>
      <c r="F20" s="35" t="str">
        <f t="shared" si="5"/>
        <v> </v>
      </c>
      <c r="G20" s="40" t="str">
        <f t="shared" si="6"/>
        <v> </v>
      </c>
      <c r="H20" s="42" t="str">
        <f t="shared" si="7"/>
        <v> </v>
      </c>
    </row>
    <row r="21" ht="15.75" customHeight="1">
      <c r="A21" s="27">
        <v>9.0</v>
      </c>
      <c r="B21" s="34" t="str">
        <f t="shared" si="3"/>
        <v/>
      </c>
      <c r="C21" s="34" t="str">
        <f t="shared" si="4"/>
        <v/>
      </c>
      <c r="D21" s="29" t="str">
        <f t="shared" si="1"/>
        <v/>
      </c>
      <c r="E21" s="30" t="str">
        <f t="shared" si="2"/>
        <v/>
      </c>
      <c r="F21" s="35" t="str">
        <f t="shared" si="5"/>
        <v> </v>
      </c>
      <c r="G21" s="40" t="str">
        <f t="shared" si="6"/>
        <v> </v>
      </c>
      <c r="H21" s="42" t="str">
        <f t="shared" si="7"/>
        <v> </v>
      </c>
    </row>
    <row r="22" ht="15.75" customHeight="1">
      <c r="A22" s="27">
        <v>10.0</v>
      </c>
      <c r="B22" s="34" t="str">
        <f t="shared" si="3"/>
        <v/>
      </c>
      <c r="C22" s="34" t="str">
        <f t="shared" si="4"/>
        <v/>
      </c>
      <c r="D22" s="29" t="str">
        <f t="shared" si="1"/>
        <v/>
      </c>
      <c r="E22" s="30" t="str">
        <f t="shared" si="2"/>
        <v/>
      </c>
      <c r="F22" s="35" t="str">
        <f t="shared" si="5"/>
        <v> </v>
      </c>
      <c r="G22" s="40" t="str">
        <f t="shared" si="6"/>
        <v> </v>
      </c>
      <c r="H22" s="42" t="str">
        <f t="shared" si="7"/>
        <v> </v>
      </c>
    </row>
    <row r="23" ht="15.75" customHeight="1">
      <c r="A23" s="27">
        <v>11.0</v>
      </c>
      <c r="B23" s="34" t="str">
        <f t="shared" si="3"/>
        <v/>
      </c>
      <c r="C23" s="34" t="str">
        <f t="shared" si="4"/>
        <v/>
      </c>
      <c r="D23" s="29" t="str">
        <f t="shared" si="1"/>
        <v/>
      </c>
      <c r="E23" s="30" t="str">
        <f t="shared" si="2"/>
        <v/>
      </c>
      <c r="F23" s="35" t="str">
        <f t="shared" si="5"/>
        <v> </v>
      </c>
      <c r="G23" s="40" t="str">
        <f t="shared" si="6"/>
        <v> </v>
      </c>
      <c r="H23" s="42" t="str">
        <f t="shared" si="7"/>
        <v> </v>
      </c>
    </row>
    <row r="24" ht="15.75" customHeight="1">
      <c r="A24" s="27">
        <v>12.0</v>
      </c>
      <c r="B24" s="34" t="str">
        <f t="shared" si="3"/>
        <v/>
      </c>
      <c r="C24" s="34" t="str">
        <f t="shared" si="4"/>
        <v/>
      </c>
      <c r="D24" s="29" t="str">
        <f t="shared" si="1"/>
        <v/>
      </c>
      <c r="E24" s="30" t="str">
        <f t="shared" si="2"/>
        <v/>
      </c>
      <c r="F24" s="35" t="str">
        <f t="shared" si="5"/>
        <v> </v>
      </c>
      <c r="G24" s="40" t="str">
        <f t="shared" si="6"/>
        <v> </v>
      </c>
      <c r="H24" s="42" t="str">
        <f t="shared" si="7"/>
        <v> </v>
      </c>
    </row>
    <row r="25" ht="15.75" customHeight="1">
      <c r="A25" s="27">
        <v>13.0</v>
      </c>
      <c r="B25" s="34" t="str">
        <f t="shared" si="3"/>
        <v/>
      </c>
      <c r="C25" s="34" t="str">
        <f t="shared" si="4"/>
        <v/>
      </c>
      <c r="D25" s="29" t="str">
        <f t="shared" si="1"/>
        <v/>
      </c>
      <c r="E25" s="30" t="str">
        <f t="shared" si="2"/>
        <v/>
      </c>
      <c r="F25" s="35" t="str">
        <f t="shared" si="5"/>
        <v> </v>
      </c>
      <c r="G25" s="40" t="str">
        <f t="shared" si="6"/>
        <v> </v>
      </c>
      <c r="H25" s="42" t="str">
        <f t="shared" si="7"/>
        <v> </v>
      </c>
    </row>
    <row r="26" ht="15.75" customHeight="1">
      <c r="A26" s="27">
        <v>14.0</v>
      </c>
      <c r="B26" s="34" t="str">
        <f t="shared" si="3"/>
        <v/>
      </c>
      <c r="C26" s="34" t="str">
        <f t="shared" si="4"/>
        <v/>
      </c>
      <c r="D26" s="29" t="str">
        <f t="shared" si="1"/>
        <v/>
      </c>
      <c r="E26" s="30" t="str">
        <f t="shared" si="2"/>
        <v/>
      </c>
      <c r="F26" s="35" t="str">
        <f t="shared" si="5"/>
        <v> </v>
      </c>
      <c r="G26" s="40" t="str">
        <f t="shared" si="6"/>
        <v> </v>
      </c>
      <c r="H26" s="42" t="str">
        <f t="shared" si="7"/>
        <v> </v>
      </c>
    </row>
    <row r="27" ht="15.75" customHeight="1">
      <c r="A27" s="27">
        <v>15.0</v>
      </c>
      <c r="B27" s="34" t="str">
        <f t="shared" si="3"/>
        <v/>
      </c>
      <c r="C27" s="34" t="str">
        <f t="shared" si="4"/>
        <v/>
      </c>
      <c r="D27" s="29" t="str">
        <f t="shared" si="1"/>
        <v/>
      </c>
      <c r="E27" s="30" t="str">
        <f t="shared" si="2"/>
        <v/>
      </c>
      <c r="F27" s="35" t="str">
        <f t="shared" si="5"/>
        <v> </v>
      </c>
      <c r="G27" s="40" t="str">
        <f t="shared" si="6"/>
        <v> </v>
      </c>
      <c r="H27" s="42" t="str">
        <f t="shared" si="7"/>
        <v> </v>
      </c>
    </row>
    <row r="28" ht="15.75" customHeight="1">
      <c r="A28" s="27">
        <v>16.0</v>
      </c>
      <c r="B28" s="34" t="str">
        <f t="shared" si="3"/>
        <v/>
      </c>
      <c r="C28" s="34" t="str">
        <f t="shared" si="4"/>
        <v/>
      </c>
      <c r="D28" s="29" t="str">
        <f t="shared" si="1"/>
        <v/>
      </c>
      <c r="E28" s="30" t="str">
        <f t="shared" si="2"/>
        <v/>
      </c>
      <c r="F28" s="35" t="str">
        <f t="shared" si="5"/>
        <v> </v>
      </c>
      <c r="G28" s="40" t="str">
        <f t="shared" si="6"/>
        <v> </v>
      </c>
      <c r="H28" s="42" t="str">
        <f t="shared" si="7"/>
        <v> </v>
      </c>
    </row>
    <row r="29" ht="15.75" customHeight="1">
      <c r="A29" s="27">
        <v>17.0</v>
      </c>
      <c r="B29" s="34" t="str">
        <f t="shared" si="3"/>
        <v/>
      </c>
      <c r="C29" s="34" t="str">
        <f t="shared" si="4"/>
        <v/>
      </c>
      <c r="D29" s="29" t="str">
        <f t="shared" si="1"/>
        <v/>
      </c>
      <c r="E29" s="30" t="str">
        <f t="shared" si="2"/>
        <v/>
      </c>
      <c r="F29" s="35" t="str">
        <f t="shared" si="5"/>
        <v> </v>
      </c>
      <c r="G29" s="40" t="str">
        <f t="shared" si="6"/>
        <v> </v>
      </c>
      <c r="H29" s="42" t="str">
        <f t="shared" si="7"/>
        <v> </v>
      </c>
    </row>
    <row r="30" ht="15.75" customHeight="1">
      <c r="A30" s="27">
        <v>18.0</v>
      </c>
      <c r="B30" s="34" t="str">
        <f t="shared" si="3"/>
        <v/>
      </c>
      <c r="C30" s="34" t="str">
        <f t="shared" si="4"/>
        <v/>
      </c>
      <c r="D30" s="29" t="str">
        <f t="shared" si="1"/>
        <v/>
      </c>
      <c r="E30" s="30" t="str">
        <f t="shared" si="2"/>
        <v/>
      </c>
      <c r="F30" s="35" t="str">
        <f t="shared" si="5"/>
        <v> </v>
      </c>
      <c r="G30" s="40" t="str">
        <f t="shared" si="6"/>
        <v> </v>
      </c>
      <c r="H30" s="42" t="str">
        <f t="shared" si="7"/>
        <v> </v>
      </c>
    </row>
    <row r="31" ht="15.75" customHeight="1">
      <c r="A31" s="27">
        <v>19.0</v>
      </c>
      <c r="B31" s="34" t="str">
        <f t="shared" si="3"/>
        <v/>
      </c>
      <c r="C31" s="34" t="str">
        <f t="shared" si="4"/>
        <v/>
      </c>
      <c r="D31" s="29" t="str">
        <f t="shared" si="1"/>
        <v/>
      </c>
      <c r="E31" s="30" t="str">
        <f t="shared" si="2"/>
        <v/>
      </c>
      <c r="F31" s="35" t="str">
        <f t="shared" si="5"/>
        <v> </v>
      </c>
      <c r="G31" s="40" t="str">
        <f t="shared" si="6"/>
        <v> </v>
      </c>
      <c r="H31" s="42" t="str">
        <f t="shared" si="7"/>
        <v> </v>
      </c>
    </row>
    <row r="32" ht="15.75" customHeight="1">
      <c r="A32" s="27">
        <v>20.0</v>
      </c>
      <c r="B32" s="34" t="str">
        <f t="shared" si="3"/>
        <v/>
      </c>
      <c r="C32" s="34" t="str">
        <f t="shared" si="4"/>
        <v/>
      </c>
      <c r="D32" s="29" t="str">
        <f t="shared" si="1"/>
        <v/>
      </c>
      <c r="E32" s="30" t="str">
        <f t="shared" si="2"/>
        <v/>
      </c>
      <c r="F32" s="35" t="str">
        <f t="shared" si="5"/>
        <v> </v>
      </c>
      <c r="G32" s="40" t="str">
        <f t="shared" si="6"/>
        <v> </v>
      </c>
      <c r="H32" s="42" t="str">
        <f t="shared" si="7"/>
        <v> </v>
      </c>
    </row>
    <row r="33" ht="15.75" customHeight="1">
      <c r="A33" s="27">
        <v>21.0</v>
      </c>
      <c r="B33" s="34" t="str">
        <f t="shared" si="3"/>
        <v/>
      </c>
      <c r="C33" s="34" t="str">
        <f t="shared" si="4"/>
        <v/>
      </c>
      <c r="D33" s="29" t="str">
        <f t="shared" si="1"/>
        <v/>
      </c>
      <c r="E33" s="30" t="str">
        <f t="shared" si="2"/>
        <v/>
      </c>
      <c r="F33" s="35" t="str">
        <f t="shared" si="5"/>
        <v> </v>
      </c>
      <c r="G33" s="40" t="str">
        <f t="shared" si="6"/>
        <v> </v>
      </c>
      <c r="H33" s="42" t="str">
        <f t="shared" si="7"/>
        <v> </v>
      </c>
    </row>
    <row r="34" ht="15.75" customHeight="1">
      <c r="A34" s="27">
        <v>22.0</v>
      </c>
      <c r="B34" s="34" t="str">
        <f t="shared" si="3"/>
        <v/>
      </c>
      <c r="C34" s="34" t="str">
        <f t="shared" si="4"/>
        <v/>
      </c>
      <c r="D34" s="29" t="str">
        <f t="shared" si="1"/>
        <v/>
      </c>
      <c r="E34" s="30" t="str">
        <f t="shared" si="2"/>
        <v/>
      </c>
      <c r="F34" s="35" t="str">
        <f t="shared" si="5"/>
        <v> </v>
      </c>
      <c r="G34" s="40" t="str">
        <f t="shared" si="6"/>
        <v> </v>
      </c>
      <c r="H34" s="42" t="str">
        <f t="shared" si="7"/>
        <v> </v>
      </c>
    </row>
    <row r="35" ht="15.75" customHeight="1">
      <c r="A35" s="27">
        <v>23.0</v>
      </c>
      <c r="B35" s="34" t="str">
        <f t="shared" si="3"/>
        <v/>
      </c>
      <c r="C35" s="34" t="str">
        <f t="shared" si="4"/>
        <v/>
      </c>
      <c r="D35" s="29" t="str">
        <f t="shared" si="1"/>
        <v/>
      </c>
      <c r="E35" s="30" t="str">
        <f t="shared" si="2"/>
        <v/>
      </c>
      <c r="F35" s="35" t="str">
        <f t="shared" si="5"/>
        <v> </v>
      </c>
      <c r="G35" s="40" t="str">
        <f t="shared" si="6"/>
        <v> </v>
      </c>
      <c r="H35" s="42" t="str">
        <f t="shared" si="7"/>
        <v> </v>
      </c>
    </row>
    <row r="36" ht="15.75" customHeight="1">
      <c r="A36" s="27">
        <v>24.0</v>
      </c>
      <c r="B36" s="34" t="str">
        <f t="shared" si="3"/>
        <v/>
      </c>
      <c r="C36" s="34" t="str">
        <f t="shared" si="4"/>
        <v/>
      </c>
      <c r="D36" s="29" t="str">
        <f t="shared" si="1"/>
        <v/>
      </c>
      <c r="E36" s="30" t="str">
        <f t="shared" si="2"/>
        <v/>
      </c>
      <c r="F36" s="35" t="str">
        <f t="shared" si="5"/>
        <v> </v>
      </c>
      <c r="G36" s="40" t="str">
        <f t="shared" si="6"/>
        <v> </v>
      </c>
      <c r="H36" s="42" t="str">
        <f t="shared" si="7"/>
        <v> </v>
      </c>
    </row>
    <row r="37" ht="15.75" customHeight="1">
      <c r="A37" s="27">
        <v>25.0</v>
      </c>
      <c r="B37" s="34" t="str">
        <f t="shared" si="3"/>
        <v/>
      </c>
      <c r="C37" s="34" t="str">
        <f t="shared" si="4"/>
        <v/>
      </c>
      <c r="D37" s="29" t="str">
        <f t="shared" si="1"/>
        <v/>
      </c>
      <c r="E37" s="30" t="str">
        <f t="shared" si="2"/>
        <v/>
      </c>
      <c r="F37" s="35" t="str">
        <f t="shared" si="5"/>
        <v> </v>
      </c>
      <c r="G37" s="40" t="str">
        <f t="shared" si="6"/>
        <v> </v>
      </c>
      <c r="H37" s="42" t="str">
        <f t="shared" si="7"/>
        <v> </v>
      </c>
    </row>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sheetData>
  <mergeCells count="8">
    <mergeCell ref="B1:F1"/>
    <mergeCell ref="B3:C3"/>
    <mergeCell ref="B4:C4"/>
    <mergeCell ref="B5:C5"/>
    <mergeCell ref="B6:C6"/>
    <mergeCell ref="B7:C7"/>
    <mergeCell ref="B8:C8"/>
    <mergeCell ref="B12:C12"/>
  </mergeCell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7.57"/>
    <col customWidth="1" min="2" max="6" width="14.29"/>
    <col customWidth="1" min="7" max="7" width="17.43"/>
    <col customWidth="1" min="8" max="8" width="15.29"/>
    <col customWidth="1" min="9" max="9" width="15.86"/>
  </cols>
  <sheetData>
    <row r="1">
      <c r="B1" s="12" t="s">
        <v>41</v>
      </c>
    </row>
    <row r="3">
      <c r="B3" s="13" t="s">
        <v>23</v>
      </c>
      <c r="C3" s="14"/>
      <c r="D3" s="15">
        <v>1.2E8</v>
      </c>
      <c r="E3" s="16"/>
      <c r="F3" s="16"/>
      <c r="G3" s="16"/>
      <c r="I3" s="16"/>
    </row>
    <row r="4">
      <c r="B4" s="13" t="s">
        <v>24</v>
      </c>
      <c r="C4" s="14"/>
      <c r="D4" s="17">
        <v>44013.0</v>
      </c>
      <c r="E4" s="16"/>
      <c r="F4" s="16"/>
      <c r="G4" s="16"/>
      <c r="I4" s="16"/>
    </row>
    <row r="5">
      <c r="B5" s="13" t="s">
        <v>25</v>
      </c>
      <c r="C5" s="14"/>
      <c r="D5" s="19" t="s">
        <v>42</v>
      </c>
      <c r="E5" s="16"/>
      <c r="F5" s="16"/>
      <c r="G5" s="16"/>
      <c r="I5" s="16"/>
    </row>
    <row r="6">
      <c r="B6" s="13" t="s">
        <v>26</v>
      </c>
      <c r="C6" s="14"/>
      <c r="D6" s="19">
        <v>5.0</v>
      </c>
      <c r="E6" s="16"/>
      <c r="F6" s="16"/>
      <c r="G6" s="16"/>
      <c r="I6" s="16"/>
    </row>
    <row r="7">
      <c r="B7" s="13" t="s">
        <v>43</v>
      </c>
      <c r="C7" s="14"/>
      <c r="D7" s="19">
        <v>60000.0</v>
      </c>
      <c r="E7" s="16"/>
      <c r="F7" s="16"/>
      <c r="G7" s="16"/>
      <c r="I7" s="16"/>
    </row>
    <row r="8">
      <c r="B8" s="13" t="s">
        <v>27</v>
      </c>
      <c r="C8" s="14"/>
      <c r="D8" s="20">
        <v>1.2E7</v>
      </c>
      <c r="E8" s="16"/>
      <c r="F8" s="16"/>
      <c r="G8" s="16"/>
      <c r="I8" s="16"/>
    </row>
    <row r="9">
      <c r="B9" s="16"/>
      <c r="C9" s="16"/>
      <c r="D9" s="47"/>
      <c r="E9" s="16"/>
      <c r="F9" s="16"/>
      <c r="G9" s="16"/>
      <c r="I9" s="16"/>
    </row>
    <row r="10">
      <c r="B10" s="16"/>
      <c r="C10" s="16"/>
      <c r="D10" s="47"/>
      <c r="E10" s="16"/>
      <c r="F10" s="16"/>
      <c r="G10" s="16"/>
      <c r="I10" s="16"/>
    </row>
    <row r="11">
      <c r="A11" s="48" t="s">
        <v>29</v>
      </c>
      <c r="B11" s="48" t="s">
        <v>30</v>
      </c>
      <c r="C11" s="49"/>
      <c r="D11" s="50" t="s">
        <v>31</v>
      </c>
      <c r="E11" s="51" t="s">
        <v>32</v>
      </c>
      <c r="F11" s="50" t="s">
        <v>44</v>
      </c>
      <c r="G11" s="50" t="s">
        <v>33</v>
      </c>
      <c r="H11" s="50" t="s">
        <v>34</v>
      </c>
      <c r="I11" s="50" t="s">
        <v>35</v>
      </c>
    </row>
    <row r="12">
      <c r="A12" s="27">
        <v>1.0</v>
      </c>
      <c r="B12" s="52" t="str">
        <f>IFERROR(DATE(RIGHT(D4,4),LEFT(D4,2),MID(D4,4,2)),"")</f>
        <v>1-Jul-2020</v>
      </c>
      <c r="C12" s="52" t="str">
        <f>IFERROR(DATE(RIGHT(D5,4),MID(D5,4,2),LEFT(D5,2)),"")</f>
        <v>31-Dec-2020</v>
      </c>
      <c r="D12" s="29" t="str">
        <f t="shared" ref="D12:D36" si="1">IFERROR(IF(B12="","",DATEDIF(B12,C12,"D")+1),"")</f>
        <v>184</v>
      </c>
      <c r="E12" s="30" t="str">
        <f t="shared" ref="E12:E36" si="2">IF(AND(B12="",C12=""),"",IFS(MOD(YEAR(C12),4)=0,366,MOD(YEAR(C12),100)&lt;&gt;0,365,MOD(YEAR(C12),400)=0,366))</f>
        <v>366</v>
      </c>
      <c r="F12" s="53">
        <v>8000.0</v>
      </c>
      <c r="G12" s="54" t="str">
        <f>IF(AND(A12&lt;=$D$6,F12&lt;&gt;""),IFERROR((($D$3-$D$8)/$D$7)*F12,""),"")</f>
        <v> Rp 14,400,000.00 </v>
      </c>
      <c r="H12" s="40" t="str">
        <f>G12</f>
        <v> Rp 14,400,000.00 </v>
      </c>
      <c r="I12" s="55" t="str">
        <f>IF(D3="","",D3-G12)</f>
        <v> Rp 105,600,000 </v>
      </c>
    </row>
    <row r="13">
      <c r="A13" s="27">
        <v>2.0</v>
      </c>
      <c r="B13" s="52" t="str">
        <f t="shared" ref="B13:B36" si="3">IF(AND(C12&lt;&gt;"",A13&lt;=$D$6),C12+1,"")</f>
        <v>1-Jan-2021</v>
      </c>
      <c r="C13" s="52" t="str">
        <f t="shared" ref="C13:C36" si="4">IF(AND(B13&lt;&gt;"",A13&lt;=$D$6), IF(OR(AND(MOD(YEAR(B13), 4)=0, MOD(YEAR(B13), 100)&lt;&gt;0), MOD(YEAR(B13), 400)=0), B13+365, B13+364), "")</f>
        <v>31-Dec-2021</v>
      </c>
      <c r="D13" s="29" t="str">
        <f t="shared" si="1"/>
        <v>365</v>
      </c>
      <c r="E13" s="30" t="str">
        <f t="shared" si="2"/>
        <v>365</v>
      </c>
      <c r="F13" s="53">
        <v>14000.0</v>
      </c>
      <c r="G13" s="54" t="str">
        <f t="shared" ref="G13:G36" si="5">IFERROR(IF(F13&lt;&gt;"",(($D$3-$D$8)/$D$7)*F13,""),"")</f>
        <v> Rp 25,200,000.00 </v>
      </c>
      <c r="H13" s="40" t="str">
        <f t="shared" ref="H13:H36" si="6">IF(AND(A13&lt;=$D$6, F13=""),"", IF(AND(H12&lt;&gt;"",I12&gt;=1.2*$D$8),H12+G13,""))</f>
        <v> Rp 39,600,000.00 </v>
      </c>
      <c r="I13" s="56" t="str">
        <f>IF(G13="","",IF(I12&lt;&gt;"",I12-G13,IF(OR(I12-G13&lt;D8,I12-G13&lt;0),"",I12-G13)))</f>
        <v> Rp 80,400,000 </v>
      </c>
    </row>
    <row r="14">
      <c r="A14" s="27">
        <v>3.0</v>
      </c>
      <c r="B14" s="52" t="str">
        <f t="shared" si="3"/>
        <v>1-Jan-2022</v>
      </c>
      <c r="C14" s="52" t="str">
        <f t="shared" si="4"/>
        <v>31-Dec-2022</v>
      </c>
      <c r="D14" s="29" t="str">
        <f t="shared" si="1"/>
        <v>365</v>
      </c>
      <c r="E14" s="30" t="str">
        <f t="shared" si="2"/>
        <v>365</v>
      </c>
      <c r="F14" s="53">
        <v>15000.0</v>
      </c>
      <c r="G14" s="54" t="str">
        <f t="shared" si="5"/>
        <v> Rp 27,000,000.00 </v>
      </c>
      <c r="H14" s="40" t="str">
        <f t="shared" si="6"/>
        <v> Rp 66,600,000.00 </v>
      </c>
      <c r="I14" s="56" t="str">
        <f>IF(G14="","",IF(I13&lt;&gt;"",I13-G14,IF(OR(I13-G14&lt;D11,I13-G14&lt;0),"",I13-G14)))</f>
        <v> Rp 53,400,000 </v>
      </c>
    </row>
    <row r="15">
      <c r="A15" s="27">
        <v>4.0</v>
      </c>
      <c r="B15" s="52" t="str">
        <f t="shared" si="3"/>
        <v>1-Jan-2023</v>
      </c>
      <c r="C15" s="52" t="str">
        <f t="shared" si="4"/>
        <v>31-Dec-2023</v>
      </c>
      <c r="D15" s="29" t="str">
        <f t="shared" si="1"/>
        <v>365</v>
      </c>
      <c r="E15" s="30" t="str">
        <f t="shared" si="2"/>
        <v>365</v>
      </c>
      <c r="F15" s="53">
        <v>13000.0</v>
      </c>
      <c r="G15" s="54" t="str">
        <f t="shared" si="5"/>
        <v> Rp 23,400,000.00 </v>
      </c>
      <c r="H15" s="40" t="str">
        <f t="shared" si="6"/>
        <v> Rp 90,000,000.00 </v>
      </c>
      <c r="I15" s="56" t="str">
        <f>IF(G15="","",IF(I14&lt;&gt;"",I14-G15,IF(OR(I14-G15&lt;#REF!,I14-G15&lt;0),"",I14-G15)))</f>
        <v> Rp 30,000,000 </v>
      </c>
    </row>
    <row r="16">
      <c r="A16" s="27">
        <v>5.0</v>
      </c>
      <c r="B16" s="52" t="str">
        <f t="shared" si="3"/>
        <v>1-Jan-2024</v>
      </c>
      <c r="C16" s="52" t="str">
        <f t="shared" si="4"/>
        <v>31-Dec-2024</v>
      </c>
      <c r="D16" s="29" t="str">
        <f t="shared" si="1"/>
        <v>366</v>
      </c>
      <c r="E16" s="30" t="str">
        <f t="shared" si="2"/>
        <v>366</v>
      </c>
      <c r="F16" s="53">
        <v>10000.0</v>
      </c>
      <c r="G16" s="54" t="str">
        <f t="shared" si="5"/>
        <v> Rp 18,000,000.00 </v>
      </c>
      <c r="H16" s="40" t="str">
        <f t="shared" si="6"/>
        <v> Rp 108,000,000.00 </v>
      </c>
      <c r="I16" s="56" t="str">
        <f t="shared" ref="I16:I36" si="7">IF(G16="","",IF(I15&lt;&gt;"",I15-G16,IF(OR(I15-G16&lt;D12,I15-G16&lt;0),"",I15-G16)))</f>
        <v> Rp 12,000,000 </v>
      </c>
    </row>
    <row r="17">
      <c r="A17" s="27">
        <v>6.0</v>
      </c>
      <c r="B17" s="52" t="str">
        <f t="shared" si="3"/>
        <v/>
      </c>
      <c r="C17" s="52" t="str">
        <f t="shared" si="4"/>
        <v/>
      </c>
      <c r="D17" s="29" t="str">
        <f t="shared" si="1"/>
        <v/>
      </c>
      <c r="E17" s="30" t="str">
        <f t="shared" si="2"/>
        <v/>
      </c>
      <c r="F17" s="57"/>
      <c r="G17" s="54" t="str">
        <f t="shared" si="5"/>
        <v> </v>
      </c>
      <c r="H17" s="40" t="str">
        <f t="shared" si="6"/>
        <v> </v>
      </c>
      <c r="I17" s="56" t="str">
        <f t="shared" si="7"/>
        <v> </v>
      </c>
    </row>
    <row r="18">
      <c r="A18" s="27">
        <v>7.0</v>
      </c>
      <c r="B18" s="52" t="str">
        <f t="shared" si="3"/>
        <v/>
      </c>
      <c r="C18" s="52" t="str">
        <f t="shared" si="4"/>
        <v/>
      </c>
      <c r="D18" s="29" t="str">
        <f t="shared" si="1"/>
        <v/>
      </c>
      <c r="E18" s="30" t="str">
        <f t="shared" si="2"/>
        <v/>
      </c>
      <c r="F18" s="57"/>
      <c r="G18" s="54" t="str">
        <f t="shared" si="5"/>
        <v> </v>
      </c>
      <c r="H18" s="40" t="str">
        <f t="shared" si="6"/>
        <v> </v>
      </c>
      <c r="I18" s="56" t="str">
        <f t="shared" si="7"/>
        <v> </v>
      </c>
    </row>
    <row r="19">
      <c r="A19" s="27">
        <v>8.0</v>
      </c>
      <c r="B19" s="52" t="str">
        <f t="shared" si="3"/>
        <v/>
      </c>
      <c r="C19" s="52" t="str">
        <f t="shared" si="4"/>
        <v/>
      </c>
      <c r="D19" s="29" t="str">
        <f t="shared" si="1"/>
        <v/>
      </c>
      <c r="E19" s="30" t="str">
        <f t="shared" si="2"/>
        <v/>
      </c>
      <c r="F19" s="57"/>
      <c r="G19" s="54" t="str">
        <f t="shared" si="5"/>
        <v> </v>
      </c>
      <c r="H19" s="40" t="str">
        <f t="shared" si="6"/>
        <v> </v>
      </c>
      <c r="I19" s="56" t="str">
        <f t="shared" si="7"/>
        <v> </v>
      </c>
    </row>
    <row r="20" ht="15.75" customHeight="1">
      <c r="A20" s="27">
        <v>9.0</v>
      </c>
      <c r="B20" s="52" t="str">
        <f t="shared" si="3"/>
        <v/>
      </c>
      <c r="C20" s="52" t="str">
        <f t="shared" si="4"/>
        <v/>
      </c>
      <c r="D20" s="29" t="str">
        <f t="shared" si="1"/>
        <v/>
      </c>
      <c r="E20" s="30" t="str">
        <f t="shared" si="2"/>
        <v/>
      </c>
      <c r="F20" s="57"/>
      <c r="G20" s="54" t="str">
        <f t="shared" si="5"/>
        <v> </v>
      </c>
      <c r="H20" s="40" t="str">
        <f t="shared" si="6"/>
        <v> </v>
      </c>
      <c r="I20" s="56" t="str">
        <f t="shared" si="7"/>
        <v> </v>
      </c>
    </row>
    <row r="21" ht="15.75" customHeight="1">
      <c r="A21" s="27">
        <v>10.0</v>
      </c>
      <c r="B21" s="52" t="str">
        <f t="shared" si="3"/>
        <v/>
      </c>
      <c r="C21" s="52" t="str">
        <f t="shared" si="4"/>
        <v/>
      </c>
      <c r="D21" s="29" t="str">
        <f t="shared" si="1"/>
        <v/>
      </c>
      <c r="E21" s="30" t="str">
        <f t="shared" si="2"/>
        <v/>
      </c>
      <c r="F21" s="57"/>
      <c r="G21" s="54" t="str">
        <f t="shared" si="5"/>
        <v> </v>
      </c>
      <c r="H21" s="40" t="str">
        <f t="shared" si="6"/>
        <v> </v>
      </c>
      <c r="I21" s="56" t="str">
        <f t="shared" si="7"/>
        <v> </v>
      </c>
    </row>
    <row r="22" ht="15.75" customHeight="1">
      <c r="A22" s="27">
        <v>11.0</v>
      </c>
      <c r="B22" s="52" t="str">
        <f t="shared" si="3"/>
        <v/>
      </c>
      <c r="C22" s="52" t="str">
        <f t="shared" si="4"/>
        <v/>
      </c>
      <c r="D22" s="29" t="str">
        <f t="shared" si="1"/>
        <v/>
      </c>
      <c r="E22" s="30" t="str">
        <f t="shared" si="2"/>
        <v/>
      </c>
      <c r="F22" s="57"/>
      <c r="G22" s="54" t="str">
        <f t="shared" si="5"/>
        <v> </v>
      </c>
      <c r="H22" s="40" t="str">
        <f t="shared" si="6"/>
        <v> </v>
      </c>
      <c r="I22" s="56" t="str">
        <f t="shared" si="7"/>
        <v> </v>
      </c>
    </row>
    <row r="23" ht="15.75" customHeight="1">
      <c r="A23" s="27">
        <v>12.0</v>
      </c>
      <c r="B23" s="52" t="str">
        <f t="shared" si="3"/>
        <v/>
      </c>
      <c r="C23" s="52" t="str">
        <f t="shared" si="4"/>
        <v/>
      </c>
      <c r="D23" s="29" t="str">
        <f t="shared" si="1"/>
        <v/>
      </c>
      <c r="E23" s="30" t="str">
        <f t="shared" si="2"/>
        <v/>
      </c>
      <c r="F23" s="57"/>
      <c r="G23" s="54" t="str">
        <f t="shared" si="5"/>
        <v> </v>
      </c>
      <c r="H23" s="40" t="str">
        <f t="shared" si="6"/>
        <v> </v>
      </c>
      <c r="I23" s="56" t="str">
        <f t="shared" si="7"/>
        <v> </v>
      </c>
    </row>
    <row r="24" ht="15.75" customHeight="1">
      <c r="A24" s="27">
        <v>13.0</v>
      </c>
      <c r="B24" s="52" t="str">
        <f t="shared" si="3"/>
        <v/>
      </c>
      <c r="C24" s="52" t="str">
        <f t="shared" si="4"/>
        <v/>
      </c>
      <c r="D24" s="29" t="str">
        <f t="shared" si="1"/>
        <v/>
      </c>
      <c r="E24" s="30" t="str">
        <f t="shared" si="2"/>
        <v/>
      </c>
      <c r="F24" s="57"/>
      <c r="G24" s="54" t="str">
        <f t="shared" si="5"/>
        <v> </v>
      </c>
      <c r="H24" s="40" t="str">
        <f t="shared" si="6"/>
        <v> </v>
      </c>
      <c r="I24" s="56" t="str">
        <f t="shared" si="7"/>
        <v> </v>
      </c>
    </row>
    <row r="25" ht="15.75" customHeight="1">
      <c r="A25" s="27">
        <v>14.0</v>
      </c>
      <c r="B25" s="52" t="str">
        <f t="shared" si="3"/>
        <v/>
      </c>
      <c r="C25" s="52" t="str">
        <f t="shared" si="4"/>
        <v/>
      </c>
      <c r="D25" s="29" t="str">
        <f t="shared" si="1"/>
        <v/>
      </c>
      <c r="E25" s="30" t="str">
        <f t="shared" si="2"/>
        <v/>
      </c>
      <c r="F25" s="57"/>
      <c r="G25" s="54" t="str">
        <f t="shared" si="5"/>
        <v> </v>
      </c>
      <c r="H25" s="40" t="str">
        <f t="shared" si="6"/>
        <v> </v>
      </c>
      <c r="I25" s="56" t="str">
        <f t="shared" si="7"/>
        <v> </v>
      </c>
    </row>
    <row r="26" ht="15.75" customHeight="1">
      <c r="A26" s="27">
        <v>15.0</v>
      </c>
      <c r="B26" s="52" t="str">
        <f t="shared" si="3"/>
        <v/>
      </c>
      <c r="C26" s="52" t="str">
        <f t="shared" si="4"/>
        <v/>
      </c>
      <c r="D26" s="29" t="str">
        <f t="shared" si="1"/>
        <v/>
      </c>
      <c r="E26" s="30" t="str">
        <f t="shared" si="2"/>
        <v/>
      </c>
      <c r="F26" s="57"/>
      <c r="G26" s="54" t="str">
        <f t="shared" si="5"/>
        <v> </v>
      </c>
      <c r="H26" s="40" t="str">
        <f t="shared" si="6"/>
        <v> </v>
      </c>
      <c r="I26" s="56" t="str">
        <f t="shared" si="7"/>
        <v> </v>
      </c>
    </row>
    <row r="27" ht="15.75" customHeight="1">
      <c r="A27" s="27">
        <v>16.0</v>
      </c>
      <c r="B27" s="52" t="str">
        <f t="shared" si="3"/>
        <v/>
      </c>
      <c r="C27" s="52" t="str">
        <f t="shared" si="4"/>
        <v/>
      </c>
      <c r="D27" s="29" t="str">
        <f t="shared" si="1"/>
        <v/>
      </c>
      <c r="E27" s="30" t="str">
        <f t="shared" si="2"/>
        <v/>
      </c>
      <c r="F27" s="57"/>
      <c r="G27" s="54" t="str">
        <f t="shared" si="5"/>
        <v> </v>
      </c>
      <c r="H27" s="40" t="str">
        <f t="shared" si="6"/>
        <v> </v>
      </c>
      <c r="I27" s="56" t="str">
        <f t="shared" si="7"/>
        <v> </v>
      </c>
    </row>
    <row r="28" ht="15.75" customHeight="1">
      <c r="A28" s="27">
        <v>17.0</v>
      </c>
      <c r="B28" s="52" t="str">
        <f t="shared" si="3"/>
        <v/>
      </c>
      <c r="C28" s="52" t="str">
        <f t="shared" si="4"/>
        <v/>
      </c>
      <c r="D28" s="29" t="str">
        <f t="shared" si="1"/>
        <v/>
      </c>
      <c r="E28" s="30" t="str">
        <f t="shared" si="2"/>
        <v/>
      </c>
      <c r="F28" s="57"/>
      <c r="G28" s="54" t="str">
        <f t="shared" si="5"/>
        <v> </v>
      </c>
      <c r="H28" s="40" t="str">
        <f t="shared" si="6"/>
        <v> </v>
      </c>
      <c r="I28" s="56" t="str">
        <f t="shared" si="7"/>
        <v> </v>
      </c>
    </row>
    <row r="29" ht="15.75" customHeight="1">
      <c r="A29" s="27">
        <v>18.0</v>
      </c>
      <c r="B29" s="52" t="str">
        <f t="shared" si="3"/>
        <v/>
      </c>
      <c r="C29" s="52" t="str">
        <f t="shared" si="4"/>
        <v/>
      </c>
      <c r="D29" s="29" t="str">
        <f t="shared" si="1"/>
        <v/>
      </c>
      <c r="E29" s="30" t="str">
        <f t="shared" si="2"/>
        <v/>
      </c>
      <c r="F29" s="57"/>
      <c r="G29" s="54" t="str">
        <f t="shared" si="5"/>
        <v> </v>
      </c>
      <c r="H29" s="40" t="str">
        <f t="shared" si="6"/>
        <v> </v>
      </c>
      <c r="I29" s="56" t="str">
        <f t="shared" si="7"/>
        <v> </v>
      </c>
    </row>
    <row r="30" ht="15.75" customHeight="1">
      <c r="A30" s="27">
        <v>19.0</v>
      </c>
      <c r="B30" s="52" t="str">
        <f t="shared" si="3"/>
        <v/>
      </c>
      <c r="C30" s="52" t="str">
        <f t="shared" si="4"/>
        <v/>
      </c>
      <c r="D30" s="29" t="str">
        <f t="shared" si="1"/>
        <v/>
      </c>
      <c r="E30" s="30" t="str">
        <f t="shared" si="2"/>
        <v/>
      </c>
      <c r="F30" s="57"/>
      <c r="G30" s="54" t="str">
        <f t="shared" si="5"/>
        <v> </v>
      </c>
      <c r="H30" s="40" t="str">
        <f t="shared" si="6"/>
        <v> </v>
      </c>
      <c r="I30" s="56" t="str">
        <f t="shared" si="7"/>
        <v> </v>
      </c>
    </row>
    <row r="31" ht="15.75" customHeight="1">
      <c r="A31" s="27">
        <v>20.0</v>
      </c>
      <c r="B31" s="52" t="str">
        <f t="shared" si="3"/>
        <v/>
      </c>
      <c r="C31" s="52" t="str">
        <f t="shared" si="4"/>
        <v/>
      </c>
      <c r="D31" s="29" t="str">
        <f t="shared" si="1"/>
        <v/>
      </c>
      <c r="E31" s="30" t="str">
        <f t="shared" si="2"/>
        <v/>
      </c>
      <c r="F31" s="57"/>
      <c r="G31" s="54" t="str">
        <f t="shared" si="5"/>
        <v> </v>
      </c>
      <c r="H31" s="40" t="str">
        <f t="shared" si="6"/>
        <v> </v>
      </c>
      <c r="I31" s="56" t="str">
        <f t="shared" si="7"/>
        <v> </v>
      </c>
    </row>
    <row r="32" ht="15.75" customHeight="1">
      <c r="A32" s="27">
        <v>21.0</v>
      </c>
      <c r="B32" s="52" t="str">
        <f t="shared" si="3"/>
        <v/>
      </c>
      <c r="C32" s="52" t="str">
        <f t="shared" si="4"/>
        <v/>
      </c>
      <c r="D32" s="29" t="str">
        <f t="shared" si="1"/>
        <v/>
      </c>
      <c r="E32" s="30" t="str">
        <f t="shared" si="2"/>
        <v/>
      </c>
      <c r="F32" s="57"/>
      <c r="G32" s="54" t="str">
        <f t="shared" si="5"/>
        <v> </v>
      </c>
      <c r="H32" s="40" t="str">
        <f t="shared" si="6"/>
        <v> </v>
      </c>
      <c r="I32" s="56" t="str">
        <f t="shared" si="7"/>
        <v> </v>
      </c>
    </row>
    <row r="33" ht="15.75" customHeight="1">
      <c r="A33" s="27">
        <v>22.0</v>
      </c>
      <c r="B33" s="52" t="str">
        <f t="shared" si="3"/>
        <v/>
      </c>
      <c r="C33" s="52" t="str">
        <f t="shared" si="4"/>
        <v/>
      </c>
      <c r="D33" s="29" t="str">
        <f t="shared" si="1"/>
        <v/>
      </c>
      <c r="E33" s="30" t="str">
        <f t="shared" si="2"/>
        <v/>
      </c>
      <c r="F33" s="57"/>
      <c r="G33" s="54" t="str">
        <f t="shared" si="5"/>
        <v> </v>
      </c>
      <c r="H33" s="40" t="str">
        <f t="shared" si="6"/>
        <v> </v>
      </c>
      <c r="I33" s="56" t="str">
        <f t="shared" si="7"/>
        <v> </v>
      </c>
    </row>
    <row r="34" ht="15.75" customHeight="1">
      <c r="A34" s="27">
        <v>23.0</v>
      </c>
      <c r="B34" s="52" t="str">
        <f t="shared" si="3"/>
        <v/>
      </c>
      <c r="C34" s="52" t="str">
        <f t="shared" si="4"/>
        <v/>
      </c>
      <c r="D34" s="29" t="str">
        <f t="shared" si="1"/>
        <v/>
      </c>
      <c r="E34" s="30" t="str">
        <f t="shared" si="2"/>
        <v/>
      </c>
      <c r="F34" s="57"/>
      <c r="G34" s="54" t="str">
        <f t="shared" si="5"/>
        <v> </v>
      </c>
      <c r="H34" s="40" t="str">
        <f t="shared" si="6"/>
        <v> </v>
      </c>
      <c r="I34" s="56" t="str">
        <f t="shared" si="7"/>
        <v> </v>
      </c>
    </row>
    <row r="35" ht="15.75" customHeight="1">
      <c r="A35" s="27">
        <v>24.0</v>
      </c>
      <c r="B35" s="52" t="str">
        <f t="shared" si="3"/>
        <v/>
      </c>
      <c r="C35" s="52" t="str">
        <f t="shared" si="4"/>
        <v/>
      </c>
      <c r="D35" s="29" t="str">
        <f t="shared" si="1"/>
        <v/>
      </c>
      <c r="E35" s="30" t="str">
        <f t="shared" si="2"/>
        <v/>
      </c>
      <c r="F35" s="57"/>
      <c r="G35" s="54" t="str">
        <f t="shared" si="5"/>
        <v> </v>
      </c>
      <c r="H35" s="40" t="str">
        <f t="shared" si="6"/>
        <v> </v>
      </c>
      <c r="I35" s="56" t="str">
        <f t="shared" si="7"/>
        <v> </v>
      </c>
    </row>
    <row r="36" ht="15.75" customHeight="1">
      <c r="A36" s="27">
        <v>25.0</v>
      </c>
      <c r="B36" s="52" t="str">
        <f t="shared" si="3"/>
        <v/>
      </c>
      <c r="C36" s="52" t="str">
        <f t="shared" si="4"/>
        <v/>
      </c>
      <c r="D36" s="29" t="str">
        <f t="shared" si="1"/>
        <v/>
      </c>
      <c r="E36" s="30" t="str">
        <f t="shared" si="2"/>
        <v/>
      </c>
      <c r="F36" s="57"/>
      <c r="G36" s="54" t="str">
        <f t="shared" si="5"/>
        <v> </v>
      </c>
      <c r="H36" s="40" t="str">
        <f t="shared" si="6"/>
        <v> </v>
      </c>
      <c r="I36" s="56" t="str">
        <f t="shared" si="7"/>
        <v> </v>
      </c>
    </row>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sheetData>
  <mergeCells count="8">
    <mergeCell ref="B1:G1"/>
    <mergeCell ref="B3:C3"/>
    <mergeCell ref="B4:C4"/>
    <mergeCell ref="B5:C5"/>
    <mergeCell ref="B6:C6"/>
    <mergeCell ref="B7:C7"/>
    <mergeCell ref="B8:C8"/>
    <mergeCell ref="B11:C11"/>
  </mergeCells>
  <dataValidations>
    <dataValidation type="decimal" operator="lessThanOrEqual" allowBlank="1" showInputMessage="1" showErrorMessage="1" prompt="Masukkan Jumlah Produksi Tahun Berjalan" sqref="F12:F36">
      <formula1>SUM($F$7:$F$36)&lt;=$D$7</formula1>
    </dataValidation>
  </dataValidation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7.57"/>
    <col customWidth="1" min="2" max="3" width="14.29"/>
    <col customWidth="1" min="4" max="4" width="15.86"/>
    <col customWidth="1" min="5" max="6" width="14.29"/>
    <col customWidth="1" min="7" max="7" width="17.43"/>
    <col customWidth="1" min="8" max="8" width="18.43"/>
    <col customWidth="1" min="9" max="9" width="15.86"/>
  </cols>
  <sheetData>
    <row r="1">
      <c r="B1" s="12" t="s">
        <v>45</v>
      </c>
    </row>
    <row r="3">
      <c r="B3" s="13" t="s">
        <v>23</v>
      </c>
      <c r="C3" s="14"/>
      <c r="D3" s="15">
        <v>1.2E8</v>
      </c>
      <c r="E3" s="16"/>
      <c r="F3" s="16"/>
      <c r="G3" s="16"/>
      <c r="I3" s="16"/>
    </row>
    <row r="4">
      <c r="B4" s="13" t="s">
        <v>24</v>
      </c>
      <c r="C4" s="14"/>
      <c r="D4" s="17">
        <v>44013.0</v>
      </c>
      <c r="E4" s="16"/>
      <c r="F4" s="16"/>
      <c r="G4" s="16"/>
      <c r="I4" s="16"/>
    </row>
    <row r="5">
      <c r="B5" s="13" t="s">
        <v>25</v>
      </c>
      <c r="C5" s="14"/>
      <c r="D5" s="19" t="s">
        <v>42</v>
      </c>
      <c r="E5" s="16"/>
      <c r="F5" s="16"/>
      <c r="G5" s="16"/>
      <c r="I5" s="16"/>
    </row>
    <row r="6">
      <c r="B6" s="13" t="s">
        <v>26</v>
      </c>
      <c r="C6" s="14"/>
      <c r="D6" s="19">
        <v>5.0</v>
      </c>
      <c r="E6" s="16"/>
      <c r="F6" s="16"/>
      <c r="G6" s="16"/>
      <c r="I6" s="16"/>
    </row>
    <row r="7">
      <c r="B7" s="13" t="s">
        <v>27</v>
      </c>
      <c r="C7" s="14"/>
      <c r="D7" s="20">
        <v>1.2E7</v>
      </c>
    </row>
    <row r="8">
      <c r="B8" s="37" t="s">
        <v>46</v>
      </c>
      <c r="C8" s="14"/>
      <c r="D8" s="58" t="str">
        <f>IF(D6&lt;&gt;"",(D6*(D6+1)/2),"")</f>
        <v>15</v>
      </c>
      <c r="E8" s="16"/>
      <c r="F8" s="16"/>
      <c r="G8" s="16"/>
      <c r="I8" s="16"/>
    </row>
    <row r="9">
      <c r="F9" s="16"/>
      <c r="G9" s="16"/>
      <c r="H9" s="16"/>
    </row>
    <row r="10">
      <c r="A10" s="59" t="s">
        <v>47</v>
      </c>
    </row>
    <row r="12">
      <c r="A12" s="48" t="s">
        <v>29</v>
      </c>
      <c r="B12" s="48" t="s">
        <v>30</v>
      </c>
      <c r="C12" s="49"/>
      <c r="D12" s="50" t="s">
        <v>31</v>
      </c>
      <c r="E12" s="51" t="s">
        <v>32</v>
      </c>
      <c r="F12" s="50" t="s">
        <v>48</v>
      </c>
      <c r="G12" s="50" t="s">
        <v>33</v>
      </c>
      <c r="H12" s="50" t="s">
        <v>34</v>
      </c>
      <c r="I12" s="50" t="s">
        <v>35</v>
      </c>
    </row>
    <row r="13">
      <c r="A13" s="27">
        <v>1.0</v>
      </c>
      <c r="B13" s="52" t="str">
        <f>DATE(RIGHT(D4,4),LEFT(D4,2),MID(D4,4,2))</f>
        <v>1-Jul-2020</v>
      </c>
      <c r="C13" s="52" t="str">
        <f>IFERROR(DATE(RIGHT(D5,4),MID(D5,4,2),LEFT(D5,2)),"")</f>
        <v>31-Dec-2020</v>
      </c>
      <c r="D13" s="29" t="str">
        <f t="shared" ref="D13:D37" si="1">IFERROR(IF(B13="","",DATEDIF(B13,C13,"D")+1),"")</f>
        <v>184</v>
      </c>
      <c r="E13" s="30" t="str">
        <f t="shared" ref="E13:E37" si="2">IF(AND(B13="",C13=""),"",IFS(MOD(YEAR(C13),4)=0,366,MOD(YEAR(C13),100)&lt;&gt;0,365,MOD(YEAR(C13),400)=0,366))</f>
        <v>366</v>
      </c>
      <c r="F13" s="60" t="str">
        <f t="shared" ref="F13:F17" si="3">IFERROR(IF(AND(A13&lt;=$D$6+1, D13&gt;0), ($D$6-A13+1)/$D$8*(D13/E13), ""), "")</f>
        <v>0.17</v>
      </c>
      <c r="G13" s="54" t="str">
        <f>IFERROR(IF(A13&gt;$D$6+1,"",IF($D$3-F13*($D$3-$D$7)&lt;=$D$7, $D$3-$D$7, F13*($D$3-$D$7))),"")</f>
        <v> Rp 18,098,360.66 </v>
      </c>
      <c r="H13" s="40" t="str">
        <f>IF(G13="", "", G13)</f>
        <v> Rp 18,098,360.66 </v>
      </c>
      <c r="I13" s="55" t="str">
        <f>IF(G13="", "", $D$3-G13)</f>
        <v> Rp 101,901,639 </v>
      </c>
    </row>
    <row r="14">
      <c r="A14" s="27">
        <v>2.0</v>
      </c>
      <c r="B14" s="61" t="str">
        <f t="shared" ref="B14:B17" si="4">IF(AND(C13&lt;&gt;"",A14&lt;=$D$6),C13+1,"")</f>
        <v>1-Jan-2021</v>
      </c>
      <c r="C14" s="62" t="str">
        <f t="shared" ref="C14:C17" si="5">IF(AND(B14&lt;&gt;"",A14&lt;=$D$6), IF(OR(AND(MOD(YEAR(B14), 4)=0, MOD(YEAR(B14), 100)&lt;&gt;0), MOD(YEAR(B14), 400)=0), B14+365, B14+364), "")</f>
        <v>31-Dec-2021</v>
      </c>
      <c r="D14" s="29" t="str">
        <f t="shared" si="1"/>
        <v>365</v>
      </c>
      <c r="E14" s="30" t="str">
        <f t="shared" si="2"/>
        <v>365</v>
      </c>
      <c r="F14" s="60" t="str">
        <f t="shared" si="3"/>
        <v>0.27</v>
      </c>
      <c r="G14" s="54" t="str">
        <f t="shared" ref="G14:G37" si="6">IFERROR(IF(A14&gt;$D$6+1,"",IF(A14=$D$6+1, I13-$D$7, F14*($D$3-$D$7))),"")</f>
        <v> Rp 28,800,000.00 </v>
      </c>
      <c r="H14" s="40" t="str">
        <f t="shared" ref="H14:H37" si="7">IF(G14="", "", H13+G14)</f>
        <v> Rp 46,898,360.66 </v>
      </c>
      <c r="I14" s="56" t="str">
        <f t="shared" ref="I14:I37" si="8">IF(G14="", "", I13-G14)</f>
        <v> Rp 73,101,639 </v>
      </c>
    </row>
    <row r="15">
      <c r="A15" s="27">
        <v>3.0</v>
      </c>
      <c r="B15" s="61" t="str">
        <f t="shared" si="4"/>
        <v>1-Jan-2022</v>
      </c>
      <c r="C15" s="62" t="str">
        <f t="shared" si="5"/>
        <v>31-Dec-2022</v>
      </c>
      <c r="D15" s="29" t="str">
        <f t="shared" si="1"/>
        <v>365</v>
      </c>
      <c r="E15" s="30" t="str">
        <f t="shared" si="2"/>
        <v>365</v>
      </c>
      <c r="F15" s="60" t="str">
        <f t="shared" si="3"/>
        <v>0.20</v>
      </c>
      <c r="G15" s="54" t="str">
        <f t="shared" si="6"/>
        <v> Rp 21,600,000.00 </v>
      </c>
      <c r="H15" s="40" t="str">
        <f t="shared" si="7"/>
        <v> Rp 68,498,360.66 </v>
      </c>
      <c r="I15" s="56" t="str">
        <f t="shared" si="8"/>
        <v> Rp 51,501,639 </v>
      </c>
    </row>
    <row r="16">
      <c r="A16" s="27">
        <v>4.0</v>
      </c>
      <c r="B16" s="61" t="str">
        <f t="shared" si="4"/>
        <v>1-Jan-2023</v>
      </c>
      <c r="C16" s="62" t="str">
        <f t="shared" si="5"/>
        <v>31-Dec-2023</v>
      </c>
      <c r="D16" s="29" t="str">
        <f t="shared" si="1"/>
        <v>365</v>
      </c>
      <c r="E16" s="30" t="str">
        <f t="shared" si="2"/>
        <v>365</v>
      </c>
      <c r="F16" s="60" t="str">
        <f t="shared" si="3"/>
        <v>0.13</v>
      </c>
      <c r="G16" s="54" t="str">
        <f t="shared" si="6"/>
        <v> Rp 14,400,000.00 </v>
      </c>
      <c r="H16" s="40" t="str">
        <f t="shared" si="7"/>
        <v> Rp 82,898,360.66 </v>
      </c>
      <c r="I16" s="56" t="str">
        <f t="shared" si="8"/>
        <v> Rp 37,101,639 </v>
      </c>
    </row>
    <row r="17">
      <c r="A17" s="27">
        <v>5.0</v>
      </c>
      <c r="B17" s="61" t="str">
        <f t="shared" si="4"/>
        <v>1-Jan-2024</v>
      </c>
      <c r="C17" s="62" t="str">
        <f t="shared" si="5"/>
        <v>31-Dec-2024</v>
      </c>
      <c r="D17" s="29" t="str">
        <f t="shared" si="1"/>
        <v>366</v>
      </c>
      <c r="E17" s="30" t="str">
        <f t="shared" si="2"/>
        <v>366</v>
      </c>
      <c r="F17" s="60" t="str">
        <f t="shared" si="3"/>
        <v>0.07</v>
      </c>
      <c r="G17" s="54" t="str">
        <f t="shared" si="6"/>
        <v> Rp 7,200,000.00 </v>
      </c>
      <c r="H17" s="40" t="str">
        <f t="shared" si="7"/>
        <v> Rp 90,098,360.66 </v>
      </c>
      <c r="I17" s="56" t="str">
        <f t="shared" si="8"/>
        <v> Rp 29,901,639 </v>
      </c>
    </row>
    <row r="18">
      <c r="A18" s="27">
        <v>6.0</v>
      </c>
      <c r="B18" s="61" t="str">
        <f>IF(SUM($D$13:D17)&lt;$D$6*365, C17+1, "")</f>
        <v>1-Jan-2025</v>
      </c>
      <c r="C18" s="62" t="str">
        <f>IF(B18="", "", EDATE($D$4, $D$6*12)-1)</f>
        <v>30-Jun-2025</v>
      </c>
      <c r="D18" s="29" t="str">
        <f t="shared" si="1"/>
        <v>181</v>
      </c>
      <c r="E18" s="30" t="str">
        <f t="shared" si="2"/>
        <v>365</v>
      </c>
      <c r="F18" s="60" t="str">
        <f>IFERROR(IF(AND(A18&lt;=$D$6+1, D18&gt;0), IF(A18=$D$6+1, 1/$D$8*(D18/E18), ($D$6-A18+1)/$D$8*(D18/E18)), ""), "")</f>
        <v>0.03</v>
      </c>
      <c r="G18" s="54" t="str">
        <f t="shared" si="6"/>
        <v> Rp 17,901,639.34 </v>
      </c>
      <c r="H18" s="40" t="str">
        <f t="shared" si="7"/>
        <v> Rp 108,000,000.00 </v>
      </c>
      <c r="I18" s="56" t="str">
        <f t="shared" si="8"/>
        <v> Rp 12,000,000 </v>
      </c>
    </row>
    <row r="19">
      <c r="A19" s="27">
        <v>7.0</v>
      </c>
      <c r="B19" s="61" t="str">
        <f t="shared" ref="B19:B37" si="9">IF(AND(C18&lt;&gt;"",A19&lt;=$D$6),C18+1,"")</f>
        <v/>
      </c>
      <c r="C19" s="62" t="str">
        <f t="shared" ref="C19:C37" si="10">IF(AND(B19&lt;&gt;"",A19&lt;=$D$6), IF(OR(AND(MOD(YEAR(B19), 4)=0, MOD(YEAR(B19), 100)&lt;&gt;0), MOD(YEAR(B19), 400)=0), B19+365, B19+364), "")</f>
        <v/>
      </c>
      <c r="D19" s="29" t="str">
        <f t="shared" si="1"/>
        <v/>
      </c>
      <c r="E19" s="30" t="str">
        <f t="shared" si="2"/>
        <v/>
      </c>
      <c r="F19" s="60" t="str">
        <f t="shared" ref="F19:F37" si="11">IFERROR(IF(AND(A19&lt;=$D$6+1, D19&gt;0), ($D$6-A19+1)/$D$8*(D19/E19), ""), "")</f>
        <v/>
      </c>
      <c r="G19" s="54" t="str">
        <f t="shared" si="6"/>
        <v> </v>
      </c>
      <c r="H19" s="40" t="str">
        <f t="shared" si="7"/>
        <v> </v>
      </c>
      <c r="I19" s="56" t="str">
        <f t="shared" si="8"/>
        <v> </v>
      </c>
    </row>
    <row r="20">
      <c r="A20" s="27">
        <v>8.0</v>
      </c>
      <c r="B20" s="61" t="str">
        <f t="shared" si="9"/>
        <v/>
      </c>
      <c r="C20" s="62" t="str">
        <f t="shared" si="10"/>
        <v/>
      </c>
      <c r="D20" s="29" t="str">
        <f t="shared" si="1"/>
        <v/>
      </c>
      <c r="E20" s="30" t="str">
        <f t="shared" si="2"/>
        <v/>
      </c>
      <c r="F20" s="60" t="str">
        <f t="shared" si="11"/>
        <v/>
      </c>
      <c r="G20" s="54" t="str">
        <f t="shared" si="6"/>
        <v> </v>
      </c>
      <c r="H20" s="40" t="str">
        <f t="shared" si="7"/>
        <v> </v>
      </c>
      <c r="I20" s="56" t="str">
        <f t="shared" si="8"/>
        <v> </v>
      </c>
    </row>
    <row r="21" ht="15.75" customHeight="1">
      <c r="A21" s="27">
        <v>9.0</v>
      </c>
      <c r="B21" s="61" t="str">
        <f t="shared" si="9"/>
        <v/>
      </c>
      <c r="C21" s="62" t="str">
        <f t="shared" si="10"/>
        <v/>
      </c>
      <c r="D21" s="29" t="str">
        <f t="shared" si="1"/>
        <v/>
      </c>
      <c r="E21" s="30" t="str">
        <f t="shared" si="2"/>
        <v/>
      </c>
      <c r="F21" s="60" t="str">
        <f t="shared" si="11"/>
        <v/>
      </c>
      <c r="G21" s="54" t="str">
        <f t="shared" si="6"/>
        <v> </v>
      </c>
      <c r="H21" s="40" t="str">
        <f t="shared" si="7"/>
        <v> </v>
      </c>
      <c r="I21" s="56" t="str">
        <f t="shared" si="8"/>
        <v> </v>
      </c>
    </row>
    <row r="22" ht="15.75" customHeight="1">
      <c r="A22" s="27">
        <v>10.0</v>
      </c>
      <c r="B22" s="61" t="str">
        <f t="shared" si="9"/>
        <v/>
      </c>
      <c r="C22" s="62" t="str">
        <f t="shared" si="10"/>
        <v/>
      </c>
      <c r="D22" s="29" t="str">
        <f t="shared" si="1"/>
        <v/>
      </c>
      <c r="E22" s="30" t="str">
        <f t="shared" si="2"/>
        <v/>
      </c>
      <c r="F22" s="60" t="str">
        <f t="shared" si="11"/>
        <v/>
      </c>
      <c r="G22" s="54" t="str">
        <f t="shared" si="6"/>
        <v> </v>
      </c>
      <c r="H22" s="40" t="str">
        <f t="shared" si="7"/>
        <v> </v>
      </c>
      <c r="I22" s="56" t="str">
        <f t="shared" si="8"/>
        <v> </v>
      </c>
    </row>
    <row r="23" ht="15.75" customHeight="1">
      <c r="A23" s="27">
        <v>11.0</v>
      </c>
      <c r="B23" s="61" t="str">
        <f t="shared" si="9"/>
        <v/>
      </c>
      <c r="C23" s="62" t="str">
        <f t="shared" si="10"/>
        <v/>
      </c>
      <c r="D23" s="29" t="str">
        <f t="shared" si="1"/>
        <v/>
      </c>
      <c r="E23" s="30" t="str">
        <f t="shared" si="2"/>
        <v/>
      </c>
      <c r="F23" s="60" t="str">
        <f t="shared" si="11"/>
        <v/>
      </c>
      <c r="G23" s="54" t="str">
        <f t="shared" si="6"/>
        <v> </v>
      </c>
      <c r="H23" s="40" t="str">
        <f t="shared" si="7"/>
        <v> </v>
      </c>
      <c r="I23" s="56" t="str">
        <f t="shared" si="8"/>
        <v> </v>
      </c>
    </row>
    <row r="24" ht="15.75" customHeight="1">
      <c r="A24" s="27">
        <v>12.0</v>
      </c>
      <c r="B24" s="61" t="str">
        <f t="shared" si="9"/>
        <v/>
      </c>
      <c r="C24" s="62" t="str">
        <f t="shared" si="10"/>
        <v/>
      </c>
      <c r="D24" s="29" t="str">
        <f t="shared" si="1"/>
        <v/>
      </c>
      <c r="E24" s="30" t="str">
        <f t="shared" si="2"/>
        <v/>
      </c>
      <c r="F24" s="60" t="str">
        <f t="shared" si="11"/>
        <v/>
      </c>
      <c r="G24" s="54" t="str">
        <f t="shared" si="6"/>
        <v> </v>
      </c>
      <c r="H24" s="40" t="str">
        <f t="shared" si="7"/>
        <v> </v>
      </c>
      <c r="I24" s="56" t="str">
        <f t="shared" si="8"/>
        <v> </v>
      </c>
    </row>
    <row r="25" ht="15.75" customHeight="1">
      <c r="A25" s="27">
        <v>13.0</v>
      </c>
      <c r="B25" s="61" t="str">
        <f t="shared" si="9"/>
        <v/>
      </c>
      <c r="C25" s="62" t="str">
        <f t="shared" si="10"/>
        <v/>
      </c>
      <c r="D25" s="29" t="str">
        <f t="shared" si="1"/>
        <v/>
      </c>
      <c r="E25" s="30" t="str">
        <f t="shared" si="2"/>
        <v/>
      </c>
      <c r="F25" s="60" t="str">
        <f t="shared" si="11"/>
        <v/>
      </c>
      <c r="G25" s="54" t="str">
        <f t="shared" si="6"/>
        <v> </v>
      </c>
      <c r="H25" s="40" t="str">
        <f t="shared" si="7"/>
        <v> </v>
      </c>
      <c r="I25" s="56" t="str">
        <f t="shared" si="8"/>
        <v> </v>
      </c>
    </row>
    <row r="26" ht="15.75" customHeight="1">
      <c r="A26" s="27">
        <v>14.0</v>
      </c>
      <c r="B26" s="61" t="str">
        <f t="shared" si="9"/>
        <v/>
      </c>
      <c r="C26" s="62" t="str">
        <f t="shared" si="10"/>
        <v/>
      </c>
      <c r="D26" s="29" t="str">
        <f t="shared" si="1"/>
        <v/>
      </c>
      <c r="E26" s="30" t="str">
        <f t="shared" si="2"/>
        <v/>
      </c>
      <c r="F26" s="60" t="str">
        <f t="shared" si="11"/>
        <v/>
      </c>
      <c r="G26" s="54" t="str">
        <f t="shared" si="6"/>
        <v> </v>
      </c>
      <c r="H26" s="40" t="str">
        <f t="shared" si="7"/>
        <v> </v>
      </c>
      <c r="I26" s="56" t="str">
        <f t="shared" si="8"/>
        <v> </v>
      </c>
    </row>
    <row r="27" ht="15.75" customHeight="1">
      <c r="A27" s="27">
        <v>15.0</v>
      </c>
      <c r="B27" s="61" t="str">
        <f t="shared" si="9"/>
        <v/>
      </c>
      <c r="C27" s="62" t="str">
        <f t="shared" si="10"/>
        <v/>
      </c>
      <c r="D27" s="29" t="str">
        <f t="shared" si="1"/>
        <v/>
      </c>
      <c r="E27" s="30" t="str">
        <f t="shared" si="2"/>
        <v/>
      </c>
      <c r="F27" s="60" t="str">
        <f t="shared" si="11"/>
        <v/>
      </c>
      <c r="G27" s="54" t="str">
        <f t="shared" si="6"/>
        <v> </v>
      </c>
      <c r="H27" s="40" t="str">
        <f t="shared" si="7"/>
        <v> </v>
      </c>
      <c r="I27" s="56" t="str">
        <f t="shared" si="8"/>
        <v> </v>
      </c>
    </row>
    <row r="28" ht="15.75" customHeight="1">
      <c r="A28" s="27">
        <v>16.0</v>
      </c>
      <c r="B28" s="61" t="str">
        <f t="shared" si="9"/>
        <v/>
      </c>
      <c r="C28" s="62" t="str">
        <f t="shared" si="10"/>
        <v/>
      </c>
      <c r="D28" s="29" t="str">
        <f t="shared" si="1"/>
        <v/>
      </c>
      <c r="E28" s="30" t="str">
        <f t="shared" si="2"/>
        <v/>
      </c>
      <c r="F28" s="60" t="str">
        <f t="shared" si="11"/>
        <v/>
      </c>
      <c r="G28" s="54" t="str">
        <f t="shared" si="6"/>
        <v> </v>
      </c>
      <c r="H28" s="40" t="str">
        <f t="shared" si="7"/>
        <v> </v>
      </c>
      <c r="I28" s="56" t="str">
        <f t="shared" si="8"/>
        <v> </v>
      </c>
    </row>
    <row r="29" ht="15.75" customHeight="1">
      <c r="A29" s="27">
        <v>17.0</v>
      </c>
      <c r="B29" s="61" t="str">
        <f t="shared" si="9"/>
        <v/>
      </c>
      <c r="C29" s="62" t="str">
        <f t="shared" si="10"/>
        <v/>
      </c>
      <c r="D29" s="29" t="str">
        <f t="shared" si="1"/>
        <v/>
      </c>
      <c r="E29" s="30" t="str">
        <f t="shared" si="2"/>
        <v/>
      </c>
      <c r="F29" s="60" t="str">
        <f t="shared" si="11"/>
        <v/>
      </c>
      <c r="G29" s="54" t="str">
        <f t="shared" si="6"/>
        <v> </v>
      </c>
      <c r="H29" s="40" t="str">
        <f t="shared" si="7"/>
        <v> </v>
      </c>
      <c r="I29" s="56" t="str">
        <f t="shared" si="8"/>
        <v> </v>
      </c>
    </row>
    <row r="30" ht="15.75" customHeight="1">
      <c r="A30" s="27">
        <v>18.0</v>
      </c>
      <c r="B30" s="61" t="str">
        <f t="shared" si="9"/>
        <v/>
      </c>
      <c r="C30" s="62" t="str">
        <f t="shared" si="10"/>
        <v/>
      </c>
      <c r="D30" s="29" t="str">
        <f t="shared" si="1"/>
        <v/>
      </c>
      <c r="E30" s="30" t="str">
        <f t="shared" si="2"/>
        <v/>
      </c>
      <c r="F30" s="60" t="str">
        <f t="shared" si="11"/>
        <v/>
      </c>
      <c r="G30" s="54" t="str">
        <f t="shared" si="6"/>
        <v> </v>
      </c>
      <c r="H30" s="40" t="str">
        <f t="shared" si="7"/>
        <v> </v>
      </c>
      <c r="I30" s="56" t="str">
        <f t="shared" si="8"/>
        <v> </v>
      </c>
    </row>
    <row r="31" ht="15.75" customHeight="1">
      <c r="A31" s="27">
        <v>19.0</v>
      </c>
      <c r="B31" s="61" t="str">
        <f t="shared" si="9"/>
        <v/>
      </c>
      <c r="C31" s="62" t="str">
        <f t="shared" si="10"/>
        <v/>
      </c>
      <c r="D31" s="29" t="str">
        <f t="shared" si="1"/>
        <v/>
      </c>
      <c r="E31" s="30" t="str">
        <f t="shared" si="2"/>
        <v/>
      </c>
      <c r="F31" s="60" t="str">
        <f t="shared" si="11"/>
        <v/>
      </c>
      <c r="G31" s="54" t="str">
        <f t="shared" si="6"/>
        <v> </v>
      </c>
      <c r="H31" s="40" t="str">
        <f t="shared" si="7"/>
        <v> </v>
      </c>
      <c r="I31" s="56" t="str">
        <f t="shared" si="8"/>
        <v> </v>
      </c>
    </row>
    <row r="32" ht="15.75" customHeight="1">
      <c r="A32" s="27">
        <v>20.0</v>
      </c>
      <c r="B32" s="61" t="str">
        <f t="shared" si="9"/>
        <v/>
      </c>
      <c r="C32" s="62" t="str">
        <f t="shared" si="10"/>
        <v/>
      </c>
      <c r="D32" s="29" t="str">
        <f t="shared" si="1"/>
        <v/>
      </c>
      <c r="E32" s="30" t="str">
        <f t="shared" si="2"/>
        <v/>
      </c>
      <c r="F32" s="60" t="str">
        <f t="shared" si="11"/>
        <v/>
      </c>
      <c r="G32" s="54" t="str">
        <f t="shared" si="6"/>
        <v> </v>
      </c>
      <c r="H32" s="40" t="str">
        <f t="shared" si="7"/>
        <v> </v>
      </c>
      <c r="I32" s="56" t="str">
        <f t="shared" si="8"/>
        <v> </v>
      </c>
    </row>
    <row r="33" ht="15.75" customHeight="1">
      <c r="A33" s="27">
        <v>21.0</v>
      </c>
      <c r="B33" s="61" t="str">
        <f t="shared" si="9"/>
        <v/>
      </c>
      <c r="C33" s="62" t="str">
        <f t="shared" si="10"/>
        <v/>
      </c>
      <c r="D33" s="29" t="str">
        <f t="shared" si="1"/>
        <v/>
      </c>
      <c r="E33" s="30" t="str">
        <f t="shared" si="2"/>
        <v/>
      </c>
      <c r="F33" s="60" t="str">
        <f t="shared" si="11"/>
        <v/>
      </c>
      <c r="G33" s="54" t="str">
        <f t="shared" si="6"/>
        <v> </v>
      </c>
      <c r="H33" s="40" t="str">
        <f t="shared" si="7"/>
        <v> </v>
      </c>
      <c r="I33" s="56" t="str">
        <f t="shared" si="8"/>
        <v> </v>
      </c>
    </row>
    <row r="34" ht="15.75" customHeight="1">
      <c r="A34" s="27">
        <v>22.0</v>
      </c>
      <c r="B34" s="61" t="str">
        <f t="shared" si="9"/>
        <v/>
      </c>
      <c r="C34" s="62" t="str">
        <f t="shared" si="10"/>
        <v/>
      </c>
      <c r="D34" s="29" t="str">
        <f t="shared" si="1"/>
        <v/>
      </c>
      <c r="E34" s="30" t="str">
        <f t="shared" si="2"/>
        <v/>
      </c>
      <c r="F34" s="60" t="str">
        <f t="shared" si="11"/>
        <v/>
      </c>
      <c r="G34" s="54" t="str">
        <f t="shared" si="6"/>
        <v> </v>
      </c>
      <c r="H34" s="40" t="str">
        <f t="shared" si="7"/>
        <v> </v>
      </c>
      <c r="I34" s="56" t="str">
        <f t="shared" si="8"/>
        <v> </v>
      </c>
    </row>
    <row r="35" ht="15.75" customHeight="1">
      <c r="A35" s="27">
        <v>23.0</v>
      </c>
      <c r="B35" s="61" t="str">
        <f t="shared" si="9"/>
        <v/>
      </c>
      <c r="C35" s="62" t="str">
        <f t="shared" si="10"/>
        <v/>
      </c>
      <c r="D35" s="29" t="str">
        <f t="shared" si="1"/>
        <v/>
      </c>
      <c r="E35" s="30" t="str">
        <f t="shared" si="2"/>
        <v/>
      </c>
      <c r="F35" s="60" t="str">
        <f t="shared" si="11"/>
        <v/>
      </c>
      <c r="G35" s="54" t="str">
        <f t="shared" si="6"/>
        <v> </v>
      </c>
      <c r="H35" s="40" t="str">
        <f t="shared" si="7"/>
        <v> </v>
      </c>
      <c r="I35" s="56" t="str">
        <f t="shared" si="8"/>
        <v> </v>
      </c>
    </row>
    <row r="36" ht="15.75" customHeight="1">
      <c r="A36" s="27">
        <v>24.0</v>
      </c>
      <c r="B36" s="61" t="str">
        <f t="shared" si="9"/>
        <v/>
      </c>
      <c r="C36" s="62" t="str">
        <f t="shared" si="10"/>
        <v/>
      </c>
      <c r="D36" s="29" t="str">
        <f t="shared" si="1"/>
        <v/>
      </c>
      <c r="E36" s="30" t="str">
        <f t="shared" si="2"/>
        <v/>
      </c>
      <c r="F36" s="60" t="str">
        <f t="shared" si="11"/>
        <v/>
      </c>
      <c r="G36" s="54" t="str">
        <f t="shared" si="6"/>
        <v> </v>
      </c>
      <c r="H36" s="40" t="str">
        <f t="shared" si="7"/>
        <v> </v>
      </c>
      <c r="I36" s="56" t="str">
        <f t="shared" si="8"/>
        <v> </v>
      </c>
    </row>
    <row r="37" ht="15.75" customHeight="1">
      <c r="A37" s="27">
        <v>25.0</v>
      </c>
      <c r="B37" s="61" t="str">
        <f t="shared" si="9"/>
        <v/>
      </c>
      <c r="C37" s="62" t="str">
        <f t="shared" si="10"/>
        <v/>
      </c>
      <c r="D37" s="29" t="str">
        <f t="shared" si="1"/>
        <v/>
      </c>
      <c r="E37" s="30" t="str">
        <f t="shared" si="2"/>
        <v/>
      </c>
      <c r="F37" s="60" t="str">
        <f t="shared" si="11"/>
        <v/>
      </c>
      <c r="G37" s="54" t="str">
        <f t="shared" si="6"/>
        <v> </v>
      </c>
      <c r="H37" s="40" t="str">
        <f t="shared" si="7"/>
        <v> </v>
      </c>
      <c r="I37" s="56" t="str">
        <f t="shared" si="8"/>
        <v> </v>
      </c>
    </row>
    <row r="38" ht="15.75" customHeight="1">
      <c r="F38" s="63"/>
    </row>
    <row r="39" ht="15.75" customHeight="1">
      <c r="F39" s="63"/>
    </row>
    <row r="40" ht="15.75" customHeight="1">
      <c r="A40" s="59" t="s">
        <v>49</v>
      </c>
    </row>
    <row r="41" ht="15.75" customHeight="1"/>
    <row r="42" ht="28.5" customHeight="1">
      <c r="A42" s="48" t="s">
        <v>29</v>
      </c>
      <c r="B42" s="48" t="s">
        <v>30</v>
      </c>
      <c r="C42" s="49"/>
      <c r="D42" s="50" t="s">
        <v>31</v>
      </c>
      <c r="E42" s="51" t="s">
        <v>32</v>
      </c>
      <c r="F42" s="50" t="s">
        <v>48</v>
      </c>
      <c r="G42" s="50" t="s">
        <v>33</v>
      </c>
      <c r="H42" s="50" t="s">
        <v>34</v>
      </c>
      <c r="I42" s="50" t="s">
        <v>35</v>
      </c>
    </row>
    <row r="43" ht="15.75" customHeight="1">
      <c r="A43" s="27">
        <v>1.0</v>
      </c>
      <c r="B43" s="52" t="str">
        <f>DATE(RIGHT(D4,4),LEFT(D4,2),MID(D4,4,2))</f>
        <v>1-Jul-2020</v>
      </c>
      <c r="C43" s="52" t="str">
        <f>IFERROR(DATE(RIGHT(D5,4),MID(D5,4,2),LEFT(D5,2)),"")</f>
        <v>31-Dec-2020</v>
      </c>
      <c r="D43" s="29" t="str">
        <f t="shared" ref="D43:D67" si="12">IFERROR(IF(B43="","",DATEDIF(B43,C43,"D")+1),"")</f>
        <v>184</v>
      </c>
      <c r="E43" s="30" t="str">
        <f t="shared" ref="E43:E67" si="13">IF(AND(B43="",C43=""),"",IFS(MOD(YEAR(C43),4)=0,366,MOD(YEAR(C43),100)&lt;&gt;0,365,MOD(YEAR(C43),400)=0,366))</f>
        <v>366</v>
      </c>
      <c r="F43" s="60" t="str">
        <f t="shared" ref="F43:F67" si="14">IFERROR(IF(AND(A43&lt;=$D$6,D43&gt;0),($D$6-A43+1)/$D$8,""),"")</f>
        <v>0.33</v>
      </c>
      <c r="G43" s="54" t="str">
        <f t="shared" ref="G43:G67" si="15">IF(AND(A43&lt;=$D$6,$D$8&lt;&gt;""),F43*($D$3-$D$7),"")</f>
        <v> Rp 36,000,000.00 </v>
      </c>
      <c r="H43" s="40" t="str">
        <f>IF(G43="","",G43)</f>
        <v> Rp 36,000,000.00 </v>
      </c>
      <c r="I43" s="55" t="str">
        <f>IF(G43="","",$D$3-G43)</f>
        <v> Rp 84,000,000 </v>
      </c>
    </row>
    <row r="44" ht="15.75" customHeight="1">
      <c r="A44" s="27">
        <v>2.0</v>
      </c>
      <c r="B44" s="61" t="str">
        <f t="shared" ref="B44:B47" si="16">IF(AND(C43&lt;&gt;"",A44&lt;=$D$6),C43+1,"")</f>
        <v>1-Jan-2021</v>
      </c>
      <c r="C44" s="62" t="str">
        <f t="shared" ref="C44:C47" si="17">IF(AND(B44&lt;&gt;"",A44&lt;=$D$6), IF(OR(AND(MOD(YEAR(B44), 4)=0, MOD(YEAR(B44), 100)&lt;&gt;0), MOD(YEAR(B44), 400)=0), B44+365, B44+364), "")</f>
        <v>31-Dec-2021</v>
      </c>
      <c r="D44" s="29" t="str">
        <f t="shared" si="12"/>
        <v>365</v>
      </c>
      <c r="E44" s="30" t="str">
        <f t="shared" si="13"/>
        <v>365</v>
      </c>
      <c r="F44" s="60" t="str">
        <f t="shared" si="14"/>
        <v>0.27</v>
      </c>
      <c r="G44" s="54" t="str">
        <f t="shared" si="15"/>
        <v> Rp 28,800,000.00 </v>
      </c>
      <c r="H44" s="40" t="str">
        <f t="shared" ref="H44:H67" si="18">IF(G44="","",H43+G44)</f>
        <v> Rp 64,800,000.00 </v>
      </c>
      <c r="I44" s="56" t="str">
        <f t="shared" ref="I44:I67" si="19">IF(G44="","",I43-G44)</f>
        <v> Rp 55,200,000 </v>
      </c>
    </row>
    <row r="45" ht="15.75" customHeight="1">
      <c r="A45" s="27">
        <v>3.0</v>
      </c>
      <c r="B45" s="61" t="str">
        <f t="shared" si="16"/>
        <v>1-Jan-2022</v>
      </c>
      <c r="C45" s="62" t="str">
        <f t="shared" si="17"/>
        <v>31-Dec-2022</v>
      </c>
      <c r="D45" s="29" t="str">
        <f t="shared" si="12"/>
        <v>365</v>
      </c>
      <c r="E45" s="30" t="str">
        <f t="shared" si="13"/>
        <v>365</v>
      </c>
      <c r="F45" s="60" t="str">
        <f t="shared" si="14"/>
        <v>0.20</v>
      </c>
      <c r="G45" s="54" t="str">
        <f t="shared" si="15"/>
        <v> Rp 21,600,000.00 </v>
      </c>
      <c r="H45" s="40" t="str">
        <f t="shared" si="18"/>
        <v> Rp 86,400,000.00 </v>
      </c>
      <c r="I45" s="56" t="str">
        <f t="shared" si="19"/>
        <v> Rp 33,600,000 </v>
      </c>
    </row>
    <row r="46" ht="15.75" customHeight="1">
      <c r="A46" s="27">
        <v>4.0</v>
      </c>
      <c r="B46" s="61" t="str">
        <f t="shared" si="16"/>
        <v>1-Jan-2023</v>
      </c>
      <c r="C46" s="62" t="str">
        <f t="shared" si="17"/>
        <v>31-Dec-2023</v>
      </c>
      <c r="D46" s="29" t="str">
        <f t="shared" si="12"/>
        <v>365</v>
      </c>
      <c r="E46" s="30" t="str">
        <f t="shared" si="13"/>
        <v>365</v>
      </c>
      <c r="F46" s="60" t="str">
        <f t="shared" si="14"/>
        <v>0.13</v>
      </c>
      <c r="G46" s="54" t="str">
        <f t="shared" si="15"/>
        <v> Rp 14,400,000.00 </v>
      </c>
      <c r="H46" s="40" t="str">
        <f t="shared" si="18"/>
        <v> Rp 100,800,000.00 </v>
      </c>
      <c r="I46" s="56" t="str">
        <f t="shared" si="19"/>
        <v> Rp 19,200,000 </v>
      </c>
    </row>
    <row r="47" ht="15.75" customHeight="1">
      <c r="A47" s="27">
        <v>5.0</v>
      </c>
      <c r="B47" s="61" t="str">
        <f t="shared" si="16"/>
        <v>1-Jan-2024</v>
      </c>
      <c r="C47" s="62" t="str">
        <f t="shared" si="17"/>
        <v>31-Dec-2024</v>
      </c>
      <c r="D47" s="29" t="str">
        <f t="shared" si="12"/>
        <v>366</v>
      </c>
      <c r="E47" s="30" t="str">
        <f t="shared" si="13"/>
        <v>366</v>
      </c>
      <c r="F47" s="60" t="str">
        <f t="shared" si="14"/>
        <v>0.07</v>
      </c>
      <c r="G47" s="54" t="str">
        <f t="shared" si="15"/>
        <v> Rp 7,200,000.00 </v>
      </c>
      <c r="H47" s="40" t="str">
        <f t="shared" si="18"/>
        <v> Rp 108,000,000.00 </v>
      </c>
      <c r="I47" s="56" t="str">
        <f t="shared" si="19"/>
        <v> Rp 12,000,000 </v>
      </c>
    </row>
    <row r="48" ht="15.75" customHeight="1">
      <c r="A48" s="27">
        <v>6.0</v>
      </c>
      <c r="B48" s="61" t="str">
        <f>IF(SUM($D$13:D47)&lt;$D$6*365, C47+1, "")</f>
        <v/>
      </c>
      <c r="C48" s="62" t="str">
        <f>IF(B48="", "", EDATE($D$4, $D$6*12)-1)</f>
        <v/>
      </c>
      <c r="D48" s="29" t="str">
        <f t="shared" si="12"/>
        <v/>
      </c>
      <c r="E48" s="30" t="str">
        <f t="shared" si="13"/>
        <v/>
      </c>
      <c r="F48" s="60" t="str">
        <f t="shared" si="14"/>
        <v/>
      </c>
      <c r="G48" s="54" t="str">
        <f t="shared" si="15"/>
        <v> </v>
      </c>
      <c r="H48" s="40" t="str">
        <f t="shared" si="18"/>
        <v> </v>
      </c>
      <c r="I48" s="56" t="str">
        <f t="shared" si="19"/>
        <v> </v>
      </c>
    </row>
    <row r="49" ht="15.75" customHeight="1">
      <c r="A49" s="27">
        <v>7.0</v>
      </c>
      <c r="B49" s="61" t="str">
        <f t="shared" ref="B49:B67" si="20">IF(AND(C48&lt;&gt;"",A49&lt;=$D$6),C48+1,"")</f>
        <v/>
      </c>
      <c r="C49" s="62" t="str">
        <f t="shared" ref="C49:C67" si="21">IF(AND(B49&lt;&gt;"",A49&lt;=$D$6), IF(OR(AND(MOD(YEAR(B49), 4)=0, MOD(YEAR(B49), 100)&lt;&gt;0), MOD(YEAR(B49), 400)=0), B49+365, B49+364), "")</f>
        <v/>
      </c>
      <c r="D49" s="29" t="str">
        <f t="shared" si="12"/>
        <v/>
      </c>
      <c r="E49" s="30" t="str">
        <f t="shared" si="13"/>
        <v/>
      </c>
      <c r="F49" s="60" t="str">
        <f t="shared" si="14"/>
        <v/>
      </c>
      <c r="G49" s="54" t="str">
        <f t="shared" si="15"/>
        <v> </v>
      </c>
      <c r="H49" s="40" t="str">
        <f t="shared" si="18"/>
        <v> </v>
      </c>
      <c r="I49" s="56" t="str">
        <f t="shared" si="19"/>
        <v> </v>
      </c>
    </row>
    <row r="50" ht="15.75" customHeight="1">
      <c r="A50" s="27">
        <v>8.0</v>
      </c>
      <c r="B50" s="61" t="str">
        <f t="shared" si="20"/>
        <v/>
      </c>
      <c r="C50" s="62" t="str">
        <f t="shared" si="21"/>
        <v/>
      </c>
      <c r="D50" s="29" t="str">
        <f t="shared" si="12"/>
        <v/>
      </c>
      <c r="E50" s="30" t="str">
        <f t="shared" si="13"/>
        <v/>
      </c>
      <c r="F50" s="60" t="str">
        <f t="shared" si="14"/>
        <v/>
      </c>
      <c r="G50" s="54" t="str">
        <f t="shared" si="15"/>
        <v> </v>
      </c>
      <c r="H50" s="40" t="str">
        <f t="shared" si="18"/>
        <v> </v>
      </c>
      <c r="I50" s="56" t="str">
        <f t="shared" si="19"/>
        <v> </v>
      </c>
    </row>
    <row r="51" ht="15.75" customHeight="1">
      <c r="A51" s="27">
        <v>9.0</v>
      </c>
      <c r="B51" s="61" t="str">
        <f t="shared" si="20"/>
        <v/>
      </c>
      <c r="C51" s="62" t="str">
        <f t="shared" si="21"/>
        <v/>
      </c>
      <c r="D51" s="29" t="str">
        <f t="shared" si="12"/>
        <v/>
      </c>
      <c r="E51" s="30" t="str">
        <f t="shared" si="13"/>
        <v/>
      </c>
      <c r="F51" s="60" t="str">
        <f t="shared" si="14"/>
        <v/>
      </c>
      <c r="G51" s="54" t="str">
        <f t="shared" si="15"/>
        <v> </v>
      </c>
      <c r="H51" s="40" t="str">
        <f t="shared" si="18"/>
        <v> </v>
      </c>
      <c r="I51" s="56" t="str">
        <f t="shared" si="19"/>
        <v> </v>
      </c>
    </row>
    <row r="52" ht="15.75" customHeight="1">
      <c r="A52" s="27">
        <v>10.0</v>
      </c>
      <c r="B52" s="61" t="str">
        <f t="shared" si="20"/>
        <v/>
      </c>
      <c r="C52" s="62" t="str">
        <f t="shared" si="21"/>
        <v/>
      </c>
      <c r="D52" s="29" t="str">
        <f t="shared" si="12"/>
        <v/>
      </c>
      <c r="E52" s="30" t="str">
        <f t="shared" si="13"/>
        <v/>
      </c>
      <c r="F52" s="60" t="str">
        <f t="shared" si="14"/>
        <v/>
      </c>
      <c r="G52" s="54" t="str">
        <f t="shared" si="15"/>
        <v> </v>
      </c>
      <c r="H52" s="40" t="str">
        <f t="shared" si="18"/>
        <v> </v>
      </c>
      <c r="I52" s="56" t="str">
        <f t="shared" si="19"/>
        <v> </v>
      </c>
    </row>
    <row r="53" ht="15.75" customHeight="1">
      <c r="A53" s="27">
        <v>11.0</v>
      </c>
      <c r="B53" s="61" t="str">
        <f t="shared" si="20"/>
        <v/>
      </c>
      <c r="C53" s="62" t="str">
        <f t="shared" si="21"/>
        <v/>
      </c>
      <c r="D53" s="29" t="str">
        <f t="shared" si="12"/>
        <v/>
      </c>
      <c r="E53" s="30" t="str">
        <f t="shared" si="13"/>
        <v/>
      </c>
      <c r="F53" s="60" t="str">
        <f t="shared" si="14"/>
        <v/>
      </c>
      <c r="G53" s="54" t="str">
        <f t="shared" si="15"/>
        <v> </v>
      </c>
      <c r="H53" s="40" t="str">
        <f t="shared" si="18"/>
        <v> </v>
      </c>
      <c r="I53" s="56" t="str">
        <f t="shared" si="19"/>
        <v> </v>
      </c>
    </row>
    <row r="54" ht="15.75" customHeight="1">
      <c r="A54" s="27">
        <v>12.0</v>
      </c>
      <c r="B54" s="61" t="str">
        <f t="shared" si="20"/>
        <v/>
      </c>
      <c r="C54" s="62" t="str">
        <f t="shared" si="21"/>
        <v/>
      </c>
      <c r="D54" s="29" t="str">
        <f t="shared" si="12"/>
        <v/>
      </c>
      <c r="E54" s="30" t="str">
        <f t="shared" si="13"/>
        <v/>
      </c>
      <c r="F54" s="60" t="str">
        <f t="shared" si="14"/>
        <v/>
      </c>
      <c r="G54" s="54" t="str">
        <f t="shared" si="15"/>
        <v> </v>
      </c>
      <c r="H54" s="40" t="str">
        <f t="shared" si="18"/>
        <v> </v>
      </c>
      <c r="I54" s="56" t="str">
        <f t="shared" si="19"/>
        <v> </v>
      </c>
    </row>
    <row r="55" ht="15.75" customHeight="1">
      <c r="A55" s="27">
        <v>13.0</v>
      </c>
      <c r="B55" s="61" t="str">
        <f t="shared" si="20"/>
        <v/>
      </c>
      <c r="C55" s="62" t="str">
        <f t="shared" si="21"/>
        <v/>
      </c>
      <c r="D55" s="29" t="str">
        <f t="shared" si="12"/>
        <v/>
      </c>
      <c r="E55" s="30" t="str">
        <f t="shared" si="13"/>
        <v/>
      </c>
      <c r="F55" s="60" t="str">
        <f t="shared" si="14"/>
        <v/>
      </c>
      <c r="G55" s="54" t="str">
        <f t="shared" si="15"/>
        <v> </v>
      </c>
      <c r="H55" s="40" t="str">
        <f t="shared" si="18"/>
        <v> </v>
      </c>
      <c r="I55" s="56" t="str">
        <f t="shared" si="19"/>
        <v> </v>
      </c>
    </row>
    <row r="56" ht="15.75" customHeight="1">
      <c r="A56" s="27">
        <v>14.0</v>
      </c>
      <c r="B56" s="61" t="str">
        <f t="shared" si="20"/>
        <v/>
      </c>
      <c r="C56" s="62" t="str">
        <f t="shared" si="21"/>
        <v/>
      </c>
      <c r="D56" s="29" t="str">
        <f t="shared" si="12"/>
        <v/>
      </c>
      <c r="E56" s="30" t="str">
        <f t="shared" si="13"/>
        <v/>
      </c>
      <c r="F56" s="60" t="str">
        <f t="shared" si="14"/>
        <v/>
      </c>
      <c r="G56" s="54" t="str">
        <f t="shared" si="15"/>
        <v> </v>
      </c>
      <c r="H56" s="40" t="str">
        <f t="shared" si="18"/>
        <v> </v>
      </c>
      <c r="I56" s="56" t="str">
        <f t="shared" si="19"/>
        <v> </v>
      </c>
    </row>
    <row r="57" ht="15.75" customHeight="1">
      <c r="A57" s="27">
        <v>15.0</v>
      </c>
      <c r="B57" s="61" t="str">
        <f t="shared" si="20"/>
        <v/>
      </c>
      <c r="C57" s="62" t="str">
        <f t="shared" si="21"/>
        <v/>
      </c>
      <c r="D57" s="29" t="str">
        <f t="shared" si="12"/>
        <v/>
      </c>
      <c r="E57" s="30" t="str">
        <f t="shared" si="13"/>
        <v/>
      </c>
      <c r="F57" s="60" t="str">
        <f t="shared" si="14"/>
        <v/>
      </c>
      <c r="G57" s="54" t="str">
        <f t="shared" si="15"/>
        <v> </v>
      </c>
      <c r="H57" s="40" t="str">
        <f t="shared" si="18"/>
        <v> </v>
      </c>
      <c r="I57" s="56" t="str">
        <f t="shared" si="19"/>
        <v> </v>
      </c>
    </row>
    <row r="58" ht="15.75" customHeight="1">
      <c r="A58" s="27">
        <v>16.0</v>
      </c>
      <c r="B58" s="61" t="str">
        <f t="shared" si="20"/>
        <v/>
      </c>
      <c r="C58" s="62" t="str">
        <f t="shared" si="21"/>
        <v/>
      </c>
      <c r="D58" s="29" t="str">
        <f t="shared" si="12"/>
        <v/>
      </c>
      <c r="E58" s="30" t="str">
        <f t="shared" si="13"/>
        <v/>
      </c>
      <c r="F58" s="60" t="str">
        <f t="shared" si="14"/>
        <v/>
      </c>
      <c r="G58" s="54" t="str">
        <f t="shared" si="15"/>
        <v> </v>
      </c>
      <c r="H58" s="40" t="str">
        <f t="shared" si="18"/>
        <v> </v>
      </c>
      <c r="I58" s="56" t="str">
        <f t="shared" si="19"/>
        <v> </v>
      </c>
    </row>
    <row r="59" ht="15.75" customHeight="1">
      <c r="A59" s="27">
        <v>17.0</v>
      </c>
      <c r="B59" s="61" t="str">
        <f t="shared" si="20"/>
        <v/>
      </c>
      <c r="C59" s="62" t="str">
        <f t="shared" si="21"/>
        <v/>
      </c>
      <c r="D59" s="29" t="str">
        <f t="shared" si="12"/>
        <v/>
      </c>
      <c r="E59" s="30" t="str">
        <f t="shared" si="13"/>
        <v/>
      </c>
      <c r="F59" s="60" t="str">
        <f t="shared" si="14"/>
        <v/>
      </c>
      <c r="G59" s="54" t="str">
        <f t="shared" si="15"/>
        <v> </v>
      </c>
      <c r="H59" s="40" t="str">
        <f t="shared" si="18"/>
        <v> </v>
      </c>
      <c r="I59" s="56" t="str">
        <f t="shared" si="19"/>
        <v> </v>
      </c>
    </row>
    <row r="60" ht="15.75" customHeight="1">
      <c r="A60" s="27">
        <v>18.0</v>
      </c>
      <c r="B60" s="61" t="str">
        <f t="shared" si="20"/>
        <v/>
      </c>
      <c r="C60" s="62" t="str">
        <f t="shared" si="21"/>
        <v/>
      </c>
      <c r="D60" s="29" t="str">
        <f t="shared" si="12"/>
        <v/>
      </c>
      <c r="E60" s="30" t="str">
        <f t="shared" si="13"/>
        <v/>
      </c>
      <c r="F60" s="60" t="str">
        <f t="shared" si="14"/>
        <v/>
      </c>
      <c r="G60" s="54" t="str">
        <f t="shared" si="15"/>
        <v> </v>
      </c>
      <c r="H60" s="40" t="str">
        <f t="shared" si="18"/>
        <v> </v>
      </c>
      <c r="I60" s="56" t="str">
        <f t="shared" si="19"/>
        <v> </v>
      </c>
    </row>
    <row r="61" ht="15.75" customHeight="1">
      <c r="A61" s="27">
        <v>19.0</v>
      </c>
      <c r="B61" s="61" t="str">
        <f t="shared" si="20"/>
        <v/>
      </c>
      <c r="C61" s="62" t="str">
        <f t="shared" si="21"/>
        <v/>
      </c>
      <c r="D61" s="29" t="str">
        <f t="shared" si="12"/>
        <v/>
      </c>
      <c r="E61" s="30" t="str">
        <f t="shared" si="13"/>
        <v/>
      </c>
      <c r="F61" s="60" t="str">
        <f t="shared" si="14"/>
        <v/>
      </c>
      <c r="G61" s="54" t="str">
        <f t="shared" si="15"/>
        <v> </v>
      </c>
      <c r="H61" s="40" t="str">
        <f t="shared" si="18"/>
        <v> </v>
      </c>
      <c r="I61" s="56" t="str">
        <f t="shared" si="19"/>
        <v> </v>
      </c>
    </row>
    <row r="62" ht="15.75" customHeight="1">
      <c r="A62" s="27">
        <v>20.0</v>
      </c>
      <c r="B62" s="61" t="str">
        <f t="shared" si="20"/>
        <v/>
      </c>
      <c r="C62" s="62" t="str">
        <f t="shared" si="21"/>
        <v/>
      </c>
      <c r="D62" s="29" t="str">
        <f t="shared" si="12"/>
        <v/>
      </c>
      <c r="E62" s="30" t="str">
        <f t="shared" si="13"/>
        <v/>
      </c>
      <c r="F62" s="60" t="str">
        <f t="shared" si="14"/>
        <v/>
      </c>
      <c r="G62" s="54" t="str">
        <f t="shared" si="15"/>
        <v> </v>
      </c>
      <c r="H62" s="40" t="str">
        <f t="shared" si="18"/>
        <v> </v>
      </c>
      <c r="I62" s="56" t="str">
        <f t="shared" si="19"/>
        <v> </v>
      </c>
    </row>
    <row r="63" ht="15.75" customHeight="1">
      <c r="A63" s="27">
        <v>21.0</v>
      </c>
      <c r="B63" s="61" t="str">
        <f t="shared" si="20"/>
        <v/>
      </c>
      <c r="C63" s="62" t="str">
        <f t="shared" si="21"/>
        <v/>
      </c>
      <c r="D63" s="29" t="str">
        <f t="shared" si="12"/>
        <v/>
      </c>
      <c r="E63" s="30" t="str">
        <f t="shared" si="13"/>
        <v/>
      </c>
      <c r="F63" s="60" t="str">
        <f t="shared" si="14"/>
        <v/>
      </c>
      <c r="G63" s="54" t="str">
        <f t="shared" si="15"/>
        <v> </v>
      </c>
      <c r="H63" s="40" t="str">
        <f t="shared" si="18"/>
        <v> </v>
      </c>
      <c r="I63" s="56" t="str">
        <f t="shared" si="19"/>
        <v> </v>
      </c>
    </row>
    <row r="64" ht="15.75" customHeight="1">
      <c r="A64" s="27">
        <v>22.0</v>
      </c>
      <c r="B64" s="61" t="str">
        <f t="shared" si="20"/>
        <v/>
      </c>
      <c r="C64" s="62" t="str">
        <f t="shared" si="21"/>
        <v/>
      </c>
      <c r="D64" s="29" t="str">
        <f t="shared" si="12"/>
        <v/>
      </c>
      <c r="E64" s="30" t="str">
        <f t="shared" si="13"/>
        <v/>
      </c>
      <c r="F64" s="60" t="str">
        <f t="shared" si="14"/>
        <v/>
      </c>
      <c r="G64" s="54" t="str">
        <f t="shared" si="15"/>
        <v> </v>
      </c>
      <c r="H64" s="40" t="str">
        <f t="shared" si="18"/>
        <v> </v>
      </c>
      <c r="I64" s="56" t="str">
        <f t="shared" si="19"/>
        <v> </v>
      </c>
    </row>
    <row r="65" ht="15.75" customHeight="1">
      <c r="A65" s="27">
        <v>23.0</v>
      </c>
      <c r="B65" s="61" t="str">
        <f t="shared" si="20"/>
        <v/>
      </c>
      <c r="C65" s="62" t="str">
        <f t="shared" si="21"/>
        <v/>
      </c>
      <c r="D65" s="29" t="str">
        <f t="shared" si="12"/>
        <v/>
      </c>
      <c r="E65" s="30" t="str">
        <f t="shared" si="13"/>
        <v/>
      </c>
      <c r="F65" s="60" t="str">
        <f t="shared" si="14"/>
        <v/>
      </c>
      <c r="G65" s="54" t="str">
        <f t="shared" si="15"/>
        <v> </v>
      </c>
      <c r="H65" s="40" t="str">
        <f t="shared" si="18"/>
        <v> </v>
      </c>
      <c r="I65" s="56" t="str">
        <f t="shared" si="19"/>
        <v> </v>
      </c>
    </row>
    <row r="66" ht="15.75" customHeight="1">
      <c r="A66" s="27">
        <v>24.0</v>
      </c>
      <c r="B66" s="61" t="str">
        <f t="shared" si="20"/>
        <v/>
      </c>
      <c r="C66" s="62" t="str">
        <f t="shared" si="21"/>
        <v/>
      </c>
      <c r="D66" s="29" t="str">
        <f t="shared" si="12"/>
        <v/>
      </c>
      <c r="E66" s="30" t="str">
        <f t="shared" si="13"/>
        <v/>
      </c>
      <c r="F66" s="60" t="str">
        <f t="shared" si="14"/>
        <v/>
      </c>
      <c r="G66" s="54" t="str">
        <f t="shared" si="15"/>
        <v> </v>
      </c>
      <c r="H66" s="40" t="str">
        <f t="shared" si="18"/>
        <v> </v>
      </c>
      <c r="I66" s="56" t="str">
        <f t="shared" si="19"/>
        <v> </v>
      </c>
    </row>
    <row r="67" ht="15.75" customHeight="1">
      <c r="A67" s="27">
        <v>25.0</v>
      </c>
      <c r="B67" s="61" t="str">
        <f t="shared" si="20"/>
        <v/>
      </c>
      <c r="C67" s="62" t="str">
        <f t="shared" si="21"/>
        <v/>
      </c>
      <c r="D67" s="29" t="str">
        <f t="shared" si="12"/>
        <v/>
      </c>
      <c r="E67" s="30" t="str">
        <f t="shared" si="13"/>
        <v/>
      </c>
      <c r="F67" s="60" t="str">
        <f t="shared" si="14"/>
        <v/>
      </c>
      <c r="G67" s="54" t="str">
        <f t="shared" si="15"/>
        <v> </v>
      </c>
      <c r="H67" s="40" t="str">
        <f t="shared" si="18"/>
        <v> </v>
      </c>
      <c r="I67" s="56" t="str">
        <f t="shared" si="19"/>
        <v> </v>
      </c>
    </row>
    <row r="68" ht="15.75" customHeight="1">
      <c r="F68" s="63"/>
    </row>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sheetData>
  <mergeCells count="11">
    <mergeCell ref="B12:C12"/>
    <mergeCell ref="A10:I11"/>
    <mergeCell ref="A40:I41"/>
    <mergeCell ref="B42:C42"/>
    <mergeCell ref="B1:G1"/>
    <mergeCell ref="B3:C3"/>
    <mergeCell ref="B4:C4"/>
    <mergeCell ref="B5:C5"/>
    <mergeCell ref="B6:C6"/>
    <mergeCell ref="B7:C7"/>
    <mergeCell ref="B8:C8"/>
  </mergeCells>
  <printOptions/>
  <pageMargins bottom="0.75" footer="0.0" header="0.0" left="0.7" right="0.7" top="0.75"/>
  <pageSetup orientation="landscape"/>
  <drawing r:id="rId1"/>
</worksheet>
</file>